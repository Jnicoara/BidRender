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bor units" state="visible" r:id="rId4"/>
    <sheet sheetId="2" name="Assembly hours" state="visible" r:id="rId5"/>
    <sheet sheetId="3" name="How to use" state="visible" r:id="rId6"/>
  </sheets>
  <calcPr calcId="171027"/>
</workbook>
</file>

<file path=xl/sharedStrings.xml><?xml version="1.0" encoding="utf-8"?>
<sst xmlns="http://schemas.openxmlformats.org/spreadsheetml/2006/main" count="1602" uniqueCount="581">
  <si>
    <t>ID</t>
  </si>
  <si>
    <t>Name</t>
  </si>
  <si>
    <t>Unit</t>
  </si>
  <si>
    <t>MY HOURS</t>
  </si>
  <si>
    <t>ANCHOR</t>
  </si>
  <si>
    <t>SUGGESTED</t>
  </si>
  <si>
    <t>Notes</t>
  </si>
  <si>
    <t>Family</t>
  </si>
  <si>
    <t>1/2" EMT</t>
  </si>
  <si>
    <t>per 100 ft</t>
  </si>
  <si>
    <t>yes</t>
  </si>
  <si>
    <t/>
  </si>
  <si>
    <t>EMT</t>
  </si>
  <si>
    <t>3/4" EMT</t>
  </si>
  <si>
    <t>1" EMT</t>
  </si>
  <si>
    <t>1-1/4" EMT</t>
  </si>
  <si>
    <t>1-1/2" EMT</t>
  </si>
  <si>
    <t>2" EMT</t>
  </si>
  <si>
    <t>2-1/2" EMT</t>
  </si>
  <si>
    <t>3" EMT</t>
  </si>
  <si>
    <t>4" EMT</t>
  </si>
  <si>
    <t>1/2" PVC Sch 40</t>
  </si>
  <si>
    <t>PVC Sch 40</t>
  </si>
  <si>
    <t>3/4" PVC Sch 40</t>
  </si>
  <si>
    <t>1" PVC Sch 40</t>
  </si>
  <si>
    <t>1-1/4" PVC Sch 40</t>
  </si>
  <si>
    <t>1-1/2" PVC Sch 40</t>
  </si>
  <si>
    <t>2" PVC Sch 40</t>
  </si>
  <si>
    <t>2-1/2" PVC Sch 40</t>
  </si>
  <si>
    <t>3" PVC Sch 40</t>
  </si>
  <si>
    <t>4" PVC Sch 40</t>
  </si>
  <si>
    <t>1/2" rigid conduit</t>
  </si>
  <si>
    <t>Rigid (RMC)</t>
  </si>
  <si>
    <t>3/4" rigid conduit</t>
  </si>
  <si>
    <t>1" rigid conduit</t>
  </si>
  <si>
    <t>1-1/4" rigid conduit</t>
  </si>
  <si>
    <t>1-1/2" rigid conduit</t>
  </si>
  <si>
    <t>2" rigid conduit</t>
  </si>
  <si>
    <t>2-1/2" rigid conduit</t>
  </si>
  <si>
    <t>3" rigid conduit</t>
  </si>
  <si>
    <t>4" rigid conduit</t>
  </si>
  <si>
    <t>1/2" IMC</t>
  </si>
  <si>
    <t>IMC</t>
  </si>
  <si>
    <t>3/4" IMC</t>
  </si>
  <si>
    <t>1" IMC</t>
  </si>
  <si>
    <t>1-1/4" IMC</t>
  </si>
  <si>
    <t>1-1/2" IMC</t>
  </si>
  <si>
    <t>2" IMC</t>
  </si>
  <si>
    <t>2-1/2" IMC</t>
  </si>
  <si>
    <t>3" IMC</t>
  </si>
  <si>
    <t>4" IMC</t>
  </si>
  <si>
    <t>1/2" flexible metal conduit</t>
  </si>
  <si>
    <t>Flex (FMC)</t>
  </si>
  <si>
    <t>3/4" flexible metal conduit</t>
  </si>
  <si>
    <t>1" flexible metal conduit</t>
  </si>
  <si>
    <t>1-1/4" flexible metal conduit</t>
  </si>
  <si>
    <t>FMC above 1-1/4"</t>
  </si>
  <si>
    <t>missing from catalog</t>
  </si>
  <si>
    <t>1/2" liquidtight flexible conduit</t>
  </si>
  <si>
    <t>Liquid-tight (LFMC)</t>
  </si>
  <si>
    <t>3/4" liquidtight flexible conduit</t>
  </si>
  <si>
    <t>1" liquidtight flexible conduit</t>
  </si>
  <si>
    <t>1-1/4" liquidtight flexible conduit</t>
  </si>
  <si>
    <t>LFMC above 1-1/4"</t>
  </si>
  <si>
    <t>14-2 NM-B</t>
  </si>
  <si>
    <t>NM-B (Romex)</t>
  </si>
  <si>
    <t>12-2 NM-B</t>
  </si>
  <si>
    <t>10-2 NM-B</t>
  </si>
  <si>
    <t>14-3 NM-B</t>
  </si>
  <si>
    <t>12-3 NM-B</t>
  </si>
  <si>
    <t>10-3 NM-B</t>
  </si>
  <si>
    <t>8-2 NM-B</t>
  </si>
  <si>
    <t>8-3 NM-B</t>
  </si>
  <si>
    <t>6-2 NM-B</t>
  </si>
  <si>
    <t>6-3 NM-B</t>
  </si>
  <si>
    <t>14-2 MC cable</t>
  </si>
  <si>
    <t>MC cable</t>
  </si>
  <si>
    <t>12-2 MC cable</t>
  </si>
  <si>
    <t>12-3 MC cable</t>
  </si>
  <si>
    <t>10-2 MC cable</t>
  </si>
  <si>
    <t>10-3 MC cable</t>
  </si>
  <si>
    <t>8-3 MC cable</t>
  </si>
  <si>
    <t>6-3 MC cable</t>
  </si>
  <si>
    <t>14-2 UF-B</t>
  </si>
  <si>
    <t>UF-B</t>
  </si>
  <si>
    <t>12-2 UF-B</t>
  </si>
  <si>
    <t>10-2 UF-B</t>
  </si>
  <si>
    <t>8-2 UF-B</t>
  </si>
  <si>
    <t>6-6-6-6 SER CU</t>
  </si>
  <si>
    <t>SER / SEU</t>
  </si>
  <si>
    <t>2-2-2-4 SER CU</t>
  </si>
  <si>
    <t>2-2-2-4 SER AL</t>
  </si>
  <si>
    <t>4/0-4/0-4/0-2/0 SER AL</t>
  </si>
  <si>
    <t>4-4-6 SEU AL</t>
  </si>
  <si>
    <t>2-2-4 SEU AL</t>
  </si>
  <si>
    <t>#6 XHHW AL</t>
  </si>
  <si>
    <t>Aluminum feeder (XHHW AL)</t>
  </si>
  <si>
    <t>#2 XHHW AL</t>
  </si>
  <si>
    <t>#1/0 XHHW AL</t>
  </si>
  <si>
    <t>#2/0 XHHW AL</t>
  </si>
  <si>
    <t>#4/0 XHHW AL</t>
  </si>
  <si>
    <t>250 kcmil XHHW AL</t>
  </si>
  <si>
    <t>350 kcmil XHHW AL</t>
  </si>
  <si>
    <t>500 kcmil XHHW AL</t>
  </si>
  <si>
    <t>MHF / aluminum MC feeder</t>
  </si>
  <si>
    <t>#14 THHN</t>
  </si>
  <si>
    <t>Per conductor: one wire, 100 ft</t>
  </si>
  <si>
    <t>THHN copper — PER CONDUCTOR</t>
  </si>
  <si>
    <t>#12 THHN</t>
  </si>
  <si>
    <t>#10 THHN</t>
  </si>
  <si>
    <t>#8 THHN</t>
  </si>
  <si>
    <t>#6 THHN</t>
  </si>
  <si>
    <t>#4 THHN</t>
  </si>
  <si>
    <t>#2 THHN</t>
  </si>
  <si>
    <t>#1/0 THHN</t>
  </si>
  <si>
    <t>#2/0 THHN</t>
  </si>
  <si>
    <t>#4/0 THHN</t>
  </si>
  <si>
    <t>250 kcmil THHN</t>
  </si>
  <si>
    <t>350 kcmil THHN</t>
  </si>
  <si>
    <t>500 kcmil THHN</t>
  </si>
  <si>
    <t>Cat6 cable</t>
  </si>
  <si>
    <t>Low-voltage cable</t>
  </si>
  <si>
    <t>Cat6A cable</t>
  </si>
  <si>
    <t>RG6 coax cable</t>
  </si>
  <si>
    <t>16-2 fire alarm cable</t>
  </si>
  <si>
    <t>per field bend</t>
  </si>
  <si>
    <t>FIELD BEND: hours for ONE bend of this pipe — written to its field-bend hours, not its per-foot unit</t>
  </si>
  <si>
    <t>Field bends (one bend, by hand)</t>
  </si>
  <si>
    <t>1-1/4" EMT 90-degree elbow</t>
  </si>
  <si>
    <t>each</t>
  </si>
  <si>
    <t>Elbows, 90°</t>
  </si>
  <si>
    <t>2" EMT 90-degree elbow</t>
  </si>
  <si>
    <t>3" EMT 90-degree elbow</t>
  </si>
  <si>
    <t>4" EMT 90-degree elbow</t>
  </si>
  <si>
    <t>1-1/4" PVC Sch 40 90-degree elbow</t>
  </si>
  <si>
    <t>2" PVC Sch 40 90-degree elbow</t>
  </si>
  <si>
    <t>3" PVC Sch 40 90-degree elbow</t>
  </si>
  <si>
    <t>4" PVC Sch 40 90-degree elbow</t>
  </si>
  <si>
    <t>1-1/4" rigid conduit 90-degree elbow</t>
  </si>
  <si>
    <t>2" rigid conduit 90-degree elbow</t>
  </si>
  <si>
    <t>3" rigid conduit 90-degree elbow</t>
  </si>
  <si>
    <t>4" rigid conduit 90-degree elbow</t>
  </si>
  <si>
    <t>1/2" EMT LB conduit body</t>
  </si>
  <si>
    <t>LBs (conduit bodies)</t>
  </si>
  <si>
    <t>3/4" EMT LB conduit body</t>
  </si>
  <si>
    <t>1" EMT LB conduit body</t>
  </si>
  <si>
    <t>2" EMT LB conduit body</t>
  </si>
  <si>
    <t>1/2" rigid conduit LB conduit body</t>
  </si>
  <si>
    <t>1" rigid conduit LB conduit body</t>
  </si>
  <si>
    <t>2" rigid conduit LB conduit body</t>
  </si>
  <si>
    <t>4x4 pull box</t>
  </si>
  <si>
    <t>Pull / junction / tee boxes</t>
  </si>
  <si>
    <t>6x6 pull box</t>
  </si>
  <si>
    <t>8x8 pull box</t>
  </si>
  <si>
    <t>12x12 pull box</t>
  </si>
  <si>
    <t>24x24 pull box</t>
  </si>
  <si>
    <t>1/2" EMT T conduit body</t>
  </si>
  <si>
    <t>1" EMT T conduit body</t>
  </si>
  <si>
    <t>1-5/8" x 1-5/8" strut channel, 10 ft</t>
  </si>
  <si>
    <t>Sold as a 10 ft stick: hours for the STICK installed (10 × your per-ft)</t>
  </si>
  <si>
    <t>Strut and supports</t>
  </si>
  <si>
    <t>3/8" all-thread rod, 10 ft</t>
  </si>
  <si>
    <t>One 10 ft rod hung</t>
  </si>
  <si>
    <t>Beam clamp</t>
  </si>
  <si>
    <t>Conduit hanger with bolt</t>
  </si>
  <si>
    <t>Core drill (labor item, no material)</t>
  </si>
  <si>
    <t>Firestop penetration (the catalog has "Firestop caulk" by the tube; the penetration is a planned assembly, MS4)</t>
  </si>
  <si>
    <t>100A main panel</t>
  </si>
  <si>
    <t>Panels</t>
  </si>
  <si>
    <t>200A main panel</t>
  </si>
  <si>
    <t>400A main panel</t>
  </si>
  <si>
    <t>100A main-lug sub-panel</t>
  </si>
  <si>
    <t>200A main-lug sub-panel</t>
  </si>
  <si>
    <t>20A Single-Pole breaker</t>
  </si>
  <si>
    <t>Small frame — the catalog has no frame sizes</t>
  </si>
  <si>
    <t>Breakers</t>
  </si>
  <si>
    <t>30A 2-Pole breaker</t>
  </si>
  <si>
    <t>100A 2-Pole breaker</t>
  </si>
  <si>
    <t>30A 3-Pole breaker</t>
  </si>
  <si>
    <t>100A 3-Pole breaker</t>
  </si>
  <si>
    <t>200A 3-Pole breaker</t>
  </si>
  <si>
    <t>Large frame — the catalog has no frame sizes</t>
  </si>
  <si>
    <t>3-pole breakers above 200A (large frame)</t>
  </si>
  <si>
    <t>30A fused disconnect, NEMA 1</t>
  </si>
  <si>
    <t>Disconnects</t>
  </si>
  <si>
    <t>30A non-fused disconnect, NEMA 1</t>
  </si>
  <si>
    <t>60A fused disconnect, NEMA 1</t>
  </si>
  <si>
    <t>60A non-fused disconnect, NEMA 1</t>
  </si>
  <si>
    <t>100A fused disconnect, NEMA 1</t>
  </si>
  <si>
    <t>100A non-fused disconnect, NEMA 1</t>
  </si>
  <si>
    <t>200A fused disconnect, NEMA 1</t>
  </si>
  <si>
    <t>200A non-fused disconnect, NEMA 1</t>
  </si>
  <si>
    <t>15 kVA dry-type transformer, 480V-208Y/120V 3-phase</t>
  </si>
  <si>
    <t>Transformers</t>
  </si>
  <si>
    <t>30 kVA dry-type transformer, 480V-208Y/120V 3-phase</t>
  </si>
  <si>
    <t>45 kVA dry-type transformer, 480V-208Y/120V 3-phase</t>
  </si>
  <si>
    <t>75 kVA dry-type transformer, 480V-208Y/120V 3-phase</t>
  </si>
  <si>
    <t>Transformers above 75 kVA, or other voltages</t>
  </si>
  <si>
    <t>100A meter base</t>
  </si>
  <si>
    <t>Meter base</t>
  </si>
  <si>
    <t>200A meter base</t>
  </si>
  <si>
    <t>Ground rod, 8 ft</t>
  </si>
  <si>
    <t>Grounding and bonding</t>
  </si>
  <si>
    <t>Ground rod, 10 ft</t>
  </si>
  <si>
    <t>Bonding jumper</t>
  </si>
  <si>
    <t>2x4 LED troffer</t>
  </si>
  <si>
    <t>Fixtures bid loose</t>
  </si>
  <si>
    <t>6" recessed can, new construction IC</t>
  </si>
  <si>
    <t>4 ft LED strip fixture</t>
  </si>
  <si>
    <t>Wall pack, full cutoff</t>
  </si>
  <si>
    <t>Exit sign</t>
  </si>
  <si>
    <t>Emergency exit light combo</t>
  </si>
  <si>
    <t>20 ft light pole</t>
  </si>
  <si>
    <t>The pole and base; the head is its own fixture</t>
  </si>
  <si>
    <t>LED area light</t>
  </si>
  <si>
    <t>1/2" ENT</t>
  </si>
  <si>
    <t>ENT</t>
  </si>
  <si>
    <t>Trenching (labor item, no material)</t>
  </si>
  <si>
    <t>per ft</t>
  </si>
  <si>
    <t>Trenching</t>
  </si>
  <si>
    <t>Assembly ID</t>
  </si>
  <si>
    <t>Plan #</t>
  </si>
  <si>
    <t>Assembly</t>
  </si>
  <si>
    <t>Category</t>
  </si>
  <si>
    <t>DV1</t>
  </si>
  <si>
    <t>Duplex receptacle standard</t>
  </si>
  <si>
    <t>Devices</t>
  </si>
  <si>
    <t>DV4</t>
  </si>
  <si>
    <t>Single-pole switch</t>
  </si>
  <si>
    <t>DV2</t>
  </si>
  <si>
    <t>GFCI receptacle</t>
  </si>
  <si>
    <t>LT1</t>
  </si>
  <si>
    <t>Surface-mount ceiling fixture</t>
  </si>
  <si>
    <t>Lighting</t>
  </si>
  <si>
    <t>LT4</t>
  </si>
  <si>
    <t>Recessed can new construction, 6"</t>
  </si>
  <si>
    <t>not seeded yet: hours not set needs Track A's 0123 (the column cannot hold NULL yet)</t>
  </si>
  <si>
    <t>LT7</t>
  </si>
  <si>
    <t>Wafer LED downlight, 6" (canless)</t>
  </si>
  <si>
    <t>DV3</t>
  </si>
  <si>
    <t>Dedicated 20A receptacle</t>
  </si>
  <si>
    <t>DV13</t>
  </si>
  <si>
    <t>3-way switch</t>
  </si>
  <si>
    <t>DV5</t>
  </si>
  <si>
    <t>Dimmer switch</t>
  </si>
  <si>
    <t>DV20</t>
  </si>
  <si>
    <t>Duplex receptacle, MC</t>
  </si>
  <si>
    <t>DV26</t>
  </si>
  <si>
    <t>Single-pole switch, MC</t>
  </si>
  <si>
    <t>LT19</t>
  </si>
  <si>
    <t>2x4 LED troffer, lay-in</t>
  </si>
  <si>
    <t>DV7</t>
  </si>
  <si>
    <t>20A duplex receptacle</t>
  </si>
  <si>
    <t>DV9</t>
  </si>
  <si>
    <t>AFCI receptacle</t>
  </si>
  <si>
    <t>LT2</t>
  </si>
  <si>
    <t>Ceiling fan standard</t>
  </si>
  <si>
    <t>MS1</t>
  </si>
  <si>
    <t>Junction box, 4" square</t>
  </si>
  <si>
    <t>General</t>
  </si>
  <si>
    <t>not seeded yet: its category waits on Track A's 0122; hours not set needs Track A's 0123 (the column cannot hold NULL yet)</t>
  </si>
  <si>
    <t>DV21</t>
  </si>
  <si>
    <t>GFCI receptacle, MC</t>
  </si>
  <si>
    <t>DV16</t>
  </si>
  <si>
    <t>Two switches, one box</t>
  </si>
  <si>
    <t>DV8</t>
  </si>
  <si>
    <t>Outdoor GFCI receptacle, in-use cover</t>
  </si>
  <si>
    <t>LT27</t>
  </si>
  <si>
    <t>LT28</t>
  </si>
  <si>
    <t>Emergency light / exit combo</t>
  </si>
  <si>
    <t>LT22</t>
  </si>
  <si>
    <t>4 ft LED strip, surface / suspended</t>
  </si>
  <si>
    <t>LT20</t>
  </si>
  <si>
    <t>2x2 LED troffer, lay-in</t>
  </si>
  <si>
    <t>DV6</t>
  </si>
  <si>
    <t>Duplex receptacle retrofit</t>
  </si>
  <si>
    <t>LT6</t>
  </si>
  <si>
    <t>Recessed can retrofit, 6"</t>
  </si>
  <si>
    <t>LT8</t>
  </si>
  <si>
    <t>Wafer LED downlight, 4" (canless)</t>
  </si>
  <si>
    <t>LT5</t>
  </si>
  <si>
    <t>Recessed can new construction, 4"</t>
  </si>
  <si>
    <t>PG7</t>
  </si>
  <si>
    <t>Breaker add, single-pole</t>
  </si>
  <si>
    <t>PG8</t>
  </si>
  <si>
    <t>Breaker add, 2-pole</t>
  </si>
  <si>
    <t>RS7</t>
  </si>
  <si>
    <t>Bath exhaust fan wiring</t>
  </si>
  <si>
    <t>Equipment Connections</t>
  </si>
  <si>
    <t>RS9</t>
  </si>
  <si>
    <t>Combination smoke/CO detector</t>
  </si>
  <si>
    <t>DV22</t>
  </si>
  <si>
    <t>Quad receptacle, MC</t>
  </si>
  <si>
    <t>DV11</t>
  </si>
  <si>
    <t>Quad receptacle</t>
  </si>
  <si>
    <t>DV27</t>
  </si>
  <si>
    <t>3-way switch, MC</t>
  </si>
  <si>
    <t>DV29</t>
  </si>
  <si>
    <t>Wall occupancy sensor, MC</t>
  </si>
  <si>
    <t>DV30</t>
  </si>
  <si>
    <t>Ceiling occupancy sensor + power pack</t>
  </si>
  <si>
    <t>MS6</t>
  </si>
  <si>
    <t>Data drop, Cat6 (commercial)</t>
  </si>
  <si>
    <t>Low Voltage/EMS</t>
  </si>
  <si>
    <t>MS7</t>
  </si>
  <si>
    <t>Data drop, Cat6 (resi)</t>
  </si>
  <si>
    <t>MS2</t>
  </si>
  <si>
    <t>Junction box above lay-in ceiling</t>
  </si>
  <si>
    <t>LT12</t>
  </si>
  <si>
    <t>Vanity light</t>
  </si>
  <si>
    <t>LT13</t>
  </si>
  <si>
    <t>Wall sconce</t>
  </si>
  <si>
    <t>LT10</t>
  </si>
  <si>
    <t>Pendant light</t>
  </si>
  <si>
    <t>LT15</t>
  </si>
  <si>
    <t>Exterior porch light</t>
  </si>
  <si>
    <t>LT14</t>
  </si>
  <si>
    <t>Under-cabinet light</t>
  </si>
  <si>
    <t>DV10</t>
  </si>
  <si>
    <t>USB combo receptacle</t>
  </si>
  <si>
    <t>DV12</t>
  </si>
  <si>
    <t>Switch/receptacle combo</t>
  </si>
  <si>
    <t>DV14</t>
  </si>
  <si>
    <t>4-way switch</t>
  </si>
  <si>
    <t>DV15</t>
  </si>
  <si>
    <t>3-way dimmer</t>
  </si>
  <si>
    <t>DV17</t>
  </si>
  <si>
    <t>Three switches, one box</t>
  </si>
  <si>
    <t>DV18</t>
  </si>
  <si>
    <t>Fan/light combo control</t>
  </si>
  <si>
    <t>DV19</t>
  </si>
  <si>
    <t>Timer / smart / vacancy switch</t>
  </si>
  <si>
    <t>DV23</t>
  </si>
  <si>
    <t>Dedicated 20A receptacle, MC</t>
  </si>
  <si>
    <t>RS4</t>
  </si>
  <si>
    <t>Dishwasher connection</t>
  </si>
  <si>
    <t>RS5</t>
  </si>
  <si>
    <t>Garbage disposal, switched</t>
  </si>
  <si>
    <t>RS6</t>
  </si>
  <si>
    <t>Range hood / microwave circuit</t>
  </si>
  <si>
    <t>RS1</t>
  </si>
  <si>
    <t>Range receptacle, 50A</t>
  </si>
  <si>
    <t>RS2</t>
  </si>
  <si>
    <t>Dryer receptacle, 30A</t>
  </si>
  <si>
    <t>RS3</t>
  </si>
  <si>
    <t>Electric water heater connection</t>
  </si>
  <si>
    <t>MH1</t>
  </si>
  <si>
    <t>HVAC condenser disconnect + whip</t>
  </si>
  <si>
    <t>MH2</t>
  </si>
  <si>
    <t>Furnace / air handler, 120V</t>
  </si>
  <si>
    <t>PG1</t>
  </si>
  <si>
    <t>200A main panel furnish and install</t>
  </si>
  <si>
    <t>PG9</t>
  </si>
  <si>
    <t>Breaker swap to AFCI/GFCI</t>
  </si>
  <si>
    <t>DR16</t>
  </si>
  <si>
    <t>Replace receptacle like-for-like</t>
  </si>
  <si>
    <t>Demo &amp; Retrofit</t>
  </si>
  <si>
    <t>DR17</t>
  </si>
  <si>
    <t>Replace receptacle with GFCI</t>
  </si>
  <si>
    <t>DR18</t>
  </si>
  <si>
    <t>Replace switch with occupancy sensor</t>
  </si>
  <si>
    <t>DR2</t>
  </si>
  <si>
    <t>Demo device, blank plate</t>
  </si>
  <si>
    <t>DR1</t>
  </si>
  <si>
    <t>Demo fixture, blank the box</t>
  </si>
  <si>
    <t>DR7</t>
  </si>
  <si>
    <t>Troffer LED retrofit kit</t>
  </si>
  <si>
    <t>DR8</t>
  </si>
  <si>
    <t>4 ft fluorescent to LED, ballast bypass (2-lamp)</t>
  </si>
  <si>
    <t>DR6</t>
  </si>
  <si>
    <t>Replace troffer like-for-like</t>
  </si>
  <si>
    <t>DR3</t>
  </si>
  <si>
    <t>Demo lay-in fixture, make safe above ceiling</t>
  </si>
  <si>
    <t>DR4</t>
  </si>
  <si>
    <t>Demo circuit back to panel</t>
  </si>
  <si>
    <t>DR5</t>
  </si>
  <si>
    <t>Relocate lay-in troffer (≤6 ft)</t>
  </si>
  <si>
    <t>DR19</t>
  </si>
  <si>
    <t>Relocate receptacle (wall move), MC</t>
  </si>
  <si>
    <t>DR20</t>
  </si>
  <si>
    <t>Recessed can LED retrofit (resi)</t>
  </si>
  <si>
    <t>LT21</t>
  </si>
  <si>
    <t>1x4 LED troffer, lay-in</t>
  </si>
  <si>
    <t>LT23</t>
  </si>
  <si>
    <t>8 ft LED strip (sales floor rows)</t>
  </si>
  <si>
    <t>LT24</t>
  </si>
  <si>
    <t>4 ft LED wraparound (back room)</t>
  </si>
  <si>
    <t>LT25</t>
  </si>
  <si>
    <t>4 ft vapor tight (cooler, dock)</t>
  </si>
  <si>
    <t>LT26</t>
  </si>
  <si>
    <t>High bay</t>
  </si>
  <si>
    <t>LT29</t>
  </si>
  <si>
    <t>Exterior wall pack</t>
  </si>
  <si>
    <t>LT16</t>
  </si>
  <si>
    <t>Flood / security light</t>
  </si>
  <si>
    <t>LT9</t>
  </si>
  <si>
    <t>Shower light, wet-rated</t>
  </si>
  <si>
    <t>LT3</t>
  </si>
  <si>
    <t>Ceiling fan, retrofit brace</t>
  </si>
  <si>
    <t>LT11</t>
  </si>
  <si>
    <t>Chandelier, heavy bracing</t>
  </si>
  <si>
    <t>RS8</t>
  </si>
  <si>
    <t>Bath fan/light combo, humidity switch</t>
  </si>
  <si>
    <t>RS17</t>
  </si>
  <si>
    <t>Sump pump circuit</t>
  </si>
  <si>
    <t>RS12</t>
  </si>
  <si>
    <t>EV charger circuit, 48A hardwired</t>
  </si>
  <si>
    <t>RS13</t>
  </si>
  <si>
    <t>EV / RV receptacle, 50A (NEMA 14-50)</t>
  </si>
  <si>
    <t>RS10</t>
  </si>
  <si>
    <t>Doorbell, wired</t>
  </si>
  <si>
    <t>RS11</t>
  </si>
  <si>
    <t>Video doorbell wiring</t>
  </si>
  <si>
    <t>RS20</t>
  </si>
  <si>
    <t>Attic fan with thermostat</t>
  </si>
  <si>
    <t>RS19</t>
  </si>
  <si>
    <t>Baseboard heater, 240V</t>
  </si>
  <si>
    <t>MS4</t>
  </si>
  <si>
    <t>Firestop penetration</t>
  </si>
  <si>
    <t>MS13</t>
  </si>
  <si>
    <t>Panel labelling (existing panel)</t>
  </si>
  <si>
    <t>MS8</t>
  </si>
  <si>
    <t>Cable TV drop</t>
  </si>
  <si>
    <t>MS9</t>
  </si>
  <si>
    <t>Security camera drop</t>
  </si>
  <si>
    <t>MS10</t>
  </si>
  <si>
    <t>In-ceiling speaker</t>
  </si>
  <si>
    <t>MS12</t>
  </si>
  <si>
    <t>Structured media enclosure (resi)</t>
  </si>
  <si>
    <t>MS5</t>
  </si>
  <si>
    <t>Conduit trapeze (strut rack), per hanger</t>
  </si>
  <si>
    <t>MS3</t>
  </si>
  <si>
    <t>Pull box, 12x12</t>
  </si>
  <si>
    <t>MS14</t>
  </si>
  <si>
    <t>Temporary lighting string, per 100 ft</t>
  </si>
  <si>
    <t>MS11</t>
  </si>
  <si>
    <t>Network patch panel, 24-port</t>
  </si>
  <si>
    <t>DV24</t>
  </si>
  <si>
    <t>Isolated-ground receptacle (cash wrap)</t>
  </si>
  <si>
    <t>DV25</t>
  </si>
  <si>
    <t>Controlled receptacle (plug load)</t>
  </si>
  <si>
    <t>DV28</t>
  </si>
  <si>
    <t>Key switch, MC</t>
  </si>
  <si>
    <t>DV31</t>
  </si>
  <si>
    <t>0-10V dimmer, MC</t>
  </si>
  <si>
    <t>DV32</t>
  </si>
  <si>
    <t>Floor receptacle, poke-through</t>
  </si>
  <si>
    <t>DV33</t>
  </si>
  <si>
    <t>Floor box receptacle (slab)</t>
  </si>
  <si>
    <t>DV34</t>
  </si>
  <si>
    <t>Surface raceway receptacle (block wall)</t>
  </si>
  <si>
    <t>not seeded yet: a part is not in the catalog; hours not set needs Track A's 0123 (the column cannot hold NULL yet) (Surface raceway, 10 ft, Surface raceway device box, Surface raceway cover plate, Surface raceway entrance fitting)</t>
  </si>
  <si>
    <t>CS3</t>
  </si>
  <si>
    <t>Hand dryer</t>
  </si>
  <si>
    <t>CS4</t>
  </si>
  <si>
    <t>Drinking fountain / EWC</t>
  </si>
  <si>
    <t>CS5</t>
  </si>
  <si>
    <t>Reach-in cooler / freezer receptacle</t>
  </si>
  <si>
    <t>CS6</t>
  </si>
  <si>
    <t>Twist-lock receptacle, L5-20</t>
  </si>
  <si>
    <t>CS7</t>
  </si>
  <si>
    <t>Twist-lock receptacle, L6-30</t>
  </si>
  <si>
    <t>CS8</t>
  </si>
  <si>
    <t>Twist-lock receptacle, L14-30</t>
  </si>
  <si>
    <t>CS1</t>
  </si>
  <si>
    <t>Sign circuit and disconnect</t>
  </si>
  <si>
    <t>CS2</t>
  </si>
  <si>
    <t>Time clock and lighting contactor</t>
  </si>
  <si>
    <t>CS11</t>
  </si>
  <si>
    <t>Fire alarm pull station</t>
  </si>
  <si>
    <t>CS12</t>
  </si>
  <si>
    <t>Fire alarm horn/strobe</t>
  </si>
  <si>
    <t>CS13</t>
  </si>
  <si>
    <t>Fire alarm smoke detector (system)</t>
  </si>
  <si>
    <t>CS14</t>
  </si>
  <si>
    <t>Duct smoke detector</t>
  </si>
  <si>
    <t>CS9</t>
  </si>
  <si>
    <t>Tele-power pole</t>
  </si>
  <si>
    <t>CS10</t>
  </si>
  <si>
    <t>Modular furniture feed</t>
  </si>
  <si>
    <t>CS15</t>
  </si>
  <si>
    <t>Kitchen hood shunt interface</t>
  </si>
  <si>
    <t>CS16</t>
  </si>
  <si>
    <t>Knox box</t>
  </si>
  <si>
    <t>PG10</t>
  </si>
  <si>
    <t>Whole-house surge protector</t>
  </si>
  <si>
    <t>PG11</t>
  </si>
  <si>
    <t>Grounding electrode system</t>
  </si>
  <si>
    <t>PG5</t>
  </si>
  <si>
    <t>Subpanel, 100A (resi, 60A feed)</t>
  </si>
  <si>
    <t>PG4</t>
  </si>
  <si>
    <t>Panel replacement like-for-like, 200A</t>
  </si>
  <si>
    <t>PG2</t>
  </si>
  <si>
    <t>Service upgrade 200A, overhead</t>
  </si>
  <si>
    <t>PG3</t>
  </si>
  <si>
    <t>Service upgrade 200A, meter-main outdoor</t>
  </si>
  <si>
    <t>PG6</t>
  </si>
  <si>
    <t>Load center relocate</t>
  </si>
  <si>
    <t>PG12</t>
  </si>
  <si>
    <t>Panelboard 225A 3-phase, main-lug</t>
  </si>
  <si>
    <t>PG13</t>
  </si>
  <si>
    <t>Panelboard 225A 3-phase, main breaker</t>
  </si>
  <si>
    <t>PG14</t>
  </si>
  <si>
    <t>Panelboard 400A 3-phase, main breaker</t>
  </si>
  <si>
    <t>PG15</t>
  </si>
  <si>
    <t>Feeder breaker, 3-pole</t>
  </si>
  <si>
    <t>PG17</t>
  </si>
  <si>
    <t>Safety switch, 100A fused</t>
  </si>
  <si>
    <t>PG18</t>
  </si>
  <si>
    <t>Building surge protective device</t>
  </si>
  <si>
    <t>PG16</t>
  </si>
  <si>
    <t>Dry-type transformer, 45 kVA</t>
  </si>
  <si>
    <t>PG19</t>
  </si>
  <si>
    <t>Standby generator hookup</t>
  </si>
  <si>
    <t>PG20</t>
  </si>
  <si>
    <t>Temporary power pole</t>
  </si>
  <si>
    <t>RS18</t>
  </si>
  <si>
    <t>Generator inlet and interlock</t>
  </si>
  <si>
    <t>RS14</t>
  </si>
  <si>
    <t>Hot tub / spa connection</t>
  </si>
  <si>
    <t>RS15</t>
  </si>
  <si>
    <t>Pool pump connection</t>
  </si>
  <si>
    <t>RS16</t>
  </si>
  <si>
    <t>Well pump connection</t>
  </si>
  <si>
    <t>MH4</t>
  </si>
  <si>
    <t>Mini-split connection</t>
  </si>
  <si>
    <t>MH3</t>
  </si>
  <si>
    <t>Air handler with electric heat, 60A</t>
  </si>
  <si>
    <t>MH13</t>
  </si>
  <si>
    <t>Tankless electric water heater</t>
  </si>
  <si>
    <t>MH14</t>
  </si>
  <si>
    <t>Thermostat low-voltage wiring</t>
  </si>
  <si>
    <t>MH5</t>
  </si>
  <si>
    <t>Rooftop unit (RTU) hookup</t>
  </si>
  <si>
    <t>MH6</t>
  </si>
  <si>
    <t>RTU service receptacle</t>
  </si>
  <si>
    <t>MH9</t>
  </si>
  <si>
    <t>Exhaust fan, commercial</t>
  </si>
  <si>
    <t>MH12</t>
  </si>
  <si>
    <t>Unit heater</t>
  </si>
  <si>
    <t>MH7</t>
  </si>
  <si>
    <t>Walk-in cooler, condensing unit</t>
  </si>
  <si>
    <t>MH8</t>
  </si>
  <si>
    <t>Walk-in cooler, evaporator</t>
  </si>
  <si>
    <t>MH10</t>
  </si>
  <si>
    <t>Motor with starter, 3-phase</t>
  </si>
  <si>
    <t>MH11</t>
  </si>
  <si>
    <t>Motor on VFD</t>
  </si>
  <si>
    <t>LT17</t>
  </si>
  <si>
    <t>Landscape transformer and circuit</t>
  </si>
  <si>
    <t>LT18</t>
  </si>
  <si>
    <t>Landscape light, each</t>
  </si>
  <si>
    <t>LT30</t>
  </si>
  <si>
    <t>Track light, 8 ft with 4 heads</t>
  </si>
  <si>
    <t>DR9</t>
  </si>
  <si>
    <t>4 ft fluorescent to LED, plug-and-play (2-lamp)</t>
  </si>
  <si>
    <t>DR10</t>
  </si>
  <si>
    <t>8 ft fluorescent to LED, single-pin (2-lamp)</t>
  </si>
  <si>
    <t>DR11</t>
  </si>
  <si>
    <t>8 ft HO fluorescent to LED (2-lamp)</t>
  </si>
  <si>
    <t>DR12</t>
  </si>
  <si>
    <t>HID to LED corn lamp</t>
  </si>
  <si>
    <t>DR13</t>
  </si>
  <si>
    <t>Replace HID high bay with LED high bay</t>
  </si>
  <si>
    <t>DR14</t>
  </si>
  <si>
    <t>Replace wall pack</t>
  </si>
  <si>
    <t>DR15</t>
  </si>
  <si>
    <t>Replace exit / emergency light</t>
  </si>
  <si>
    <t>STARTER LABOR UNITS — type your own hours, then import.</t>
  </si>
  <si>
    <t>1. Type hours in the yellow MY HOURS column. Leave a cell blank for anything you have not decided: blank stays NOT SET in the app, never 0.</t>
  </si>
  <si>
    <t>2. Pipe and wire are per 100 ft. THHN is PER CONDUCTOR — one wire, 100 ft. The app stores per foot and divides by 100 itself.</t>
  </si>
  <si>
    <t>3. "per field bend" rows are hours for ONE bend of that pipe by hand. They go to the pipe's field-bend hours, not its per-foot unit.</t>
  </si>
  <si>
    <t>4. ANCHOR rows: start with these. Once the anchors either side of a row have hours, SUGGESTED fills in (grey) — a straight line between them.</t>
  </si>
  <si>
    <t>5. SUGGESTED is NEVER imported. To accept one, copy it into MY HOURS (paste as values).</t>
  </si>
  <si>
    <t>6. Rows marked "missing from catalog" have no ID. They are listed so you can see the gap; the import skips them and adds nothing.</t>
  </si>
  <si>
    <t>7. To import: Materials → Supplier pricing → Import labor sheet. Copy ONE tab from its header row down, paste, Preview, read every change, Apply.</t>
  </si>
  <si>
    <t>8. The import writes hours ONLY — never a price, a name, or a new material.</t>
  </si>
  <si>
    <t>Assembly hours: ALL 168 starter assemblies (Plan # is the row in references/starter-assemblies-plan.md), in a judged most-used-first order (no usage data exists yet). Their hours are the assembly's own typed hours, and every one is NOT SET until you type it.</t>
  </si>
  <si>
    <t>Grey assembly rows are not in this database yet — the Notes say why (most wait on two database changes: hours that can be 'not set', and two new categories). You can type hours there now to plan; the import skips a row with no ID, so rebuild the sheet once they are seeded and copy your hours across.</t>
  </si>
  <si>
    <t>Keyed by material ID. These IDs are from: mysql://***@127.0.0.1:3307/bidrender_local_b_new, built 2026-10-06T21:32:53.102Z.</t>
  </si>
  <si>
    <t>IDs belong to ONE database. The import checks each row's name against its ID and refuses a mismatch, so a sheet built from another database writes nothing. To import into production, build this sheet from production.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</si>
</sst>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i/>
      <color rgb="FF8A8A8A"/>
    </font>
    <font>
      <b/>
      <sz val="13"/>
    </font>
  </fonts>
  <fills count="4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FF2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0" fillId="3" borderId="0" xfId="0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2" max="2" width="50" customWidth="1"/>
    <col min="3" max="3" width="15" customWidth="1"/>
    <col min="4" max="4" width="11" customWidth="1"/>
    <col min="6" max="6" width="12" customWidth="1"/>
    <col min="7" max="7" width="60" customWidth="1"/>
    <col min="8" max="8" width="30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>
        <v>90</v>
      </c>
      <c r="B2" t="s">
        <v>8</v>
      </c>
      <c r="C2" t="s">
        <v>9</v>
      </c>
      <c r="D2" s="2"/>
      <c r="E2" t="s">
        <v>10</v>
      </c>
      <c r="G2" t="s">
        <v>11</v>
      </c>
      <c r="H2" t="s">
        <v>12</v>
      </c>
    </row>
    <row r="3" spans="1:8" x14ac:dyDescent="0.25">
      <c r="A3">
        <v>91</v>
      </c>
      <c r="B3" t="s">
        <v>13</v>
      </c>
      <c r="C3" t="s">
        <v>9</v>
      </c>
      <c r="D3" s="2"/>
      <c r="E3" t="s">
        <v>11</v>
      </c>
      <c r="F3" s="3">
        <f>IF(AND(ISNUMBER(D2),ISNUMBER(D4)),ROUND(D2+(D4-D2)*0.500000,3),"")</f>
      </c>
      <c r="G3" t="s">
        <v>11</v>
      </c>
      <c r="H3" t="s">
        <v>12</v>
      </c>
    </row>
    <row r="4" spans="1:8" x14ac:dyDescent="0.25">
      <c r="A4">
        <v>92</v>
      </c>
      <c r="B4" t="s">
        <v>14</v>
      </c>
      <c r="C4" t="s">
        <v>9</v>
      </c>
      <c r="D4" s="2"/>
      <c r="E4" t="s">
        <v>10</v>
      </c>
      <c r="G4" t="s">
        <v>11</v>
      </c>
      <c r="H4" t="s">
        <v>12</v>
      </c>
    </row>
    <row r="5" spans="1:8" x14ac:dyDescent="0.25">
      <c r="A5">
        <v>93</v>
      </c>
      <c r="B5" t="s">
        <v>15</v>
      </c>
      <c r="C5" t="s">
        <v>9</v>
      </c>
      <c r="D5" s="2"/>
      <c r="E5" t="s">
        <v>11</v>
      </c>
      <c r="F5" s="3">
        <f>IF(AND(ISNUMBER(D4),ISNUMBER(D7)),ROUND(D4+(D7-D4)*0.333333,3),"")</f>
      </c>
      <c r="G5" t="s">
        <v>11</v>
      </c>
      <c r="H5" t="s">
        <v>12</v>
      </c>
    </row>
    <row r="6" spans="1:8" x14ac:dyDescent="0.25">
      <c r="A6">
        <v>94</v>
      </c>
      <c r="B6" t="s">
        <v>16</v>
      </c>
      <c r="C6" t="s">
        <v>9</v>
      </c>
      <c r="D6" s="2"/>
      <c r="E6" t="s">
        <v>11</v>
      </c>
      <c r="F6" s="3">
        <f>IF(AND(ISNUMBER(D4),ISNUMBER(D7)),ROUND(D4+(D7-D4)*0.666667,3),"")</f>
      </c>
      <c r="G6" t="s">
        <v>11</v>
      </c>
      <c r="H6" t="s">
        <v>12</v>
      </c>
    </row>
    <row r="7" spans="1:8" x14ac:dyDescent="0.25">
      <c r="A7">
        <v>95</v>
      </c>
      <c r="B7" t="s">
        <v>17</v>
      </c>
      <c r="C7" t="s">
        <v>9</v>
      </c>
      <c r="D7" s="2"/>
      <c r="E7" t="s">
        <v>10</v>
      </c>
      <c r="G7" t="s">
        <v>11</v>
      </c>
      <c r="H7" t="s">
        <v>12</v>
      </c>
    </row>
    <row r="8" spans="1:8" x14ac:dyDescent="0.25">
      <c r="A8">
        <v>96</v>
      </c>
      <c r="B8" t="s">
        <v>18</v>
      </c>
      <c r="C8" t="s">
        <v>9</v>
      </c>
      <c r="D8" s="2"/>
      <c r="E8" t="s">
        <v>11</v>
      </c>
      <c r="F8" s="3">
        <f>IF(AND(ISNUMBER(D7),ISNUMBER(D10)),ROUND(D7+(D10-D7)*0.333333,3),"")</f>
      </c>
      <c r="G8" t="s">
        <v>11</v>
      </c>
      <c r="H8" t="s">
        <v>12</v>
      </c>
    </row>
    <row r="9" spans="1:8" x14ac:dyDescent="0.25">
      <c r="A9">
        <v>97</v>
      </c>
      <c r="B9" t="s">
        <v>19</v>
      </c>
      <c r="C9" t="s">
        <v>9</v>
      </c>
      <c r="D9" s="2"/>
      <c r="E9" t="s">
        <v>11</v>
      </c>
      <c r="F9" s="3">
        <f>IF(AND(ISNUMBER(D7),ISNUMBER(D10)),ROUND(D7+(D10-D7)*0.666667,3),"")</f>
      </c>
      <c r="G9" t="s">
        <v>11</v>
      </c>
      <c r="H9" t="s">
        <v>12</v>
      </c>
    </row>
    <row r="10" spans="1:8" x14ac:dyDescent="0.25">
      <c r="A10">
        <v>98</v>
      </c>
      <c r="B10" t="s">
        <v>20</v>
      </c>
      <c r="C10" t="s">
        <v>9</v>
      </c>
      <c r="D10" s="2"/>
      <c r="E10" t="s">
        <v>10</v>
      </c>
      <c r="G10" t="s">
        <v>11</v>
      </c>
      <c r="H10" t="s">
        <v>12</v>
      </c>
    </row>
    <row r="11" spans="1:8" x14ac:dyDescent="0.25">
      <c r="A11">
        <v>135</v>
      </c>
      <c r="B11" t="s">
        <v>21</v>
      </c>
      <c r="C11" t="s">
        <v>9</v>
      </c>
      <c r="D11" s="2"/>
      <c r="E11" t="s">
        <v>10</v>
      </c>
      <c r="G11" t="s">
        <v>11</v>
      </c>
      <c r="H11" t="s">
        <v>22</v>
      </c>
    </row>
    <row r="12" spans="1:8" x14ac:dyDescent="0.25">
      <c r="A12">
        <v>136</v>
      </c>
      <c r="B12" t="s">
        <v>23</v>
      </c>
      <c r="C12" t="s">
        <v>9</v>
      </c>
      <c r="D12" s="2"/>
      <c r="E12" t="s">
        <v>11</v>
      </c>
      <c r="F12" s="3">
        <f>IF(AND(ISNUMBER(D11),ISNUMBER(D13)),ROUND(D11+(D13-D11)*0.500000,3),"")</f>
      </c>
      <c r="G12" t="s">
        <v>11</v>
      </c>
      <c r="H12" t="s">
        <v>22</v>
      </c>
    </row>
    <row r="13" spans="1:8" x14ac:dyDescent="0.25">
      <c r="A13">
        <v>137</v>
      </c>
      <c r="B13" t="s">
        <v>24</v>
      </c>
      <c r="C13" t="s">
        <v>9</v>
      </c>
      <c r="D13" s="2"/>
      <c r="E13" t="s">
        <v>10</v>
      </c>
      <c r="G13" t="s">
        <v>11</v>
      </c>
      <c r="H13" t="s">
        <v>22</v>
      </c>
    </row>
    <row r="14" spans="1:8" x14ac:dyDescent="0.25">
      <c r="A14">
        <v>138</v>
      </c>
      <c r="B14" t="s">
        <v>25</v>
      </c>
      <c r="C14" t="s">
        <v>9</v>
      </c>
      <c r="D14" s="2"/>
      <c r="E14" t="s">
        <v>11</v>
      </c>
      <c r="F14" s="3">
        <f>IF(AND(ISNUMBER(D13),ISNUMBER(D16)),ROUND(D13+(D16-D13)*0.333333,3),"")</f>
      </c>
      <c r="G14" t="s">
        <v>11</v>
      </c>
      <c r="H14" t="s">
        <v>22</v>
      </c>
    </row>
    <row r="15" spans="1:8" x14ac:dyDescent="0.25">
      <c r="A15">
        <v>139</v>
      </c>
      <c r="B15" t="s">
        <v>26</v>
      </c>
      <c r="C15" t="s">
        <v>9</v>
      </c>
      <c r="D15" s="2"/>
      <c r="E15" t="s">
        <v>11</v>
      </c>
      <c r="F15" s="3">
        <f>IF(AND(ISNUMBER(D13),ISNUMBER(D16)),ROUND(D13+(D16-D13)*0.666667,3),"")</f>
      </c>
      <c r="G15" t="s">
        <v>11</v>
      </c>
      <c r="H15" t="s">
        <v>22</v>
      </c>
    </row>
    <row r="16" spans="1:8" x14ac:dyDescent="0.25">
      <c r="A16">
        <v>140</v>
      </c>
      <c r="B16" t="s">
        <v>27</v>
      </c>
      <c r="C16" t="s">
        <v>9</v>
      </c>
      <c r="D16" s="2"/>
      <c r="E16" t="s">
        <v>10</v>
      </c>
      <c r="G16" t="s">
        <v>11</v>
      </c>
      <c r="H16" t="s">
        <v>22</v>
      </c>
    </row>
    <row r="17" spans="1:8" x14ac:dyDescent="0.25">
      <c r="A17">
        <v>141</v>
      </c>
      <c r="B17" t="s">
        <v>28</v>
      </c>
      <c r="C17" t="s">
        <v>9</v>
      </c>
      <c r="D17" s="2"/>
      <c r="E17" t="s">
        <v>11</v>
      </c>
      <c r="F17" s="3">
        <f>IF(AND(ISNUMBER(D16),ISNUMBER(D19)),ROUND(D16+(D19-D16)*0.333333,3),"")</f>
      </c>
      <c r="G17" t="s">
        <v>11</v>
      </c>
      <c r="H17" t="s">
        <v>22</v>
      </c>
    </row>
    <row r="18" spans="1:8" x14ac:dyDescent="0.25">
      <c r="A18">
        <v>142</v>
      </c>
      <c r="B18" t="s">
        <v>29</v>
      </c>
      <c r="C18" t="s">
        <v>9</v>
      </c>
      <c r="D18" s="2"/>
      <c r="E18" t="s">
        <v>11</v>
      </c>
      <c r="F18" s="3">
        <f>IF(AND(ISNUMBER(D16),ISNUMBER(D19)),ROUND(D16+(D19-D16)*0.666667,3),"")</f>
      </c>
      <c r="G18" t="s">
        <v>11</v>
      </c>
      <c r="H18" t="s">
        <v>22</v>
      </c>
    </row>
    <row r="19" spans="1:8" x14ac:dyDescent="0.25">
      <c r="A19">
        <v>143</v>
      </c>
      <c r="B19" t="s">
        <v>30</v>
      </c>
      <c r="C19" t="s">
        <v>9</v>
      </c>
      <c r="D19" s="2"/>
      <c r="E19" t="s">
        <v>10</v>
      </c>
      <c r="G19" t="s">
        <v>11</v>
      </c>
      <c r="H19" t="s">
        <v>22</v>
      </c>
    </row>
    <row r="20" spans="1:8" x14ac:dyDescent="0.25">
      <c r="A20">
        <v>225</v>
      </c>
      <c r="B20" t="s">
        <v>31</v>
      </c>
      <c r="C20" t="s">
        <v>9</v>
      </c>
      <c r="D20" s="2"/>
      <c r="E20" t="s">
        <v>10</v>
      </c>
      <c r="G20" t="s">
        <v>11</v>
      </c>
      <c r="H20" t="s">
        <v>32</v>
      </c>
    </row>
    <row r="21" spans="1:8" x14ac:dyDescent="0.25">
      <c r="A21">
        <v>226</v>
      </c>
      <c r="B21" t="s">
        <v>33</v>
      </c>
      <c r="C21" t="s">
        <v>9</v>
      </c>
      <c r="D21" s="2"/>
      <c r="E21" t="s">
        <v>11</v>
      </c>
      <c r="F21" s="3">
        <f>IF(AND(ISNUMBER(D20),ISNUMBER(D22)),ROUND(D20+(D22-D20)*0.500000,3),"")</f>
      </c>
      <c r="G21" t="s">
        <v>11</v>
      </c>
      <c r="H21" t="s">
        <v>32</v>
      </c>
    </row>
    <row r="22" spans="1:8" x14ac:dyDescent="0.25">
      <c r="A22">
        <v>227</v>
      </c>
      <c r="B22" t="s">
        <v>34</v>
      </c>
      <c r="C22" t="s">
        <v>9</v>
      </c>
      <c r="D22" s="2"/>
      <c r="E22" t="s">
        <v>10</v>
      </c>
      <c r="G22" t="s">
        <v>11</v>
      </c>
      <c r="H22" t="s">
        <v>32</v>
      </c>
    </row>
    <row r="23" spans="1:8" x14ac:dyDescent="0.25">
      <c r="A23">
        <v>228</v>
      </c>
      <c r="B23" t="s">
        <v>35</v>
      </c>
      <c r="C23" t="s">
        <v>9</v>
      </c>
      <c r="D23" s="2"/>
      <c r="E23" t="s">
        <v>11</v>
      </c>
      <c r="F23" s="3">
        <f>IF(AND(ISNUMBER(D22),ISNUMBER(D25)),ROUND(D22+(D25-D22)*0.333333,3),"")</f>
      </c>
      <c r="G23" t="s">
        <v>11</v>
      </c>
      <c r="H23" t="s">
        <v>32</v>
      </c>
    </row>
    <row r="24" spans="1:8" x14ac:dyDescent="0.25">
      <c r="A24">
        <v>229</v>
      </c>
      <c r="B24" t="s">
        <v>36</v>
      </c>
      <c r="C24" t="s">
        <v>9</v>
      </c>
      <c r="D24" s="2"/>
      <c r="E24" t="s">
        <v>11</v>
      </c>
      <c r="F24" s="3">
        <f>IF(AND(ISNUMBER(D22),ISNUMBER(D25)),ROUND(D22+(D25-D22)*0.666667,3),"")</f>
      </c>
      <c r="G24" t="s">
        <v>11</v>
      </c>
      <c r="H24" t="s">
        <v>32</v>
      </c>
    </row>
    <row r="25" spans="1:8" x14ac:dyDescent="0.25">
      <c r="A25">
        <v>230</v>
      </c>
      <c r="B25" t="s">
        <v>37</v>
      </c>
      <c r="C25" t="s">
        <v>9</v>
      </c>
      <c r="D25" s="2"/>
      <c r="E25" t="s">
        <v>10</v>
      </c>
      <c r="G25" t="s">
        <v>11</v>
      </c>
      <c r="H25" t="s">
        <v>32</v>
      </c>
    </row>
    <row r="26" spans="1:8" x14ac:dyDescent="0.25">
      <c r="A26">
        <v>231</v>
      </c>
      <c r="B26" t="s">
        <v>38</v>
      </c>
      <c r="C26" t="s">
        <v>9</v>
      </c>
      <c r="D26" s="2"/>
      <c r="E26" t="s">
        <v>11</v>
      </c>
      <c r="F26" s="3">
        <f>IF(AND(ISNUMBER(D25),ISNUMBER(D28)),ROUND(D25+(D28-D25)*0.333333,3),"")</f>
      </c>
      <c r="G26" t="s">
        <v>11</v>
      </c>
      <c r="H26" t="s">
        <v>32</v>
      </c>
    </row>
    <row r="27" spans="1:8" x14ac:dyDescent="0.25">
      <c r="A27">
        <v>232</v>
      </c>
      <c r="B27" t="s">
        <v>39</v>
      </c>
      <c r="C27" t="s">
        <v>9</v>
      </c>
      <c r="D27" s="2"/>
      <c r="E27" t="s">
        <v>11</v>
      </c>
      <c r="F27" s="3">
        <f>IF(AND(ISNUMBER(D25),ISNUMBER(D28)),ROUND(D25+(D28-D25)*0.666667,3),"")</f>
      </c>
      <c r="G27" t="s">
        <v>11</v>
      </c>
      <c r="H27" t="s">
        <v>32</v>
      </c>
    </row>
    <row r="28" spans="1:8" x14ac:dyDescent="0.25">
      <c r="A28">
        <v>233</v>
      </c>
      <c r="B28" t="s">
        <v>40</v>
      </c>
      <c r="C28" t="s">
        <v>9</v>
      </c>
      <c r="D28" s="2"/>
      <c r="E28" t="s">
        <v>10</v>
      </c>
      <c r="G28" t="s">
        <v>11</v>
      </c>
      <c r="H28" t="s">
        <v>32</v>
      </c>
    </row>
    <row r="29" spans="1:8" x14ac:dyDescent="0.25">
      <c r="A29">
        <v>270</v>
      </c>
      <c r="B29" t="s">
        <v>41</v>
      </c>
      <c r="C29" t="s">
        <v>9</v>
      </c>
      <c r="D29" s="2"/>
      <c r="E29" t="s">
        <v>10</v>
      </c>
      <c r="G29" t="s">
        <v>11</v>
      </c>
      <c r="H29" t="s">
        <v>42</v>
      </c>
    </row>
    <row r="30" spans="1:8" x14ac:dyDescent="0.25">
      <c r="A30">
        <v>271</v>
      </c>
      <c r="B30" t="s">
        <v>43</v>
      </c>
      <c r="C30" t="s">
        <v>9</v>
      </c>
      <c r="D30" s="2"/>
      <c r="E30" t="s">
        <v>11</v>
      </c>
      <c r="F30" s="3">
        <f>IF(AND(ISNUMBER(D29),ISNUMBER(D31)),ROUND(D29+(D31-D29)*0.500000,3),"")</f>
      </c>
      <c r="G30" t="s">
        <v>11</v>
      </c>
      <c r="H30" t="s">
        <v>42</v>
      </c>
    </row>
    <row r="31" spans="1:8" x14ac:dyDescent="0.25">
      <c r="A31">
        <v>272</v>
      </c>
      <c r="B31" t="s">
        <v>44</v>
      </c>
      <c r="C31" t="s">
        <v>9</v>
      </c>
      <c r="D31" s="2"/>
      <c r="E31" t="s">
        <v>10</v>
      </c>
      <c r="G31" t="s">
        <v>11</v>
      </c>
      <c r="H31" t="s">
        <v>42</v>
      </c>
    </row>
    <row r="32" spans="1:8" x14ac:dyDescent="0.25">
      <c r="A32">
        <v>273</v>
      </c>
      <c r="B32" t="s">
        <v>45</v>
      </c>
      <c r="C32" t="s">
        <v>9</v>
      </c>
      <c r="D32" s="2"/>
      <c r="E32" t="s">
        <v>11</v>
      </c>
      <c r="F32" s="3">
        <f>IF(AND(ISNUMBER(D31),ISNUMBER(D34)),ROUND(D31+(D34-D31)*0.333333,3),"")</f>
      </c>
      <c r="G32" t="s">
        <v>11</v>
      </c>
      <c r="H32" t="s">
        <v>42</v>
      </c>
    </row>
    <row r="33" spans="1:8" x14ac:dyDescent="0.25">
      <c r="A33">
        <v>274</v>
      </c>
      <c r="B33" t="s">
        <v>46</v>
      </c>
      <c r="C33" t="s">
        <v>9</v>
      </c>
      <c r="D33" s="2"/>
      <c r="E33" t="s">
        <v>11</v>
      </c>
      <c r="F33" s="3">
        <f>IF(AND(ISNUMBER(D31),ISNUMBER(D34)),ROUND(D31+(D34-D31)*0.666667,3),"")</f>
      </c>
      <c r="G33" t="s">
        <v>11</v>
      </c>
      <c r="H33" t="s">
        <v>42</v>
      </c>
    </row>
    <row r="34" spans="1:8" x14ac:dyDescent="0.25">
      <c r="A34">
        <v>275</v>
      </c>
      <c r="B34" t="s">
        <v>47</v>
      </c>
      <c r="C34" t="s">
        <v>9</v>
      </c>
      <c r="D34" s="2"/>
      <c r="E34" t="s">
        <v>10</v>
      </c>
      <c r="G34" t="s">
        <v>11</v>
      </c>
      <c r="H34" t="s">
        <v>42</v>
      </c>
    </row>
    <row r="35" spans="1:8" x14ac:dyDescent="0.25">
      <c r="A35">
        <v>276</v>
      </c>
      <c r="B35" t="s">
        <v>48</v>
      </c>
      <c r="C35" t="s">
        <v>9</v>
      </c>
      <c r="D35" s="2"/>
      <c r="E35" t="s">
        <v>11</v>
      </c>
      <c r="F35" s="3">
        <f>IF(AND(ISNUMBER(D34),ISNUMBER(D37)),ROUND(D34+(D37-D34)*0.333333,3),"")</f>
      </c>
      <c r="G35" t="s">
        <v>11</v>
      </c>
      <c r="H35" t="s">
        <v>42</v>
      </c>
    </row>
    <row r="36" spans="1:8" x14ac:dyDescent="0.25">
      <c r="A36">
        <v>277</v>
      </c>
      <c r="B36" t="s">
        <v>49</v>
      </c>
      <c r="C36" t="s">
        <v>9</v>
      </c>
      <c r="D36" s="2"/>
      <c r="E36" t="s">
        <v>11</v>
      </c>
      <c r="F36" s="3">
        <f>IF(AND(ISNUMBER(D34),ISNUMBER(D37)),ROUND(D34+(D37-D34)*0.666667,3),"")</f>
      </c>
      <c r="G36" t="s">
        <v>11</v>
      </c>
      <c r="H36" t="s">
        <v>42</v>
      </c>
    </row>
    <row r="37" spans="1:8" x14ac:dyDescent="0.25">
      <c r="A37">
        <v>278</v>
      </c>
      <c r="B37" t="s">
        <v>50</v>
      </c>
      <c r="C37" t="s">
        <v>9</v>
      </c>
      <c r="D37" s="2"/>
      <c r="E37" t="s">
        <v>10</v>
      </c>
      <c r="G37" t="s">
        <v>11</v>
      </c>
      <c r="H37" t="s">
        <v>42</v>
      </c>
    </row>
    <row r="38" spans="1:8" x14ac:dyDescent="0.25">
      <c r="A38">
        <v>315</v>
      </c>
      <c r="B38" t="s">
        <v>51</v>
      </c>
      <c r="C38" t="s">
        <v>9</v>
      </c>
      <c r="D38" s="2"/>
      <c r="E38" t="s">
        <v>10</v>
      </c>
      <c r="G38" t="s">
        <v>11</v>
      </c>
      <c r="H38" t="s">
        <v>52</v>
      </c>
    </row>
    <row r="39" spans="1:8" x14ac:dyDescent="0.25">
      <c r="A39">
        <v>316</v>
      </c>
      <c r="B39" t="s">
        <v>53</v>
      </c>
      <c r="C39" t="s">
        <v>9</v>
      </c>
      <c r="D39" s="2"/>
      <c r="E39" t="s">
        <v>11</v>
      </c>
      <c r="F39" s="3">
        <f>IF(AND(ISNUMBER(D38),ISNUMBER(D40)),ROUND(D38+(D40-D38)*0.500000,3),"")</f>
      </c>
      <c r="G39" t="s">
        <v>11</v>
      </c>
      <c r="H39" t="s">
        <v>52</v>
      </c>
    </row>
    <row r="40" spans="1:8" x14ac:dyDescent="0.25">
      <c r="A40">
        <v>317</v>
      </c>
      <c r="B40" t="s">
        <v>54</v>
      </c>
      <c r="C40" t="s">
        <v>9</v>
      </c>
      <c r="D40" s="2"/>
      <c r="E40" t="s">
        <v>10</v>
      </c>
      <c r="G40" t="s">
        <v>11</v>
      </c>
      <c r="H40" t="s">
        <v>52</v>
      </c>
    </row>
    <row r="41" spans="1:8" x14ac:dyDescent="0.25">
      <c r="A41">
        <v>318</v>
      </c>
      <c r="B41" t="s">
        <v>55</v>
      </c>
      <c r="C41" t="s">
        <v>9</v>
      </c>
      <c r="D41" s="2"/>
      <c r="E41" t="s">
        <v>11</v>
      </c>
      <c r="G41" t="s">
        <v>11</v>
      </c>
      <c r="H41" t="s">
        <v>52</v>
      </c>
    </row>
    <row r="42" spans="1:8" s="3" customFormat="1" x14ac:dyDescent="0.25">
      <c r="A42" s="3"/>
      <c r="B42" s="3" t="s">
        <v>56</v>
      </c>
      <c r="C42" s="3" t="s">
        <v>9</v>
      </c>
      <c r="E42" s="3" t="s">
        <v>11</v>
      </c>
      <c r="G42" s="3" t="s">
        <v>57</v>
      </c>
      <c r="H42" s="3" t="s">
        <v>52</v>
      </c>
    </row>
    <row r="43" spans="1:8" x14ac:dyDescent="0.25">
      <c r="A43">
        <v>327</v>
      </c>
      <c r="B43" t="s">
        <v>58</v>
      </c>
      <c r="C43" t="s">
        <v>9</v>
      </c>
      <c r="D43" s="2"/>
      <c r="E43" t="s">
        <v>10</v>
      </c>
      <c r="G43" t="s">
        <v>11</v>
      </c>
      <c r="H43" t="s">
        <v>59</v>
      </c>
    </row>
    <row r="44" spans="1:8" x14ac:dyDescent="0.25">
      <c r="A44">
        <v>328</v>
      </c>
      <c r="B44" t="s">
        <v>60</v>
      </c>
      <c r="C44" t="s">
        <v>9</v>
      </c>
      <c r="D44" s="2"/>
      <c r="E44" t="s">
        <v>11</v>
      </c>
      <c r="F44" s="3">
        <f>IF(AND(ISNUMBER(D43),ISNUMBER(D45)),ROUND(D43+(D45-D43)*0.500000,3),"")</f>
      </c>
      <c r="G44" t="s">
        <v>11</v>
      </c>
      <c r="H44" t="s">
        <v>59</v>
      </c>
    </row>
    <row r="45" spans="1:8" x14ac:dyDescent="0.25">
      <c r="A45">
        <v>329</v>
      </c>
      <c r="B45" t="s">
        <v>61</v>
      </c>
      <c r="C45" t="s">
        <v>9</v>
      </c>
      <c r="D45" s="2"/>
      <c r="E45" t="s">
        <v>10</v>
      </c>
      <c r="G45" t="s">
        <v>11</v>
      </c>
      <c r="H45" t="s">
        <v>59</v>
      </c>
    </row>
    <row r="46" spans="1:8" x14ac:dyDescent="0.25">
      <c r="A46">
        <v>330</v>
      </c>
      <c r="B46" t="s">
        <v>62</v>
      </c>
      <c r="C46" t="s">
        <v>9</v>
      </c>
      <c r="D46" s="2"/>
      <c r="E46" t="s">
        <v>11</v>
      </c>
      <c r="G46" t="s">
        <v>11</v>
      </c>
      <c r="H46" t="s">
        <v>59</v>
      </c>
    </row>
    <row r="47" spans="1:8" s="3" customFormat="1" x14ac:dyDescent="0.25">
      <c r="A47" s="3"/>
      <c r="B47" s="3" t="s">
        <v>63</v>
      </c>
      <c r="C47" s="3" t="s">
        <v>9</v>
      </c>
      <c r="E47" s="3" t="s">
        <v>11</v>
      </c>
      <c r="G47" s="3" t="s">
        <v>57</v>
      </c>
      <c r="H47" s="3" t="s">
        <v>59</v>
      </c>
    </row>
    <row r="48" spans="1:8" x14ac:dyDescent="0.25">
      <c r="A48">
        <v>34</v>
      </c>
      <c r="B48" t="s">
        <v>64</v>
      </c>
      <c r="C48" t="s">
        <v>9</v>
      </c>
      <c r="D48" s="2"/>
      <c r="E48" t="s">
        <v>10</v>
      </c>
      <c r="G48" t="s">
        <v>11</v>
      </c>
      <c r="H48" t="s">
        <v>65</v>
      </c>
    </row>
    <row r="49" spans="1:8" x14ac:dyDescent="0.25">
      <c r="A49">
        <v>35</v>
      </c>
      <c r="B49" t="s">
        <v>66</v>
      </c>
      <c r="C49" t="s">
        <v>9</v>
      </c>
      <c r="D49" s="2"/>
      <c r="E49" t="s">
        <v>11</v>
      </c>
      <c r="F49" s="3">
        <f>IF(AND(ISNUMBER(D48),ISNUMBER(D50)),ROUND(D48+(D50-D48)*0.500000,3),"")</f>
      </c>
      <c r="G49" t="s">
        <v>11</v>
      </c>
      <c r="H49" t="s">
        <v>65</v>
      </c>
    </row>
    <row r="50" spans="1:8" x14ac:dyDescent="0.25">
      <c r="A50">
        <v>36</v>
      </c>
      <c r="B50" t="s">
        <v>67</v>
      </c>
      <c r="C50" t="s">
        <v>9</v>
      </c>
      <c r="D50" s="2"/>
      <c r="E50" t="s">
        <v>10</v>
      </c>
      <c r="G50" t="s">
        <v>11</v>
      </c>
      <c r="H50" t="s">
        <v>65</v>
      </c>
    </row>
    <row r="51" spans="1:8" x14ac:dyDescent="0.25">
      <c r="A51">
        <v>37</v>
      </c>
      <c r="B51" t="s">
        <v>68</v>
      </c>
      <c r="C51" t="s">
        <v>9</v>
      </c>
      <c r="D51" s="2"/>
      <c r="E51" t="s">
        <v>11</v>
      </c>
      <c r="F51" s="3">
        <f>IF(AND(ISNUMBER(D50),ISNUMBER(D57)),ROUND(D50+(D57-D50)*0.142857,3),"")</f>
      </c>
      <c r="G51" t="s">
        <v>11</v>
      </c>
      <c r="H51" t="s">
        <v>65</v>
      </c>
    </row>
    <row r="52" spans="1:8" x14ac:dyDescent="0.25">
      <c r="A52">
        <v>38</v>
      </c>
      <c r="B52" t="s">
        <v>69</v>
      </c>
      <c r="C52" t="s">
        <v>9</v>
      </c>
      <c r="D52" s="2"/>
      <c r="E52" t="s">
        <v>11</v>
      </c>
      <c r="F52" s="3">
        <f>IF(AND(ISNUMBER(D50),ISNUMBER(D57)),ROUND(D50+(D57-D50)*0.285714,3),"")</f>
      </c>
      <c r="G52" t="s">
        <v>11</v>
      </c>
      <c r="H52" t="s">
        <v>65</v>
      </c>
    </row>
    <row r="53" spans="1:8" x14ac:dyDescent="0.25">
      <c r="A53">
        <v>39</v>
      </c>
      <c r="B53" t="s">
        <v>70</v>
      </c>
      <c r="C53" t="s">
        <v>9</v>
      </c>
      <c r="D53" s="2"/>
      <c r="E53" t="s">
        <v>11</v>
      </c>
      <c r="F53" s="3">
        <f>IF(AND(ISNUMBER(D50),ISNUMBER(D57)),ROUND(D50+(D57-D50)*0.428571,3),"")</f>
      </c>
      <c r="G53" t="s">
        <v>11</v>
      </c>
      <c r="H53" t="s">
        <v>65</v>
      </c>
    </row>
    <row r="54" spans="1:8" x14ac:dyDescent="0.25">
      <c r="A54">
        <v>40</v>
      </c>
      <c r="B54" t="s">
        <v>71</v>
      </c>
      <c r="C54" t="s">
        <v>9</v>
      </c>
      <c r="D54" s="2"/>
      <c r="E54" t="s">
        <v>11</v>
      </c>
      <c r="F54" s="3">
        <f>IF(AND(ISNUMBER(D50),ISNUMBER(D57)),ROUND(D50+(D57-D50)*0.571429,3),"")</f>
      </c>
      <c r="G54" t="s">
        <v>11</v>
      </c>
      <c r="H54" t="s">
        <v>65</v>
      </c>
    </row>
    <row r="55" spans="1:8" x14ac:dyDescent="0.25">
      <c r="A55">
        <v>41</v>
      </c>
      <c r="B55" t="s">
        <v>72</v>
      </c>
      <c r="C55" t="s">
        <v>9</v>
      </c>
      <c r="D55" s="2"/>
      <c r="E55" t="s">
        <v>11</v>
      </c>
      <c r="F55" s="3">
        <f>IF(AND(ISNUMBER(D50),ISNUMBER(D57)),ROUND(D50+(D57-D50)*0.714286,3),"")</f>
      </c>
      <c r="G55" t="s">
        <v>11</v>
      </c>
      <c r="H55" t="s">
        <v>65</v>
      </c>
    </row>
    <row r="56" spans="1:8" s="3" customFormat="1" x14ac:dyDescent="0.25">
      <c r="A56" s="3"/>
      <c r="B56" s="3" t="s">
        <v>73</v>
      </c>
      <c r="C56" s="3" t="s">
        <v>11</v>
      </c>
      <c r="E56" s="3" t="s">
        <v>11</v>
      </c>
      <c r="G56" s="3" t="s">
        <v>57</v>
      </c>
      <c r="H56" s="3" t="s">
        <v>65</v>
      </c>
    </row>
    <row r="57" spans="1:8" x14ac:dyDescent="0.25">
      <c r="A57">
        <v>42</v>
      </c>
      <c r="B57" t="s">
        <v>74</v>
      </c>
      <c r="C57" t="s">
        <v>9</v>
      </c>
      <c r="D57" s="2"/>
      <c r="E57" t="s">
        <v>10</v>
      </c>
      <c r="G57" t="s">
        <v>11</v>
      </c>
      <c r="H57" t="s">
        <v>65</v>
      </c>
    </row>
    <row r="58" spans="1:8" x14ac:dyDescent="0.25">
      <c r="A58">
        <v>43</v>
      </c>
      <c r="B58" t="s">
        <v>75</v>
      </c>
      <c r="C58" t="s">
        <v>9</v>
      </c>
      <c r="D58" s="2"/>
      <c r="E58" t="s">
        <v>10</v>
      </c>
      <c r="G58" t="s">
        <v>11</v>
      </c>
      <c r="H58" t="s">
        <v>76</v>
      </c>
    </row>
    <row r="59" spans="1:8" x14ac:dyDescent="0.25">
      <c r="A59">
        <v>45</v>
      </c>
      <c r="B59" t="s">
        <v>77</v>
      </c>
      <c r="C59" t="s">
        <v>9</v>
      </c>
      <c r="D59" s="2"/>
      <c r="E59" t="s">
        <v>11</v>
      </c>
      <c r="F59" s="3">
        <f>IF(AND(ISNUMBER(D58),ISNUMBER(D61)),ROUND(D58+(D61-D58)*0.333333,3),"")</f>
      </c>
      <c r="G59" t="s">
        <v>11</v>
      </c>
      <c r="H59" t="s">
        <v>76</v>
      </c>
    </row>
    <row r="60" spans="1:8" x14ac:dyDescent="0.25">
      <c r="A60">
        <v>46</v>
      </c>
      <c r="B60" t="s">
        <v>78</v>
      </c>
      <c r="C60" t="s">
        <v>9</v>
      </c>
      <c r="D60" s="2"/>
      <c r="E60" t="s">
        <v>11</v>
      </c>
      <c r="F60" s="3">
        <f>IF(AND(ISNUMBER(D58),ISNUMBER(D61)),ROUND(D58+(D61-D58)*0.666667,3),"")</f>
      </c>
      <c r="G60" t="s">
        <v>11</v>
      </c>
      <c r="H60" t="s">
        <v>76</v>
      </c>
    </row>
    <row r="61" spans="1:8" x14ac:dyDescent="0.25">
      <c r="A61">
        <v>47</v>
      </c>
      <c r="B61" t="s">
        <v>79</v>
      </c>
      <c r="C61" t="s">
        <v>9</v>
      </c>
      <c r="D61" s="2"/>
      <c r="E61" t="s">
        <v>10</v>
      </c>
      <c r="G61" t="s">
        <v>11</v>
      </c>
      <c r="H61" t="s">
        <v>76</v>
      </c>
    </row>
    <row r="62" spans="1:8" x14ac:dyDescent="0.25">
      <c r="A62">
        <v>48</v>
      </c>
      <c r="B62" t="s">
        <v>80</v>
      </c>
      <c r="C62" t="s">
        <v>9</v>
      </c>
      <c r="D62" s="2"/>
      <c r="E62" t="s">
        <v>11</v>
      </c>
      <c r="F62" s="3">
        <f>IF(AND(ISNUMBER(D61),ISNUMBER(D64)),ROUND(D61+(D64-D61)*0.333333,3),"")</f>
      </c>
      <c r="G62" t="s">
        <v>11</v>
      </c>
      <c r="H62" t="s">
        <v>76</v>
      </c>
    </row>
    <row r="63" spans="1:8" x14ac:dyDescent="0.25">
      <c r="A63">
        <v>51</v>
      </c>
      <c r="B63" t="s">
        <v>81</v>
      </c>
      <c r="C63" t="s">
        <v>9</v>
      </c>
      <c r="D63" s="2"/>
      <c r="E63" t="s">
        <v>11</v>
      </c>
      <c r="F63" s="3">
        <f>IF(AND(ISNUMBER(D61),ISNUMBER(D64)),ROUND(D61+(D64-D61)*0.666667,3),"")</f>
      </c>
      <c r="G63" t="s">
        <v>11</v>
      </c>
      <c r="H63" t="s">
        <v>76</v>
      </c>
    </row>
    <row r="64" spans="1:8" x14ac:dyDescent="0.25">
      <c r="A64">
        <v>54</v>
      </c>
      <c r="B64" t="s">
        <v>82</v>
      </c>
      <c r="C64" t="s">
        <v>9</v>
      </c>
      <c r="D64" s="2"/>
      <c r="E64" t="s">
        <v>10</v>
      </c>
      <c r="G64" t="s">
        <v>11</v>
      </c>
      <c r="H64" t="s">
        <v>76</v>
      </c>
    </row>
    <row r="65" spans="1:8" x14ac:dyDescent="0.25">
      <c r="A65">
        <v>353702</v>
      </c>
      <c r="B65" t="s">
        <v>83</v>
      </c>
      <c r="C65" t="s">
        <v>9</v>
      </c>
      <c r="D65" s="2"/>
      <c r="E65" t="s">
        <v>10</v>
      </c>
      <c r="G65" t="s">
        <v>11</v>
      </c>
      <c r="H65" t="s">
        <v>84</v>
      </c>
    </row>
    <row r="66" spans="1:8" x14ac:dyDescent="0.25">
      <c r="A66">
        <v>62</v>
      </c>
      <c r="B66" t="s">
        <v>85</v>
      </c>
      <c r="C66" t="s">
        <v>9</v>
      </c>
      <c r="D66" s="2"/>
      <c r="E66" t="s">
        <v>11</v>
      </c>
      <c r="F66" s="3">
        <f>IF(AND(ISNUMBER(D65),ISNUMBER(D68)),ROUND(D65+(D68-D65)*0.333333,3),"")</f>
      </c>
      <c r="G66" t="s">
        <v>11</v>
      </c>
      <c r="H66" t="s">
        <v>84</v>
      </c>
    </row>
    <row r="67" spans="1:8" x14ac:dyDescent="0.25">
      <c r="A67">
        <v>63</v>
      </c>
      <c r="B67" t="s">
        <v>86</v>
      </c>
      <c r="C67" t="s">
        <v>9</v>
      </c>
      <c r="D67" s="2"/>
      <c r="E67" t="s">
        <v>11</v>
      </c>
      <c r="F67" s="3">
        <f>IF(AND(ISNUMBER(D65),ISNUMBER(D68)),ROUND(D65+(D68-D65)*0.666667,3),"")</f>
      </c>
      <c r="G67" t="s">
        <v>11</v>
      </c>
      <c r="H67" t="s">
        <v>84</v>
      </c>
    </row>
    <row r="68" spans="1:8" x14ac:dyDescent="0.25">
      <c r="A68">
        <v>64</v>
      </c>
      <c r="B68" t="s">
        <v>87</v>
      </c>
      <c r="C68" t="s">
        <v>9</v>
      </c>
      <c r="D68" s="2"/>
      <c r="E68" t="s">
        <v>10</v>
      </c>
      <c r="G68" t="s">
        <v>11</v>
      </c>
      <c r="H68" t="s">
        <v>84</v>
      </c>
    </row>
    <row r="69" spans="1:8" x14ac:dyDescent="0.25">
      <c r="A69">
        <v>79</v>
      </c>
      <c r="B69" t="s">
        <v>88</v>
      </c>
      <c r="C69" t="s">
        <v>9</v>
      </c>
      <c r="D69" s="2"/>
      <c r="E69" t="s">
        <v>10</v>
      </c>
      <c r="G69" t="s">
        <v>11</v>
      </c>
      <c r="H69" t="s">
        <v>89</v>
      </c>
    </row>
    <row r="70" spans="1:8" x14ac:dyDescent="0.25">
      <c r="A70">
        <v>81</v>
      </c>
      <c r="B70" t="s">
        <v>90</v>
      </c>
      <c r="C70" t="s">
        <v>9</v>
      </c>
      <c r="D70" s="2"/>
      <c r="E70" t="s">
        <v>11</v>
      </c>
      <c r="F70" s="3">
        <f>IF(AND(ISNUMBER(D69),ISNUMBER(D72)),ROUND(D69+(D72-D69)*0.333333,3),"")</f>
      </c>
      <c r="G70" t="s">
        <v>11</v>
      </c>
      <c r="H70" t="s">
        <v>89</v>
      </c>
    </row>
    <row r="71" spans="1:8" x14ac:dyDescent="0.25">
      <c r="A71">
        <v>354152</v>
      </c>
      <c r="B71" t="s">
        <v>91</v>
      </c>
      <c r="C71" t="s">
        <v>9</v>
      </c>
      <c r="D71" s="2"/>
      <c r="E71" t="s">
        <v>11</v>
      </c>
      <c r="F71" s="3">
        <f>IF(AND(ISNUMBER(D69),ISNUMBER(D72)),ROUND(D69+(D72-D69)*0.666667,3),"")</f>
      </c>
      <c r="G71" t="s">
        <v>11</v>
      </c>
      <c r="H71" t="s">
        <v>89</v>
      </c>
    </row>
    <row r="72" spans="1:8" x14ac:dyDescent="0.25">
      <c r="A72">
        <v>88</v>
      </c>
      <c r="B72" t="s">
        <v>92</v>
      </c>
      <c r="C72" t="s">
        <v>9</v>
      </c>
      <c r="D72" s="2"/>
      <c r="E72" t="s">
        <v>10</v>
      </c>
      <c r="G72" t="s">
        <v>11</v>
      </c>
      <c r="H72" t="s">
        <v>89</v>
      </c>
    </row>
    <row r="73" spans="1:8" x14ac:dyDescent="0.25">
      <c r="A73">
        <v>354153</v>
      </c>
      <c r="B73" t="s">
        <v>93</v>
      </c>
      <c r="C73" t="s">
        <v>9</v>
      </c>
      <c r="D73" s="2"/>
      <c r="E73" t="s">
        <v>11</v>
      </c>
      <c r="G73" t="s">
        <v>11</v>
      </c>
      <c r="H73" t="s">
        <v>89</v>
      </c>
    </row>
    <row r="74" spans="1:8" x14ac:dyDescent="0.25">
      <c r="A74">
        <v>354154</v>
      </c>
      <c r="B74" t="s">
        <v>94</v>
      </c>
      <c r="C74" t="s">
        <v>9</v>
      </c>
      <c r="D74" s="2"/>
      <c r="E74" t="s">
        <v>11</v>
      </c>
      <c r="G74" t="s">
        <v>11</v>
      </c>
      <c r="H74" t="s">
        <v>89</v>
      </c>
    </row>
    <row r="75" spans="1:8" x14ac:dyDescent="0.25">
      <c r="A75">
        <v>21</v>
      </c>
      <c r="B75" t="s">
        <v>95</v>
      </c>
      <c r="C75" t="s">
        <v>9</v>
      </c>
      <c r="D75" s="2"/>
      <c r="E75" t="s">
        <v>10</v>
      </c>
      <c r="G75" t="s">
        <v>11</v>
      </c>
      <c r="H75" t="s">
        <v>96</v>
      </c>
    </row>
    <row r="76" spans="1:8" x14ac:dyDescent="0.25">
      <c r="A76">
        <v>23</v>
      </c>
      <c r="B76" t="s">
        <v>97</v>
      </c>
      <c r="C76" t="s">
        <v>9</v>
      </c>
      <c r="D76" s="2"/>
      <c r="E76" t="s">
        <v>11</v>
      </c>
      <c r="F76" s="3">
        <f>IF(AND(ISNUMBER(D75),ISNUMBER(D77)),ROUND(D75+(D77-D75)*0.500000,3),"")</f>
      </c>
      <c r="G76" t="s">
        <v>11</v>
      </c>
      <c r="H76" t="s">
        <v>96</v>
      </c>
    </row>
    <row r="77" spans="1:8" x14ac:dyDescent="0.25">
      <c r="A77">
        <v>25</v>
      </c>
      <c r="B77" t="s">
        <v>98</v>
      </c>
      <c r="C77" t="s">
        <v>9</v>
      </c>
      <c r="D77" s="2"/>
      <c r="E77" t="s">
        <v>10</v>
      </c>
      <c r="G77" t="s">
        <v>11</v>
      </c>
      <c r="H77" t="s">
        <v>96</v>
      </c>
    </row>
    <row r="78" spans="1:8" x14ac:dyDescent="0.25">
      <c r="A78">
        <v>26</v>
      </c>
      <c r="B78" t="s">
        <v>99</v>
      </c>
      <c r="C78" t="s">
        <v>9</v>
      </c>
      <c r="D78" s="2"/>
      <c r="E78" t="s">
        <v>11</v>
      </c>
      <c r="F78" s="3">
        <f>IF(AND(ISNUMBER(D77),ISNUMBER(D79)),ROUND(D77+(D79-D77)*0.500000,3),"")</f>
      </c>
      <c r="G78" t="s">
        <v>11</v>
      </c>
      <c r="H78" t="s">
        <v>96</v>
      </c>
    </row>
    <row r="79" spans="1:8" x14ac:dyDescent="0.25">
      <c r="A79">
        <v>28</v>
      </c>
      <c r="B79" t="s">
        <v>100</v>
      </c>
      <c r="C79" t="s">
        <v>9</v>
      </c>
      <c r="D79" s="2"/>
      <c r="E79" t="s">
        <v>10</v>
      </c>
      <c r="G79" t="s">
        <v>11</v>
      </c>
      <c r="H79" t="s">
        <v>96</v>
      </c>
    </row>
    <row r="80" spans="1:8" x14ac:dyDescent="0.25">
      <c r="A80">
        <v>29</v>
      </c>
      <c r="B80" t="s">
        <v>101</v>
      </c>
      <c r="C80" t="s">
        <v>9</v>
      </c>
      <c r="D80" s="2"/>
      <c r="E80" t="s">
        <v>11</v>
      </c>
      <c r="F80" s="3">
        <f>IF(AND(ISNUMBER(D79),ISNUMBER(D82)),ROUND(D79+(D82-D79)*0.333333,3),"")</f>
      </c>
      <c r="G80" t="s">
        <v>11</v>
      </c>
      <c r="H80" t="s">
        <v>96</v>
      </c>
    </row>
    <row r="81" spans="1:8" x14ac:dyDescent="0.25">
      <c r="A81">
        <v>31</v>
      </c>
      <c r="B81" t="s">
        <v>102</v>
      </c>
      <c r="C81" t="s">
        <v>9</v>
      </c>
      <c r="D81" s="2"/>
      <c r="E81" t="s">
        <v>11</v>
      </c>
      <c r="F81" s="3">
        <f>IF(AND(ISNUMBER(D79),ISNUMBER(D82)),ROUND(D79+(D82-D79)*0.666667,3),"")</f>
      </c>
      <c r="G81" t="s">
        <v>11</v>
      </c>
      <c r="H81" t="s">
        <v>96</v>
      </c>
    </row>
    <row r="82" spans="1:8" x14ac:dyDescent="0.25">
      <c r="A82">
        <v>33</v>
      </c>
      <c r="B82" t="s">
        <v>103</v>
      </c>
      <c r="C82" t="s">
        <v>9</v>
      </c>
      <c r="D82" s="2"/>
      <c r="E82" t="s">
        <v>10</v>
      </c>
      <c r="G82" t="s">
        <v>11</v>
      </c>
      <c r="H82" t="s">
        <v>96</v>
      </c>
    </row>
    <row r="83" spans="1:8" s="3" customFormat="1" x14ac:dyDescent="0.25">
      <c r="A83" s="3"/>
      <c r="B83" s="3" t="s">
        <v>104</v>
      </c>
      <c r="C83" s="3" t="s">
        <v>9</v>
      </c>
      <c r="E83" s="3" t="s">
        <v>11</v>
      </c>
      <c r="G83" s="3" t="s">
        <v>57</v>
      </c>
      <c r="H83" s="3" t="s">
        <v>96</v>
      </c>
    </row>
    <row r="84" spans="1:8" x14ac:dyDescent="0.25">
      <c r="A84">
        <v>1</v>
      </c>
      <c r="B84" t="s">
        <v>105</v>
      </c>
      <c r="C84" t="s">
        <v>9</v>
      </c>
      <c r="D84" s="2"/>
      <c r="E84" t="s">
        <v>11</v>
      </c>
      <c r="G84" t="s">
        <v>106</v>
      </c>
      <c r="H84" t="s">
        <v>107</v>
      </c>
    </row>
    <row r="85" spans="1:8" x14ac:dyDescent="0.25">
      <c r="A85">
        <v>2</v>
      </c>
      <c r="B85" t="s">
        <v>108</v>
      </c>
      <c r="C85" t="s">
        <v>9</v>
      </c>
      <c r="D85" s="2"/>
      <c r="E85" t="s">
        <v>10</v>
      </c>
      <c r="G85" t="s">
        <v>106</v>
      </c>
      <c r="H85" t="s">
        <v>107</v>
      </c>
    </row>
    <row r="86" spans="1:8" x14ac:dyDescent="0.25">
      <c r="A86">
        <v>3</v>
      </c>
      <c r="B86" t="s">
        <v>109</v>
      </c>
      <c r="C86" t="s">
        <v>9</v>
      </c>
      <c r="D86" s="2"/>
      <c r="E86" t="s">
        <v>11</v>
      </c>
      <c r="F86" s="3">
        <f>IF(AND(ISNUMBER(D85),ISNUMBER(D88)),ROUND(D85+(D88-D85)*0.333333,3),"")</f>
      </c>
      <c r="G86" t="s">
        <v>106</v>
      </c>
      <c r="H86" t="s">
        <v>107</v>
      </c>
    </row>
    <row r="87" spans="1:8" x14ac:dyDescent="0.25">
      <c r="A87">
        <v>5</v>
      </c>
      <c r="B87" t="s">
        <v>110</v>
      </c>
      <c r="C87" t="s">
        <v>9</v>
      </c>
      <c r="D87" s="2"/>
      <c r="E87" t="s">
        <v>11</v>
      </c>
      <c r="F87" s="3">
        <f>IF(AND(ISNUMBER(D85),ISNUMBER(D88)),ROUND(D85+(D88-D85)*0.666667,3),"")</f>
      </c>
      <c r="G87" t="s">
        <v>106</v>
      </c>
      <c r="H87" t="s">
        <v>107</v>
      </c>
    </row>
    <row r="88" spans="1:8" x14ac:dyDescent="0.25">
      <c r="A88">
        <v>6</v>
      </c>
      <c r="B88" t="s">
        <v>111</v>
      </c>
      <c r="C88" t="s">
        <v>9</v>
      </c>
      <c r="D88" s="2"/>
      <c r="E88" t="s">
        <v>10</v>
      </c>
      <c r="G88" t="s">
        <v>106</v>
      </c>
      <c r="H88" t="s">
        <v>107</v>
      </c>
    </row>
    <row r="89" spans="1:8" x14ac:dyDescent="0.25">
      <c r="A89">
        <v>7</v>
      </c>
      <c r="B89" t="s">
        <v>112</v>
      </c>
      <c r="C89" t="s">
        <v>9</v>
      </c>
      <c r="D89" s="2"/>
      <c r="E89" t="s">
        <v>11</v>
      </c>
      <c r="F89" s="3">
        <f>IF(AND(ISNUMBER(D88),ISNUMBER(D91)),ROUND(D88+(D91-D88)*0.333333,3),"")</f>
      </c>
      <c r="G89" t="s">
        <v>106</v>
      </c>
      <c r="H89" t="s">
        <v>107</v>
      </c>
    </row>
    <row r="90" spans="1:8" x14ac:dyDescent="0.25">
      <c r="A90">
        <v>9</v>
      </c>
      <c r="B90" t="s">
        <v>113</v>
      </c>
      <c r="C90" t="s">
        <v>9</v>
      </c>
      <c r="D90" s="2"/>
      <c r="E90" t="s">
        <v>11</v>
      </c>
      <c r="F90" s="3">
        <f>IF(AND(ISNUMBER(D88),ISNUMBER(D91)),ROUND(D88+(D91-D88)*0.666667,3),"")</f>
      </c>
      <c r="G90" t="s">
        <v>106</v>
      </c>
      <c r="H90" t="s">
        <v>107</v>
      </c>
    </row>
    <row r="91" spans="1:8" x14ac:dyDescent="0.25">
      <c r="A91">
        <v>11</v>
      </c>
      <c r="B91" t="s">
        <v>114</v>
      </c>
      <c r="C91" t="s">
        <v>9</v>
      </c>
      <c r="D91" s="2"/>
      <c r="E91" t="s">
        <v>10</v>
      </c>
      <c r="G91" t="s">
        <v>106</v>
      </c>
      <c r="H91" t="s">
        <v>107</v>
      </c>
    </row>
    <row r="92" spans="1:8" x14ac:dyDescent="0.25">
      <c r="A92">
        <v>12</v>
      </c>
      <c r="B92" t="s">
        <v>115</v>
      </c>
      <c r="C92" t="s">
        <v>9</v>
      </c>
      <c r="D92" s="2"/>
      <c r="E92" t="s">
        <v>11</v>
      </c>
      <c r="F92" s="3">
        <f>IF(AND(ISNUMBER(D91),ISNUMBER(D96)),ROUND(D91+(D96-D91)*0.200000,3),"")</f>
      </c>
      <c r="G92" t="s">
        <v>106</v>
      </c>
      <c r="H92" t="s">
        <v>107</v>
      </c>
    </row>
    <row r="93" spans="1:8" x14ac:dyDescent="0.25">
      <c r="A93">
        <v>14</v>
      </c>
      <c r="B93" t="s">
        <v>116</v>
      </c>
      <c r="C93" t="s">
        <v>9</v>
      </c>
      <c r="D93" s="2"/>
      <c r="E93" t="s">
        <v>11</v>
      </c>
      <c r="F93" s="3">
        <f>IF(AND(ISNUMBER(D91),ISNUMBER(D96)),ROUND(D91+(D96-D91)*0.400000,3),"")</f>
      </c>
      <c r="G93" t="s">
        <v>106</v>
      </c>
      <c r="H93" t="s">
        <v>107</v>
      </c>
    </row>
    <row r="94" spans="1:8" x14ac:dyDescent="0.25">
      <c r="A94">
        <v>15</v>
      </c>
      <c r="B94" t="s">
        <v>117</v>
      </c>
      <c r="C94" t="s">
        <v>9</v>
      </c>
      <c r="D94" s="2"/>
      <c r="E94" t="s">
        <v>11</v>
      </c>
      <c r="F94" s="3">
        <f>IF(AND(ISNUMBER(D91),ISNUMBER(D96)),ROUND(D91+(D96-D91)*0.600000,3),"")</f>
      </c>
      <c r="G94" t="s">
        <v>106</v>
      </c>
      <c r="H94" t="s">
        <v>107</v>
      </c>
    </row>
    <row r="95" spans="1:8" x14ac:dyDescent="0.25">
      <c r="A95">
        <v>17</v>
      </c>
      <c r="B95" t="s">
        <v>118</v>
      </c>
      <c r="C95" t="s">
        <v>9</v>
      </c>
      <c r="D95" s="2"/>
      <c r="E95" t="s">
        <v>11</v>
      </c>
      <c r="F95" s="3">
        <f>IF(AND(ISNUMBER(D91),ISNUMBER(D96)),ROUND(D91+(D96-D91)*0.800000,3),"")</f>
      </c>
      <c r="G95" t="s">
        <v>106</v>
      </c>
      <c r="H95" t="s">
        <v>107</v>
      </c>
    </row>
    <row r="96" spans="1:8" x14ac:dyDescent="0.25">
      <c r="A96">
        <v>19</v>
      </c>
      <c r="B96" t="s">
        <v>119</v>
      </c>
      <c r="C96" t="s">
        <v>9</v>
      </c>
      <c r="D96" s="2"/>
      <c r="E96" t="s">
        <v>10</v>
      </c>
      <c r="G96" t="s">
        <v>106</v>
      </c>
      <c r="H96" t="s">
        <v>107</v>
      </c>
    </row>
    <row r="97" spans="1:8" x14ac:dyDescent="0.25">
      <c r="A97">
        <v>543</v>
      </c>
      <c r="B97" t="s">
        <v>120</v>
      </c>
      <c r="C97" t="s">
        <v>9</v>
      </c>
      <c r="D97" s="2"/>
      <c r="E97" t="s">
        <v>11</v>
      </c>
      <c r="G97" t="s">
        <v>11</v>
      </c>
      <c r="H97" t="s">
        <v>121</v>
      </c>
    </row>
    <row r="98" spans="1:8" x14ac:dyDescent="0.25">
      <c r="A98">
        <v>354050</v>
      </c>
      <c r="B98" t="s">
        <v>122</v>
      </c>
      <c r="C98" t="s">
        <v>9</v>
      </c>
      <c r="D98" s="2"/>
      <c r="E98" t="s">
        <v>11</v>
      </c>
      <c r="G98" t="s">
        <v>11</v>
      </c>
      <c r="H98" t="s">
        <v>121</v>
      </c>
    </row>
    <row r="99" spans="1:8" x14ac:dyDescent="0.25">
      <c r="A99">
        <v>546</v>
      </c>
      <c r="B99" t="s">
        <v>123</v>
      </c>
      <c r="C99" t="s">
        <v>9</v>
      </c>
      <c r="D99" s="2"/>
      <c r="E99" t="s">
        <v>11</v>
      </c>
      <c r="G99" t="s">
        <v>11</v>
      </c>
      <c r="H99" t="s">
        <v>121</v>
      </c>
    </row>
    <row r="100" spans="1:8" x14ac:dyDescent="0.25">
      <c r="A100">
        <v>353704</v>
      </c>
      <c r="B100" t="s">
        <v>124</v>
      </c>
      <c r="C100" t="s">
        <v>9</v>
      </c>
      <c r="D100" s="2"/>
      <c r="E100" t="s">
        <v>11</v>
      </c>
      <c r="G100" t="s">
        <v>11</v>
      </c>
      <c r="H100" t="s">
        <v>121</v>
      </c>
    </row>
    <row r="101" spans="1:8" x14ac:dyDescent="0.25">
      <c r="A101">
        <v>90</v>
      </c>
      <c r="B101" t="s">
        <v>8</v>
      </c>
      <c r="C101" t="s">
        <v>125</v>
      </c>
      <c r="D101" s="2"/>
      <c r="E101" t="s">
        <v>10</v>
      </c>
      <c r="G101" t="s">
        <v>126</v>
      </c>
      <c r="H101" t="s">
        <v>127</v>
      </c>
    </row>
    <row r="102" spans="1:8" x14ac:dyDescent="0.25">
      <c r="A102">
        <v>91</v>
      </c>
      <c r="B102" t="s">
        <v>13</v>
      </c>
      <c r="C102" t="s">
        <v>125</v>
      </c>
      <c r="D102" s="2"/>
      <c r="E102" t="s">
        <v>11</v>
      </c>
      <c r="F102" s="3">
        <f>IF(AND(ISNUMBER(D101),ISNUMBER(D103)),ROUND(D101+(D103-D101)*0.500000,3),"")</f>
      </c>
      <c r="G102" t="s">
        <v>126</v>
      </c>
      <c r="H102" t="s">
        <v>127</v>
      </c>
    </row>
    <row r="103" spans="1:8" x14ac:dyDescent="0.25">
      <c r="A103">
        <v>92</v>
      </c>
      <c r="B103" t="s">
        <v>14</v>
      </c>
      <c r="C103" t="s">
        <v>125</v>
      </c>
      <c r="D103" s="2"/>
      <c r="E103" t="s">
        <v>10</v>
      </c>
      <c r="G103" t="s">
        <v>126</v>
      </c>
      <c r="H103" t="s">
        <v>127</v>
      </c>
    </row>
    <row r="104" spans="1:8" x14ac:dyDescent="0.25">
      <c r="A104">
        <v>225</v>
      </c>
      <c r="B104" t="s">
        <v>31</v>
      </c>
      <c r="C104" t="s">
        <v>125</v>
      </c>
      <c r="D104" s="2"/>
      <c r="E104" t="s">
        <v>10</v>
      </c>
      <c r="G104" t="s">
        <v>126</v>
      </c>
      <c r="H104" t="s">
        <v>127</v>
      </c>
    </row>
    <row r="105" spans="1:8" x14ac:dyDescent="0.25">
      <c r="A105">
        <v>226</v>
      </c>
      <c r="B105" t="s">
        <v>33</v>
      </c>
      <c r="C105" t="s">
        <v>125</v>
      </c>
      <c r="D105" s="2"/>
      <c r="E105" t="s">
        <v>11</v>
      </c>
      <c r="F105" s="3">
        <f>IF(AND(ISNUMBER(D104),ISNUMBER(D106)),ROUND(D104+(D106-D104)*0.500000,3),"")</f>
      </c>
      <c r="G105" t="s">
        <v>126</v>
      </c>
      <c r="H105" t="s">
        <v>127</v>
      </c>
    </row>
    <row r="106" spans="1:8" x14ac:dyDescent="0.25">
      <c r="A106">
        <v>227</v>
      </c>
      <c r="B106" t="s">
        <v>34</v>
      </c>
      <c r="C106" t="s">
        <v>125</v>
      </c>
      <c r="D106" s="2"/>
      <c r="E106" t="s">
        <v>10</v>
      </c>
      <c r="G106" t="s">
        <v>126</v>
      </c>
      <c r="H106" t="s">
        <v>127</v>
      </c>
    </row>
    <row r="107" spans="1:8" x14ac:dyDescent="0.25">
      <c r="A107">
        <v>270</v>
      </c>
      <c r="B107" t="s">
        <v>41</v>
      </c>
      <c r="C107" t="s">
        <v>125</v>
      </c>
      <c r="D107" s="2"/>
      <c r="E107" t="s">
        <v>10</v>
      </c>
      <c r="G107" t="s">
        <v>126</v>
      </c>
      <c r="H107" t="s">
        <v>127</v>
      </c>
    </row>
    <row r="108" spans="1:8" x14ac:dyDescent="0.25">
      <c r="A108">
        <v>271</v>
      </c>
      <c r="B108" t="s">
        <v>43</v>
      </c>
      <c r="C108" t="s">
        <v>125</v>
      </c>
      <c r="D108" s="2"/>
      <c r="E108" t="s">
        <v>11</v>
      </c>
      <c r="F108" s="3">
        <f>IF(AND(ISNUMBER(D107),ISNUMBER(D109)),ROUND(D107+(D109-D107)*0.500000,3),"")</f>
      </c>
      <c r="G108" t="s">
        <v>126</v>
      </c>
      <c r="H108" t="s">
        <v>127</v>
      </c>
    </row>
    <row r="109" spans="1:8" x14ac:dyDescent="0.25">
      <c r="A109">
        <v>272</v>
      </c>
      <c r="B109" t="s">
        <v>44</v>
      </c>
      <c r="C109" t="s">
        <v>125</v>
      </c>
      <c r="D109" s="2"/>
      <c r="E109" t="s">
        <v>10</v>
      </c>
      <c r="G109" t="s">
        <v>126</v>
      </c>
      <c r="H109" t="s">
        <v>127</v>
      </c>
    </row>
    <row r="110" spans="1:8" x14ac:dyDescent="0.25">
      <c r="A110">
        <v>113</v>
      </c>
      <c r="B110" t="s">
        <v>128</v>
      </c>
      <c r="C110" t="s">
        <v>129</v>
      </c>
      <c r="D110" s="2"/>
      <c r="E110" t="s">
        <v>11</v>
      </c>
      <c r="G110" t="s">
        <v>11</v>
      </c>
      <c r="H110" t="s">
        <v>130</v>
      </c>
    </row>
    <row r="111" spans="1:8" x14ac:dyDescent="0.25">
      <c r="A111">
        <v>121</v>
      </c>
      <c r="B111" t="s">
        <v>131</v>
      </c>
      <c r="C111" t="s">
        <v>129</v>
      </c>
      <c r="D111" s="2"/>
      <c r="E111" t="s">
        <v>10</v>
      </c>
      <c r="G111" t="s">
        <v>11</v>
      </c>
      <c r="H111" t="s">
        <v>130</v>
      </c>
    </row>
    <row r="112" spans="1:8" x14ac:dyDescent="0.25">
      <c r="A112">
        <v>129</v>
      </c>
      <c r="B112" t="s">
        <v>132</v>
      </c>
      <c r="C112" t="s">
        <v>129</v>
      </c>
      <c r="D112" s="2"/>
      <c r="E112" t="s">
        <v>11</v>
      </c>
      <c r="F112" s="3">
        <f>IF(AND(ISNUMBER(D111),ISNUMBER(D113)),ROUND(D111+(D113-D111)*0.500000,3),"")</f>
      </c>
      <c r="G112" t="s">
        <v>11</v>
      </c>
      <c r="H112" t="s">
        <v>130</v>
      </c>
    </row>
    <row r="113" spans="1:8" x14ac:dyDescent="0.25">
      <c r="A113">
        <v>133</v>
      </c>
      <c r="B113" t="s">
        <v>133</v>
      </c>
      <c r="C113" t="s">
        <v>129</v>
      </c>
      <c r="D113" s="2"/>
      <c r="E113" t="s">
        <v>10</v>
      </c>
      <c r="G113" t="s">
        <v>11</v>
      </c>
      <c r="H113" t="s">
        <v>130</v>
      </c>
    </row>
    <row r="114" spans="1:8" x14ac:dyDescent="0.25">
      <c r="A114">
        <v>158</v>
      </c>
      <c r="B114" t="s">
        <v>134</v>
      </c>
      <c r="C114" t="s">
        <v>129</v>
      </c>
      <c r="D114" s="2"/>
      <c r="E114" t="s">
        <v>11</v>
      </c>
      <c r="F114" s="3">
        <f>IF(AND(ISNUMBER(D113),ISNUMBER(D115)),ROUND(D113+(D115-D113)*0.500000,3),"")</f>
      </c>
      <c r="G114" t="s">
        <v>11</v>
      </c>
      <c r="H114" t="s">
        <v>130</v>
      </c>
    </row>
    <row r="115" spans="1:8" x14ac:dyDescent="0.25">
      <c r="A115">
        <v>166</v>
      </c>
      <c r="B115" t="s">
        <v>135</v>
      </c>
      <c r="C115" t="s">
        <v>129</v>
      </c>
      <c r="D115" s="2"/>
      <c r="E115" t="s">
        <v>10</v>
      </c>
      <c r="G115" t="s">
        <v>11</v>
      </c>
      <c r="H115" t="s">
        <v>130</v>
      </c>
    </row>
    <row r="116" spans="1:8" x14ac:dyDescent="0.25">
      <c r="A116">
        <v>174</v>
      </c>
      <c r="B116" t="s">
        <v>136</v>
      </c>
      <c r="C116" t="s">
        <v>129</v>
      </c>
      <c r="D116" s="2"/>
      <c r="E116" t="s">
        <v>11</v>
      </c>
      <c r="F116" s="3">
        <f>IF(AND(ISNUMBER(D115),ISNUMBER(D117)),ROUND(D115+(D117-D115)*0.500000,3),"")</f>
      </c>
      <c r="G116" t="s">
        <v>11</v>
      </c>
      <c r="H116" t="s">
        <v>130</v>
      </c>
    </row>
    <row r="117" spans="1:8" x14ac:dyDescent="0.25">
      <c r="A117">
        <v>178</v>
      </c>
      <c r="B117" t="s">
        <v>137</v>
      </c>
      <c r="C117" t="s">
        <v>129</v>
      </c>
      <c r="D117" s="2"/>
      <c r="E117" t="s">
        <v>10</v>
      </c>
      <c r="G117" t="s">
        <v>11</v>
      </c>
      <c r="H117" t="s">
        <v>130</v>
      </c>
    </row>
    <row r="118" spans="1:8" x14ac:dyDescent="0.25">
      <c r="A118">
        <v>248</v>
      </c>
      <c r="B118" t="s">
        <v>138</v>
      </c>
      <c r="C118" t="s">
        <v>129</v>
      </c>
      <c r="D118" s="2"/>
      <c r="E118" t="s">
        <v>11</v>
      </c>
      <c r="F118" s="3">
        <f>IF(AND(ISNUMBER(D117),ISNUMBER(D119)),ROUND(D117+(D119-D117)*0.500000,3),"")</f>
      </c>
      <c r="G118" t="s">
        <v>11</v>
      </c>
      <c r="H118" t="s">
        <v>130</v>
      </c>
    </row>
    <row r="119" spans="1:8" x14ac:dyDescent="0.25">
      <c r="A119">
        <v>256</v>
      </c>
      <c r="B119" t="s">
        <v>139</v>
      </c>
      <c r="C119" t="s">
        <v>129</v>
      </c>
      <c r="D119" s="2"/>
      <c r="E119" t="s">
        <v>10</v>
      </c>
      <c r="G119" t="s">
        <v>11</v>
      </c>
      <c r="H119" t="s">
        <v>130</v>
      </c>
    </row>
    <row r="120" spans="1:8" x14ac:dyDescent="0.25">
      <c r="A120">
        <v>264</v>
      </c>
      <c r="B120" t="s">
        <v>140</v>
      </c>
      <c r="C120" t="s">
        <v>129</v>
      </c>
      <c r="D120" s="2"/>
      <c r="E120" t="s">
        <v>11</v>
      </c>
      <c r="F120" s="3">
        <f>IF(AND(ISNUMBER(D119),ISNUMBER(D121)),ROUND(D119+(D121-D119)*0.500000,3),"")</f>
      </c>
      <c r="G120" t="s">
        <v>11</v>
      </c>
      <c r="H120" t="s">
        <v>130</v>
      </c>
    </row>
    <row r="121" spans="1:8" x14ac:dyDescent="0.25">
      <c r="A121">
        <v>268</v>
      </c>
      <c r="B121" t="s">
        <v>141</v>
      </c>
      <c r="C121" t="s">
        <v>129</v>
      </c>
      <c r="D121" s="2"/>
      <c r="E121" t="s">
        <v>10</v>
      </c>
      <c r="G121" t="s">
        <v>11</v>
      </c>
      <c r="H121" t="s">
        <v>130</v>
      </c>
    </row>
    <row r="122" spans="1:8" x14ac:dyDescent="0.25">
      <c r="A122">
        <v>102</v>
      </c>
      <c r="B122" t="s">
        <v>142</v>
      </c>
      <c r="C122" t="s">
        <v>129</v>
      </c>
      <c r="D122" s="2"/>
      <c r="E122" t="s">
        <v>10</v>
      </c>
      <c r="G122" t="s">
        <v>11</v>
      </c>
      <c r="H122" t="s">
        <v>143</v>
      </c>
    </row>
    <row r="123" spans="1:8" x14ac:dyDescent="0.25">
      <c r="A123">
        <v>106</v>
      </c>
      <c r="B123" t="s">
        <v>144</v>
      </c>
      <c r="C123" t="s">
        <v>129</v>
      </c>
      <c r="D123" s="2"/>
      <c r="E123" t="s">
        <v>11</v>
      </c>
      <c r="F123" s="3">
        <f>IF(AND(ISNUMBER(D122),ISNUMBER(D124)),ROUND(D122+(D124-D122)*0.500000,3),"")</f>
      </c>
      <c r="G123" t="s">
        <v>11</v>
      </c>
      <c r="H123" t="s">
        <v>143</v>
      </c>
    </row>
    <row r="124" spans="1:8" x14ac:dyDescent="0.25">
      <c r="A124">
        <v>110</v>
      </c>
      <c r="B124" t="s">
        <v>145</v>
      </c>
      <c r="C124" t="s">
        <v>129</v>
      </c>
      <c r="D124" s="2"/>
      <c r="E124" t="s">
        <v>10</v>
      </c>
      <c r="G124" t="s">
        <v>11</v>
      </c>
      <c r="H124" t="s">
        <v>143</v>
      </c>
    </row>
    <row r="125" spans="1:8" x14ac:dyDescent="0.25">
      <c r="A125">
        <v>122</v>
      </c>
      <c r="B125" t="s">
        <v>146</v>
      </c>
      <c r="C125" t="s">
        <v>129</v>
      </c>
      <c r="D125" s="2"/>
      <c r="E125" t="s">
        <v>10</v>
      </c>
      <c r="G125" t="s">
        <v>11</v>
      </c>
      <c r="H125" t="s">
        <v>143</v>
      </c>
    </row>
    <row r="126" spans="1:8" x14ac:dyDescent="0.25">
      <c r="A126">
        <v>237</v>
      </c>
      <c r="B126" t="s">
        <v>147</v>
      </c>
      <c r="C126" t="s">
        <v>129</v>
      </c>
      <c r="D126" s="2"/>
      <c r="E126" t="s">
        <v>11</v>
      </c>
      <c r="G126" t="s">
        <v>11</v>
      </c>
      <c r="H126" t="s">
        <v>143</v>
      </c>
    </row>
    <row r="127" spans="1:8" x14ac:dyDescent="0.25">
      <c r="A127">
        <v>245</v>
      </c>
      <c r="B127" t="s">
        <v>148</v>
      </c>
      <c r="C127" t="s">
        <v>129</v>
      </c>
      <c r="D127" s="2"/>
      <c r="E127" t="s">
        <v>11</v>
      </c>
      <c r="G127" t="s">
        <v>11</v>
      </c>
      <c r="H127" t="s">
        <v>143</v>
      </c>
    </row>
    <row r="128" spans="1:8" x14ac:dyDescent="0.25">
      <c r="A128">
        <v>257</v>
      </c>
      <c r="B128" t="s">
        <v>149</v>
      </c>
      <c r="C128" t="s">
        <v>129</v>
      </c>
      <c r="D128" s="2"/>
      <c r="E128" t="s">
        <v>11</v>
      </c>
      <c r="G128" t="s">
        <v>11</v>
      </c>
      <c r="H128" t="s">
        <v>143</v>
      </c>
    </row>
    <row r="129" spans="1:8" x14ac:dyDescent="0.25">
      <c r="A129">
        <v>433</v>
      </c>
      <c r="B129" t="s">
        <v>150</v>
      </c>
      <c r="C129" t="s">
        <v>129</v>
      </c>
      <c r="D129" s="2"/>
      <c r="E129" t="s">
        <v>10</v>
      </c>
      <c r="G129" t="s">
        <v>11</v>
      </c>
      <c r="H129" t="s">
        <v>151</v>
      </c>
    </row>
    <row r="130" spans="1:8" x14ac:dyDescent="0.25">
      <c r="A130">
        <v>434</v>
      </c>
      <c r="B130" t="s">
        <v>152</v>
      </c>
      <c r="C130" t="s">
        <v>129</v>
      </c>
      <c r="D130" s="2"/>
      <c r="E130" t="s">
        <v>11</v>
      </c>
      <c r="F130" s="3">
        <f>IF(AND(ISNUMBER(D129),ISNUMBER(D132)),ROUND(D129+(D132-D129)*0.333333,3),"")</f>
      </c>
      <c r="G130" t="s">
        <v>11</v>
      </c>
      <c r="H130" t="s">
        <v>151</v>
      </c>
    </row>
    <row r="131" spans="1:8" x14ac:dyDescent="0.25">
      <c r="A131">
        <v>435</v>
      </c>
      <c r="B131" t="s">
        <v>153</v>
      </c>
      <c r="C131" t="s">
        <v>129</v>
      </c>
      <c r="D131" s="2"/>
      <c r="E131" t="s">
        <v>11</v>
      </c>
      <c r="F131" s="3">
        <f>IF(AND(ISNUMBER(D129),ISNUMBER(D132)),ROUND(D129+(D132-D129)*0.666667,3),"")</f>
      </c>
      <c r="G131" t="s">
        <v>11</v>
      </c>
      <c r="H131" t="s">
        <v>151</v>
      </c>
    </row>
    <row r="132" spans="1:8" x14ac:dyDescent="0.25">
      <c r="A132">
        <v>436</v>
      </c>
      <c r="B132" t="s">
        <v>154</v>
      </c>
      <c r="C132" t="s">
        <v>129</v>
      </c>
      <c r="D132" s="2"/>
      <c r="E132" t="s">
        <v>10</v>
      </c>
      <c r="G132" t="s">
        <v>11</v>
      </c>
      <c r="H132" t="s">
        <v>151</v>
      </c>
    </row>
    <row r="133" spans="1:8" x14ac:dyDescent="0.25">
      <c r="A133">
        <v>353754</v>
      </c>
      <c r="B133" t="s">
        <v>155</v>
      </c>
      <c r="C133" t="s">
        <v>129</v>
      </c>
      <c r="D133" s="2"/>
      <c r="E133" t="s">
        <v>11</v>
      </c>
      <c r="G133" t="s">
        <v>11</v>
      </c>
      <c r="H133" t="s">
        <v>151</v>
      </c>
    </row>
    <row r="134" spans="1:8" x14ac:dyDescent="0.25">
      <c r="A134">
        <v>354288</v>
      </c>
      <c r="B134" t="s">
        <v>156</v>
      </c>
      <c r="C134" t="s">
        <v>129</v>
      </c>
      <c r="D134" s="2"/>
      <c r="E134" t="s">
        <v>11</v>
      </c>
      <c r="G134" t="s">
        <v>11</v>
      </c>
      <c r="H134" t="s">
        <v>151</v>
      </c>
    </row>
    <row r="135" spans="1:8" x14ac:dyDescent="0.25">
      <c r="A135">
        <v>354290</v>
      </c>
      <c r="B135" t="s">
        <v>157</v>
      </c>
      <c r="C135" t="s">
        <v>129</v>
      </c>
      <c r="D135" s="2"/>
      <c r="E135" t="s">
        <v>11</v>
      </c>
      <c r="G135" t="s">
        <v>11</v>
      </c>
      <c r="H135" t="s">
        <v>151</v>
      </c>
    </row>
    <row r="136" spans="1:8" x14ac:dyDescent="0.25">
      <c r="A136">
        <v>372</v>
      </c>
      <c r="B136" t="s">
        <v>158</v>
      </c>
      <c r="C136" t="s">
        <v>129</v>
      </c>
      <c r="D136" s="2"/>
      <c r="E136" t="s">
        <v>11</v>
      </c>
      <c r="G136" t="s">
        <v>159</v>
      </c>
      <c r="H136" t="s">
        <v>160</v>
      </c>
    </row>
    <row r="137" spans="1:8" x14ac:dyDescent="0.25">
      <c r="A137">
        <v>391</v>
      </c>
      <c r="B137" t="s">
        <v>161</v>
      </c>
      <c r="C137" t="s">
        <v>129</v>
      </c>
      <c r="D137" s="2"/>
      <c r="E137" t="s">
        <v>11</v>
      </c>
      <c r="G137" t="s">
        <v>162</v>
      </c>
      <c r="H137" t="s">
        <v>160</v>
      </c>
    </row>
    <row r="138" spans="1:8" x14ac:dyDescent="0.25">
      <c r="A138">
        <v>587</v>
      </c>
      <c r="B138" t="s">
        <v>163</v>
      </c>
      <c r="C138" t="s">
        <v>129</v>
      </c>
      <c r="D138" s="2"/>
      <c r="E138" t="s">
        <v>11</v>
      </c>
      <c r="G138" t="s">
        <v>11</v>
      </c>
      <c r="H138" t="s">
        <v>160</v>
      </c>
    </row>
    <row r="139" spans="1:8" x14ac:dyDescent="0.25">
      <c r="A139">
        <v>591</v>
      </c>
      <c r="B139" t="s">
        <v>164</v>
      </c>
      <c r="C139" t="s">
        <v>129</v>
      </c>
      <c r="D139" s="2"/>
      <c r="E139" t="s">
        <v>11</v>
      </c>
      <c r="G139" t="s">
        <v>11</v>
      </c>
      <c r="H139" t="s">
        <v>160</v>
      </c>
    </row>
    <row r="140" spans="1:8" s="3" customFormat="1" x14ac:dyDescent="0.25">
      <c r="A140" s="3"/>
      <c r="B140" s="3" t="s">
        <v>165</v>
      </c>
      <c r="C140" s="3" t="s">
        <v>129</v>
      </c>
      <c r="E140" s="3" t="s">
        <v>11</v>
      </c>
      <c r="G140" s="3" t="s">
        <v>57</v>
      </c>
      <c r="H140" s="3" t="s">
        <v>160</v>
      </c>
    </row>
    <row r="141" spans="1:8" s="3" customFormat="1" x14ac:dyDescent="0.25">
      <c r="A141" s="3"/>
      <c r="B141" s="3" t="s">
        <v>166</v>
      </c>
      <c r="C141" s="3" t="s">
        <v>129</v>
      </c>
      <c r="E141" s="3" t="s">
        <v>11</v>
      </c>
      <c r="G141" s="3" t="s">
        <v>57</v>
      </c>
      <c r="H141" s="3" t="s">
        <v>160</v>
      </c>
    </row>
    <row r="142" spans="1:8" x14ac:dyDescent="0.25">
      <c r="A142">
        <v>478</v>
      </c>
      <c r="B142" t="s">
        <v>167</v>
      </c>
      <c r="C142" t="s">
        <v>129</v>
      </c>
      <c r="D142" s="2"/>
      <c r="E142" t="s">
        <v>11</v>
      </c>
      <c r="G142" t="s">
        <v>11</v>
      </c>
      <c r="H142" t="s">
        <v>168</v>
      </c>
    </row>
    <row r="143" spans="1:8" x14ac:dyDescent="0.25">
      <c r="A143">
        <v>481</v>
      </c>
      <c r="B143" t="s">
        <v>169</v>
      </c>
      <c r="C143" t="s">
        <v>129</v>
      </c>
      <c r="D143" s="2"/>
      <c r="E143" t="s">
        <v>11</v>
      </c>
      <c r="G143" t="s">
        <v>11</v>
      </c>
      <c r="H143" t="s">
        <v>168</v>
      </c>
    </row>
    <row r="144" spans="1:8" x14ac:dyDescent="0.25">
      <c r="A144">
        <v>482</v>
      </c>
      <c r="B144" t="s">
        <v>170</v>
      </c>
      <c r="C144" t="s">
        <v>129</v>
      </c>
      <c r="D144" s="2"/>
      <c r="E144" t="s">
        <v>11</v>
      </c>
      <c r="G144" t="s">
        <v>11</v>
      </c>
      <c r="H144" t="s">
        <v>168</v>
      </c>
    </row>
    <row r="145" spans="1:8" x14ac:dyDescent="0.25">
      <c r="A145">
        <v>483</v>
      </c>
      <c r="B145" t="s">
        <v>171</v>
      </c>
      <c r="C145" t="s">
        <v>129</v>
      </c>
      <c r="D145" s="2"/>
      <c r="E145" t="s">
        <v>11</v>
      </c>
      <c r="G145" t="s">
        <v>11</v>
      </c>
      <c r="H145" t="s">
        <v>168</v>
      </c>
    </row>
    <row r="146" spans="1:8" x14ac:dyDescent="0.25">
      <c r="A146">
        <v>486</v>
      </c>
      <c r="B146" t="s">
        <v>172</v>
      </c>
      <c r="C146" t="s">
        <v>129</v>
      </c>
      <c r="D146" s="2"/>
      <c r="E146" t="s">
        <v>11</v>
      </c>
      <c r="G146" t="s">
        <v>11</v>
      </c>
      <c r="H146" t="s">
        <v>168</v>
      </c>
    </row>
    <row r="147" spans="1:8" x14ac:dyDescent="0.25">
      <c r="A147">
        <v>464</v>
      </c>
      <c r="B147" t="s">
        <v>173</v>
      </c>
      <c r="C147" t="s">
        <v>129</v>
      </c>
      <c r="D147" s="2"/>
      <c r="E147" t="s">
        <v>11</v>
      </c>
      <c r="G147" t="s">
        <v>174</v>
      </c>
      <c r="H147" t="s">
        <v>175</v>
      </c>
    </row>
    <row r="148" spans="1:8" x14ac:dyDescent="0.25">
      <c r="A148">
        <v>467</v>
      </c>
      <c r="B148" t="s">
        <v>176</v>
      </c>
      <c r="C148" t="s">
        <v>129</v>
      </c>
      <c r="D148" s="2"/>
      <c r="E148" t="s">
        <v>11</v>
      </c>
      <c r="G148" t="s">
        <v>11</v>
      </c>
      <c r="H148" t="s">
        <v>175</v>
      </c>
    </row>
    <row r="149" spans="1:8" x14ac:dyDescent="0.25">
      <c r="A149">
        <v>472</v>
      </c>
      <c r="B149" t="s">
        <v>177</v>
      </c>
      <c r="C149" t="s">
        <v>129</v>
      </c>
      <c r="D149" s="2"/>
      <c r="E149" t="s">
        <v>11</v>
      </c>
      <c r="G149" t="s">
        <v>11</v>
      </c>
      <c r="H149" t="s">
        <v>175</v>
      </c>
    </row>
    <row r="150" spans="1:8" x14ac:dyDescent="0.25">
      <c r="A150">
        <v>353605</v>
      </c>
      <c r="B150" t="s">
        <v>178</v>
      </c>
      <c r="C150" t="s">
        <v>129</v>
      </c>
      <c r="D150" s="2"/>
      <c r="E150" t="s">
        <v>11</v>
      </c>
      <c r="G150" t="s">
        <v>11</v>
      </c>
      <c r="H150" t="s">
        <v>175</v>
      </c>
    </row>
    <row r="151" spans="1:8" x14ac:dyDescent="0.25">
      <c r="A151">
        <v>353614</v>
      </c>
      <c r="B151" t="s">
        <v>179</v>
      </c>
      <c r="C151" t="s">
        <v>129</v>
      </c>
      <c r="D151" s="2"/>
      <c r="E151" t="s">
        <v>11</v>
      </c>
      <c r="G151" t="s">
        <v>11</v>
      </c>
      <c r="H151" t="s">
        <v>175</v>
      </c>
    </row>
    <row r="152" spans="1:8" x14ac:dyDescent="0.25">
      <c r="A152">
        <v>353617</v>
      </c>
      <c r="B152" t="s">
        <v>180</v>
      </c>
      <c r="C152" t="s">
        <v>129</v>
      </c>
      <c r="D152" s="2"/>
      <c r="E152" t="s">
        <v>11</v>
      </c>
      <c r="G152" t="s">
        <v>181</v>
      </c>
      <c r="H152" t="s">
        <v>175</v>
      </c>
    </row>
    <row r="153" spans="1:8" s="3" customFormat="1" x14ac:dyDescent="0.25">
      <c r="A153" s="3"/>
      <c r="B153" s="3" t="s">
        <v>182</v>
      </c>
      <c r="C153" s="3" t="s">
        <v>129</v>
      </c>
      <c r="E153" s="3" t="s">
        <v>11</v>
      </c>
      <c r="G153" s="3" t="s">
        <v>57</v>
      </c>
      <c r="H153" s="3" t="s">
        <v>175</v>
      </c>
    </row>
    <row r="154" spans="1:8" x14ac:dyDescent="0.25">
      <c r="A154">
        <v>354158</v>
      </c>
      <c r="B154" t="s">
        <v>183</v>
      </c>
      <c r="C154" t="s">
        <v>129</v>
      </c>
      <c r="D154" s="2"/>
      <c r="E154" t="s">
        <v>11</v>
      </c>
      <c r="G154" t="s">
        <v>11</v>
      </c>
      <c r="H154" t="s">
        <v>184</v>
      </c>
    </row>
    <row r="155" spans="1:8" x14ac:dyDescent="0.25">
      <c r="A155">
        <v>354159</v>
      </c>
      <c r="B155" t="s">
        <v>185</v>
      </c>
      <c r="C155" t="s">
        <v>129</v>
      </c>
      <c r="D155" s="2"/>
      <c r="E155" t="s">
        <v>11</v>
      </c>
      <c r="G155" t="s">
        <v>11</v>
      </c>
      <c r="H155" t="s">
        <v>184</v>
      </c>
    </row>
    <row r="156" spans="1:8" x14ac:dyDescent="0.25">
      <c r="A156">
        <v>354160</v>
      </c>
      <c r="B156" t="s">
        <v>186</v>
      </c>
      <c r="C156" t="s">
        <v>129</v>
      </c>
      <c r="D156" s="2"/>
      <c r="E156" t="s">
        <v>11</v>
      </c>
      <c r="G156" t="s">
        <v>11</v>
      </c>
      <c r="H156" t="s">
        <v>184</v>
      </c>
    </row>
    <row r="157" spans="1:8" x14ac:dyDescent="0.25">
      <c r="A157">
        <v>354161</v>
      </c>
      <c r="B157" t="s">
        <v>187</v>
      </c>
      <c r="C157" t="s">
        <v>129</v>
      </c>
      <c r="D157" s="2"/>
      <c r="E157" t="s">
        <v>11</v>
      </c>
      <c r="G157" t="s">
        <v>11</v>
      </c>
      <c r="H157" t="s">
        <v>184</v>
      </c>
    </row>
    <row r="158" spans="1:8" x14ac:dyDescent="0.25">
      <c r="A158">
        <v>354162</v>
      </c>
      <c r="B158" t="s">
        <v>188</v>
      </c>
      <c r="C158" t="s">
        <v>129</v>
      </c>
      <c r="D158" s="2"/>
      <c r="E158" t="s">
        <v>11</v>
      </c>
      <c r="G158" t="s">
        <v>11</v>
      </c>
      <c r="H158" t="s">
        <v>184</v>
      </c>
    </row>
    <row r="159" spans="1:8" x14ac:dyDescent="0.25">
      <c r="A159">
        <v>354163</v>
      </c>
      <c r="B159" t="s">
        <v>189</v>
      </c>
      <c r="C159" t="s">
        <v>129</v>
      </c>
      <c r="D159" s="2"/>
      <c r="E159" t="s">
        <v>11</v>
      </c>
      <c r="G159" t="s">
        <v>11</v>
      </c>
      <c r="H159" t="s">
        <v>184</v>
      </c>
    </row>
    <row r="160" spans="1:8" x14ac:dyDescent="0.25">
      <c r="A160">
        <v>354164</v>
      </c>
      <c r="B160" t="s">
        <v>190</v>
      </c>
      <c r="C160" t="s">
        <v>129</v>
      </c>
      <c r="D160" s="2"/>
      <c r="E160" t="s">
        <v>11</v>
      </c>
      <c r="G160" t="s">
        <v>11</v>
      </c>
      <c r="H160" t="s">
        <v>184</v>
      </c>
    </row>
    <row r="161" spans="1:8" x14ac:dyDescent="0.25">
      <c r="A161">
        <v>354165</v>
      </c>
      <c r="B161" t="s">
        <v>191</v>
      </c>
      <c r="C161" t="s">
        <v>129</v>
      </c>
      <c r="D161" s="2"/>
      <c r="E161" t="s">
        <v>11</v>
      </c>
      <c r="G161" t="s">
        <v>11</v>
      </c>
      <c r="H161" t="s">
        <v>184</v>
      </c>
    </row>
    <row r="162" spans="1:8" x14ac:dyDescent="0.25">
      <c r="A162">
        <v>354169</v>
      </c>
      <c r="B162" t="s">
        <v>192</v>
      </c>
      <c r="C162" t="s">
        <v>129</v>
      </c>
      <c r="D162" s="2"/>
      <c r="E162" t="s">
        <v>11</v>
      </c>
      <c r="G162" t="s">
        <v>11</v>
      </c>
      <c r="H162" t="s">
        <v>193</v>
      </c>
    </row>
    <row r="163" spans="1:8" x14ac:dyDescent="0.25">
      <c r="A163">
        <v>354170</v>
      </c>
      <c r="B163" t="s">
        <v>194</v>
      </c>
      <c r="C163" t="s">
        <v>129</v>
      </c>
      <c r="D163" s="2"/>
      <c r="E163" t="s">
        <v>11</v>
      </c>
      <c r="G163" t="s">
        <v>11</v>
      </c>
      <c r="H163" t="s">
        <v>193</v>
      </c>
    </row>
    <row r="164" spans="1:8" x14ac:dyDescent="0.25">
      <c r="A164">
        <v>354171</v>
      </c>
      <c r="B164" t="s">
        <v>195</v>
      </c>
      <c r="C164" t="s">
        <v>129</v>
      </c>
      <c r="D164" s="2"/>
      <c r="E164" t="s">
        <v>11</v>
      </c>
      <c r="G164" t="s">
        <v>11</v>
      </c>
      <c r="H164" t="s">
        <v>193</v>
      </c>
    </row>
    <row r="165" spans="1:8" x14ac:dyDescent="0.25">
      <c r="A165">
        <v>354172</v>
      </c>
      <c r="B165" t="s">
        <v>196</v>
      </c>
      <c r="C165" t="s">
        <v>129</v>
      </c>
      <c r="D165" s="2"/>
      <c r="E165" t="s">
        <v>11</v>
      </c>
      <c r="G165" t="s">
        <v>11</v>
      </c>
      <c r="H165" t="s">
        <v>193</v>
      </c>
    </row>
    <row r="166" spans="1:8" s="3" customFormat="1" x14ac:dyDescent="0.25">
      <c r="A166" s="3"/>
      <c r="B166" s="3" t="s">
        <v>197</v>
      </c>
      <c r="C166" s="3" t="s">
        <v>129</v>
      </c>
      <c r="E166" s="3" t="s">
        <v>11</v>
      </c>
      <c r="G166" s="3" t="s">
        <v>57</v>
      </c>
      <c r="H166" s="3" t="s">
        <v>193</v>
      </c>
    </row>
    <row r="167" spans="1:8" x14ac:dyDescent="0.25">
      <c r="A167">
        <v>488</v>
      </c>
      <c r="B167" t="s">
        <v>198</v>
      </c>
      <c r="C167" t="s">
        <v>129</v>
      </c>
      <c r="D167" s="2"/>
      <c r="E167" t="s">
        <v>11</v>
      </c>
      <c r="G167" t="s">
        <v>11</v>
      </c>
      <c r="H167" t="s">
        <v>199</v>
      </c>
    </row>
    <row r="168" spans="1:8" x14ac:dyDescent="0.25">
      <c r="A168">
        <v>489</v>
      </c>
      <c r="B168" t="s">
        <v>200</v>
      </c>
      <c r="C168" t="s">
        <v>129</v>
      </c>
      <c r="D168" s="2"/>
      <c r="E168" t="s">
        <v>11</v>
      </c>
      <c r="G168" t="s">
        <v>11</v>
      </c>
      <c r="H168" t="s">
        <v>199</v>
      </c>
    </row>
    <row r="169" spans="1:8" x14ac:dyDescent="0.25">
      <c r="A169">
        <v>533</v>
      </c>
      <c r="B169" t="s">
        <v>201</v>
      </c>
      <c r="C169" t="s">
        <v>129</v>
      </c>
      <c r="D169" s="2"/>
      <c r="E169" t="s">
        <v>11</v>
      </c>
      <c r="G169" t="s">
        <v>11</v>
      </c>
      <c r="H169" t="s">
        <v>202</v>
      </c>
    </row>
    <row r="170" spans="1:8" x14ac:dyDescent="0.25">
      <c r="A170">
        <v>353922</v>
      </c>
      <c r="B170" t="s">
        <v>203</v>
      </c>
      <c r="C170" t="s">
        <v>129</v>
      </c>
      <c r="D170" s="2"/>
      <c r="E170" t="s">
        <v>11</v>
      </c>
      <c r="G170" t="s">
        <v>11</v>
      </c>
      <c r="H170" t="s">
        <v>202</v>
      </c>
    </row>
    <row r="171" spans="1:8" x14ac:dyDescent="0.25">
      <c r="A171">
        <v>536</v>
      </c>
      <c r="B171" t="s">
        <v>204</v>
      </c>
      <c r="C171" t="s">
        <v>129</v>
      </c>
      <c r="D171" s="2"/>
      <c r="E171" t="s">
        <v>11</v>
      </c>
      <c r="G171" t="s">
        <v>11</v>
      </c>
      <c r="H171" t="s">
        <v>202</v>
      </c>
    </row>
    <row r="172" spans="1:8" x14ac:dyDescent="0.25">
      <c r="A172">
        <v>353647</v>
      </c>
      <c r="B172" t="s">
        <v>205</v>
      </c>
      <c r="C172" t="s">
        <v>129</v>
      </c>
      <c r="D172" s="2"/>
      <c r="E172" t="s">
        <v>11</v>
      </c>
      <c r="G172" t="s">
        <v>11</v>
      </c>
      <c r="H172" t="s">
        <v>206</v>
      </c>
    </row>
    <row r="173" spans="1:8" x14ac:dyDescent="0.25">
      <c r="A173">
        <v>353656</v>
      </c>
      <c r="B173" t="s">
        <v>207</v>
      </c>
      <c r="C173" t="s">
        <v>129</v>
      </c>
      <c r="D173" s="2"/>
      <c r="E173" t="s">
        <v>11</v>
      </c>
      <c r="G173" t="s">
        <v>11</v>
      </c>
      <c r="H173" t="s">
        <v>206</v>
      </c>
    </row>
    <row r="174" spans="1:8" x14ac:dyDescent="0.25">
      <c r="A174">
        <v>509</v>
      </c>
      <c r="B174" t="s">
        <v>208</v>
      </c>
      <c r="C174" t="s">
        <v>129</v>
      </c>
      <c r="D174" s="2"/>
      <c r="E174" t="s">
        <v>11</v>
      </c>
      <c r="G174" t="s">
        <v>11</v>
      </c>
      <c r="H174" t="s">
        <v>206</v>
      </c>
    </row>
    <row r="175" spans="1:8" x14ac:dyDescent="0.25">
      <c r="A175">
        <v>353666</v>
      </c>
      <c r="B175" t="s">
        <v>209</v>
      </c>
      <c r="C175" t="s">
        <v>129</v>
      </c>
      <c r="D175" s="2"/>
      <c r="E175" t="s">
        <v>11</v>
      </c>
      <c r="G175" t="s">
        <v>11</v>
      </c>
      <c r="H175" t="s">
        <v>206</v>
      </c>
    </row>
    <row r="176" spans="1:8" x14ac:dyDescent="0.25">
      <c r="A176">
        <v>527</v>
      </c>
      <c r="B176" t="s">
        <v>210</v>
      </c>
      <c r="C176" t="s">
        <v>129</v>
      </c>
      <c r="D176" s="2"/>
      <c r="E176" t="s">
        <v>11</v>
      </c>
      <c r="G176" t="s">
        <v>11</v>
      </c>
      <c r="H176" t="s">
        <v>206</v>
      </c>
    </row>
    <row r="177" spans="1:8" x14ac:dyDescent="0.25">
      <c r="A177">
        <v>353993</v>
      </c>
      <c r="B177" t="s">
        <v>211</v>
      </c>
      <c r="C177" t="s">
        <v>129</v>
      </c>
      <c r="D177" s="2"/>
      <c r="E177" t="s">
        <v>11</v>
      </c>
      <c r="G177" t="s">
        <v>11</v>
      </c>
      <c r="H177" t="s">
        <v>206</v>
      </c>
    </row>
    <row r="178" spans="1:8" x14ac:dyDescent="0.25">
      <c r="A178">
        <v>521</v>
      </c>
      <c r="B178" t="s">
        <v>212</v>
      </c>
      <c r="C178" t="s">
        <v>129</v>
      </c>
      <c r="D178" s="2"/>
      <c r="E178" t="s">
        <v>11</v>
      </c>
      <c r="G178" t="s">
        <v>213</v>
      </c>
      <c r="H178" t="s">
        <v>206</v>
      </c>
    </row>
    <row r="179" spans="1:8" x14ac:dyDescent="0.25">
      <c r="A179">
        <v>354018</v>
      </c>
      <c r="B179" t="s">
        <v>214</v>
      </c>
      <c r="C179" t="s">
        <v>129</v>
      </c>
      <c r="D179" s="2"/>
      <c r="E179" t="s">
        <v>11</v>
      </c>
      <c r="G179" t="s">
        <v>11</v>
      </c>
      <c r="H179" t="s">
        <v>206</v>
      </c>
    </row>
    <row r="180" spans="1:8" s="3" customFormat="1" x14ac:dyDescent="0.25">
      <c r="A180" s="3"/>
      <c r="B180" s="3" t="s">
        <v>215</v>
      </c>
      <c r="C180" s="3" t="s">
        <v>9</v>
      </c>
      <c r="E180" s="3" t="s">
        <v>11</v>
      </c>
      <c r="G180" s="3" t="s">
        <v>57</v>
      </c>
      <c r="H180" s="3" t="s">
        <v>216</v>
      </c>
    </row>
    <row r="181" spans="1:8" s="3" customFormat="1" x14ac:dyDescent="0.25">
      <c r="A181" s="3"/>
      <c r="B181" s="3" t="s">
        <v>217</v>
      </c>
      <c r="C181" s="3" t="s">
        <v>218</v>
      </c>
      <c r="E181" s="3" t="s">
        <v>11</v>
      </c>
      <c r="G181" s="3" t="s">
        <v>57</v>
      </c>
      <c r="H181" s="3" t="s">
        <v>219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44" customWidth="1"/>
    <col min="4" max="4" width="22" customWidth="1"/>
    <col min="5" max="5" width="11" customWidth="1"/>
    <col min="6" max="6" width="70" customWidth="1"/>
  </cols>
  <sheetData>
    <row r="1" spans="1:6" s="1" customFormat="1" x14ac:dyDescent="0.25">
      <c r="A1" s="1" t="s">
        <v>220</v>
      </c>
      <c r="B1" s="1" t="s">
        <v>221</v>
      </c>
      <c r="C1" s="1" t="s">
        <v>222</v>
      </c>
      <c r="D1" s="1" t="s">
        <v>223</v>
      </c>
      <c r="E1" s="1" t="s">
        <v>3</v>
      </c>
      <c r="F1" s="1" t="s">
        <v>6</v>
      </c>
    </row>
    <row r="2" spans="1:6" x14ac:dyDescent="0.25">
      <c r="A2">
        <v>1</v>
      </c>
      <c r="B2" t="s">
        <v>224</v>
      </c>
      <c r="C2" t="s">
        <v>225</v>
      </c>
      <c r="D2" t="s">
        <v>226</v>
      </c>
      <c r="E2" s="2"/>
      <c r="F2" t="s">
        <v>11</v>
      </c>
    </row>
    <row r="3" spans="1:6" x14ac:dyDescent="0.25">
      <c r="A3">
        <v>4</v>
      </c>
      <c r="B3" t="s">
        <v>227</v>
      </c>
      <c r="C3" t="s">
        <v>228</v>
      </c>
      <c r="D3" t="s">
        <v>226</v>
      </c>
      <c r="E3" s="2"/>
      <c r="F3" t="s">
        <v>11</v>
      </c>
    </row>
    <row r="4" spans="1:6" x14ac:dyDescent="0.25">
      <c r="A4">
        <v>2</v>
      </c>
      <c r="B4" t="s">
        <v>229</v>
      </c>
      <c r="C4" t="s">
        <v>230</v>
      </c>
      <c r="D4" t="s">
        <v>226</v>
      </c>
      <c r="E4" s="2"/>
      <c r="F4" t="s">
        <v>11</v>
      </c>
    </row>
    <row r="5" spans="1:6" x14ac:dyDescent="0.25">
      <c r="A5">
        <v>6</v>
      </c>
      <c r="B5" t="s">
        <v>231</v>
      </c>
      <c r="C5" t="s">
        <v>232</v>
      </c>
      <c r="D5" t="s">
        <v>233</v>
      </c>
      <c r="E5" s="2"/>
      <c r="F5" t="s">
        <v>11</v>
      </c>
    </row>
    <row r="6" spans="1:6" s="3" customFormat="1" x14ac:dyDescent="0.25">
      <c r="A6" s="3"/>
      <c r="B6" s="3" t="s">
        <v>234</v>
      </c>
      <c r="C6" s="3" t="s">
        <v>235</v>
      </c>
      <c r="D6" s="3" t="s">
        <v>233</v>
      </c>
      <c r="E6" s="3"/>
      <c r="F6" s="3" t="s">
        <v>236</v>
      </c>
    </row>
    <row r="7" spans="1:6" s="3" customFormat="1" x14ac:dyDescent="0.25">
      <c r="A7" s="3"/>
      <c r="B7" s="3" t="s">
        <v>237</v>
      </c>
      <c r="C7" s="3" t="s">
        <v>238</v>
      </c>
      <c r="D7" s="3" t="s">
        <v>233</v>
      </c>
      <c r="E7" s="3"/>
      <c r="F7" s="3" t="s">
        <v>236</v>
      </c>
    </row>
    <row r="8" spans="1:6" x14ac:dyDescent="0.25">
      <c r="A8">
        <v>3</v>
      </c>
      <c r="B8" t="s">
        <v>239</v>
      </c>
      <c r="C8" t="s">
        <v>240</v>
      </c>
      <c r="D8" t="s">
        <v>226</v>
      </c>
      <c r="E8" s="2"/>
      <c r="F8" t="s">
        <v>11</v>
      </c>
    </row>
    <row r="9" spans="1:6" s="3" customFormat="1" x14ac:dyDescent="0.25">
      <c r="A9" s="3"/>
      <c r="B9" s="3" t="s">
        <v>241</v>
      </c>
      <c r="C9" s="3" t="s">
        <v>242</v>
      </c>
      <c r="D9" s="3" t="s">
        <v>226</v>
      </c>
      <c r="E9" s="3"/>
      <c r="F9" s="3" t="s">
        <v>236</v>
      </c>
    </row>
    <row r="10" spans="1:6" x14ac:dyDescent="0.25">
      <c r="A10">
        <v>5</v>
      </c>
      <c r="B10" t="s">
        <v>243</v>
      </c>
      <c r="C10" t="s">
        <v>244</v>
      </c>
      <c r="D10" t="s">
        <v>226</v>
      </c>
      <c r="E10" s="2"/>
      <c r="F10" t="s">
        <v>11</v>
      </c>
    </row>
    <row r="11" spans="1:6" s="3" customFormat="1" x14ac:dyDescent="0.25">
      <c r="A11" s="3"/>
      <c r="B11" s="3" t="s">
        <v>245</v>
      </c>
      <c r="C11" s="3" t="s">
        <v>246</v>
      </c>
      <c r="D11" s="3" t="s">
        <v>226</v>
      </c>
      <c r="E11" s="3"/>
      <c r="F11" s="3" t="s">
        <v>236</v>
      </c>
    </row>
    <row r="12" spans="1:6" s="3" customFormat="1" x14ac:dyDescent="0.25">
      <c r="A12" s="3"/>
      <c r="B12" s="3" t="s">
        <v>247</v>
      </c>
      <c r="C12" s="3" t="s">
        <v>248</v>
      </c>
      <c r="D12" s="3" t="s">
        <v>226</v>
      </c>
      <c r="E12" s="3"/>
      <c r="F12" s="3" t="s">
        <v>236</v>
      </c>
    </row>
    <row r="13" spans="1:6" s="3" customFormat="1" x14ac:dyDescent="0.25">
      <c r="A13" s="3"/>
      <c r="B13" s="3" t="s">
        <v>249</v>
      </c>
      <c r="C13" s="3" t="s">
        <v>250</v>
      </c>
      <c r="D13" s="3" t="s">
        <v>233</v>
      </c>
      <c r="E13" s="3"/>
      <c r="F13" s="3" t="s">
        <v>236</v>
      </c>
    </row>
    <row r="14" spans="1:6" s="3" customFormat="1" x14ac:dyDescent="0.25">
      <c r="A14" s="3"/>
      <c r="B14" s="3" t="s">
        <v>251</v>
      </c>
      <c r="C14" s="3" t="s">
        <v>252</v>
      </c>
      <c r="D14" s="3" t="s">
        <v>226</v>
      </c>
      <c r="E14" s="3"/>
      <c r="F14" s="3" t="s">
        <v>236</v>
      </c>
    </row>
    <row r="15" spans="1:6" s="3" customFormat="1" x14ac:dyDescent="0.25">
      <c r="A15" s="3"/>
      <c r="B15" s="3" t="s">
        <v>253</v>
      </c>
      <c r="C15" s="3" t="s">
        <v>254</v>
      </c>
      <c r="D15" s="3" t="s">
        <v>226</v>
      </c>
      <c r="E15" s="3"/>
      <c r="F15" s="3" t="s">
        <v>236</v>
      </c>
    </row>
    <row r="16" spans="1:6" x14ac:dyDescent="0.25">
      <c r="A16">
        <v>7</v>
      </c>
      <c r="B16" t="s">
        <v>255</v>
      </c>
      <c r="C16" t="s">
        <v>256</v>
      </c>
      <c r="D16" t="s">
        <v>233</v>
      </c>
      <c r="E16" s="2"/>
      <c r="F16" t="s">
        <v>11</v>
      </c>
    </row>
    <row r="17" spans="1:6" s="3" customFormat="1" x14ac:dyDescent="0.25">
      <c r="A17" s="3"/>
      <c r="B17" s="3" t="s">
        <v>257</v>
      </c>
      <c r="C17" s="3" t="s">
        <v>258</v>
      </c>
      <c r="D17" s="3" t="s">
        <v>259</v>
      </c>
      <c r="E17" s="3"/>
      <c r="F17" s="3" t="s">
        <v>260</v>
      </c>
    </row>
    <row r="18" spans="1:6" s="3" customFormat="1" x14ac:dyDescent="0.25">
      <c r="A18" s="3"/>
      <c r="B18" s="3" t="s">
        <v>261</v>
      </c>
      <c r="C18" s="3" t="s">
        <v>262</v>
      </c>
      <c r="D18" s="3" t="s">
        <v>226</v>
      </c>
      <c r="E18" s="3"/>
      <c r="F18" s="3" t="s">
        <v>236</v>
      </c>
    </row>
    <row r="19" spans="1:6" s="3" customFormat="1" x14ac:dyDescent="0.25">
      <c r="A19" s="3"/>
      <c r="B19" s="3" t="s">
        <v>263</v>
      </c>
      <c r="C19" s="3" t="s">
        <v>264</v>
      </c>
      <c r="D19" s="3" t="s">
        <v>226</v>
      </c>
      <c r="E19" s="3"/>
      <c r="F19" s="3" t="s">
        <v>236</v>
      </c>
    </row>
    <row r="20" spans="1:6" s="3" customFormat="1" x14ac:dyDescent="0.25">
      <c r="A20" s="3"/>
      <c r="B20" s="3" t="s">
        <v>265</v>
      </c>
      <c r="C20" s="3" t="s">
        <v>266</v>
      </c>
      <c r="D20" s="3" t="s">
        <v>226</v>
      </c>
      <c r="E20" s="3"/>
      <c r="F20" s="3" t="s">
        <v>236</v>
      </c>
    </row>
    <row r="21" spans="1:6" s="3" customFormat="1" x14ac:dyDescent="0.25">
      <c r="A21" s="3"/>
      <c r="B21" s="3" t="s">
        <v>267</v>
      </c>
      <c r="C21" s="3" t="s">
        <v>210</v>
      </c>
      <c r="D21" s="3" t="s">
        <v>233</v>
      </c>
      <c r="E21" s="3"/>
      <c r="F21" s="3" t="s">
        <v>236</v>
      </c>
    </row>
    <row r="22" spans="1:6" s="3" customFormat="1" x14ac:dyDescent="0.25">
      <c r="A22" s="3"/>
      <c r="B22" s="3" t="s">
        <v>268</v>
      </c>
      <c r="C22" s="3" t="s">
        <v>269</v>
      </c>
      <c r="D22" s="3" t="s">
        <v>233</v>
      </c>
      <c r="E22" s="3"/>
      <c r="F22" s="3" t="s">
        <v>236</v>
      </c>
    </row>
    <row r="23" spans="1:6" s="3" customFormat="1" x14ac:dyDescent="0.25">
      <c r="A23" s="3"/>
      <c r="B23" s="3" t="s">
        <v>270</v>
      </c>
      <c r="C23" s="3" t="s">
        <v>271</v>
      </c>
      <c r="D23" s="3" t="s">
        <v>233</v>
      </c>
      <c r="E23" s="3"/>
      <c r="F23" s="3" t="s">
        <v>236</v>
      </c>
    </row>
    <row r="24" spans="1:6" s="3" customFormat="1" x14ac:dyDescent="0.25">
      <c r="A24" s="3"/>
      <c r="B24" s="3" t="s">
        <v>272</v>
      </c>
      <c r="C24" s="3" t="s">
        <v>273</v>
      </c>
      <c r="D24" s="3" t="s">
        <v>233</v>
      </c>
      <c r="E24" s="3"/>
      <c r="F24" s="3" t="s">
        <v>236</v>
      </c>
    </row>
    <row r="25" spans="1:6" s="3" customFormat="1" x14ac:dyDescent="0.25">
      <c r="A25" s="3"/>
      <c r="B25" s="3" t="s">
        <v>274</v>
      </c>
      <c r="C25" s="3" t="s">
        <v>275</v>
      </c>
      <c r="D25" s="3" t="s">
        <v>226</v>
      </c>
      <c r="E25" s="3"/>
      <c r="F25" s="3" t="s">
        <v>236</v>
      </c>
    </row>
    <row r="26" spans="1:6" s="3" customFormat="1" x14ac:dyDescent="0.25">
      <c r="A26" s="3"/>
      <c r="B26" s="3" t="s">
        <v>276</v>
      </c>
      <c r="C26" s="3" t="s">
        <v>277</v>
      </c>
      <c r="D26" s="3" t="s">
        <v>233</v>
      </c>
      <c r="E26" s="3"/>
      <c r="F26" s="3" t="s">
        <v>236</v>
      </c>
    </row>
    <row r="27" spans="1:6" s="3" customFormat="1" x14ac:dyDescent="0.25">
      <c r="A27" s="3"/>
      <c r="B27" s="3" t="s">
        <v>278</v>
      </c>
      <c r="C27" s="3" t="s">
        <v>279</v>
      </c>
      <c r="D27" s="3" t="s">
        <v>233</v>
      </c>
      <c r="E27" s="3"/>
      <c r="F27" s="3" t="s">
        <v>236</v>
      </c>
    </row>
    <row r="28" spans="1:6" s="3" customFormat="1" x14ac:dyDescent="0.25">
      <c r="A28" s="3"/>
      <c r="B28" s="3" t="s">
        <v>280</v>
      </c>
      <c r="C28" s="3" t="s">
        <v>281</v>
      </c>
      <c r="D28" s="3" t="s">
        <v>233</v>
      </c>
      <c r="E28" s="3"/>
      <c r="F28" s="3" t="s">
        <v>236</v>
      </c>
    </row>
    <row r="29" spans="1:6" s="3" customFormat="1" x14ac:dyDescent="0.25">
      <c r="A29" s="3"/>
      <c r="B29" s="3" t="s">
        <v>282</v>
      </c>
      <c r="C29" s="3" t="s">
        <v>283</v>
      </c>
      <c r="D29" s="3" t="s">
        <v>168</v>
      </c>
      <c r="E29" s="3"/>
      <c r="F29" s="3" t="s">
        <v>236</v>
      </c>
    </row>
    <row r="30" spans="1:6" s="3" customFormat="1" x14ac:dyDescent="0.25">
      <c r="A30" s="3"/>
      <c r="B30" s="3" t="s">
        <v>284</v>
      </c>
      <c r="C30" s="3" t="s">
        <v>285</v>
      </c>
      <c r="D30" s="3" t="s">
        <v>168</v>
      </c>
      <c r="E30" s="3"/>
      <c r="F30" s="3" t="s">
        <v>236</v>
      </c>
    </row>
    <row r="31" spans="1:6" s="3" customFormat="1" x14ac:dyDescent="0.25">
      <c r="A31" s="3"/>
      <c r="B31" s="3" t="s">
        <v>286</v>
      </c>
      <c r="C31" s="3" t="s">
        <v>287</v>
      </c>
      <c r="D31" s="3" t="s">
        <v>288</v>
      </c>
      <c r="E31" s="3"/>
      <c r="F31" s="3" t="s">
        <v>236</v>
      </c>
    </row>
    <row r="32" spans="1:6" s="3" customFormat="1" x14ac:dyDescent="0.25">
      <c r="A32" s="3"/>
      <c r="B32" s="3" t="s">
        <v>289</v>
      </c>
      <c r="C32" s="3" t="s">
        <v>290</v>
      </c>
      <c r="D32" s="3" t="s">
        <v>226</v>
      </c>
      <c r="E32" s="3"/>
      <c r="F32" s="3" t="s">
        <v>236</v>
      </c>
    </row>
    <row r="33" spans="1:6" s="3" customFormat="1" x14ac:dyDescent="0.25">
      <c r="A33" s="3"/>
      <c r="B33" s="3" t="s">
        <v>291</v>
      </c>
      <c r="C33" s="3" t="s">
        <v>292</v>
      </c>
      <c r="D33" s="3" t="s">
        <v>226</v>
      </c>
      <c r="E33" s="3"/>
      <c r="F33" s="3" t="s">
        <v>236</v>
      </c>
    </row>
    <row r="34" spans="1:6" s="3" customFormat="1" x14ac:dyDescent="0.25">
      <c r="A34" s="3"/>
      <c r="B34" s="3" t="s">
        <v>293</v>
      </c>
      <c r="C34" s="3" t="s">
        <v>294</v>
      </c>
      <c r="D34" s="3" t="s">
        <v>226</v>
      </c>
      <c r="E34" s="3"/>
      <c r="F34" s="3" t="s">
        <v>236</v>
      </c>
    </row>
    <row r="35" spans="1:6" s="3" customFormat="1" x14ac:dyDescent="0.25">
      <c r="A35" s="3"/>
      <c r="B35" s="3" t="s">
        <v>295</v>
      </c>
      <c r="C35" s="3" t="s">
        <v>296</v>
      </c>
      <c r="D35" s="3" t="s">
        <v>226</v>
      </c>
      <c r="E35" s="3"/>
      <c r="F35" s="3" t="s">
        <v>236</v>
      </c>
    </row>
    <row r="36" spans="1:6" s="3" customFormat="1" x14ac:dyDescent="0.25">
      <c r="A36" s="3"/>
      <c r="B36" s="3" t="s">
        <v>297</v>
      </c>
      <c r="C36" s="3" t="s">
        <v>298</v>
      </c>
      <c r="D36" s="3" t="s">
        <v>226</v>
      </c>
      <c r="E36" s="3"/>
      <c r="F36" s="3" t="s">
        <v>236</v>
      </c>
    </row>
    <row r="37" spans="1:6" s="3" customFormat="1" x14ac:dyDescent="0.25">
      <c r="A37" s="3"/>
      <c r="B37" s="3" t="s">
        <v>299</v>
      </c>
      <c r="C37" s="3" t="s">
        <v>300</v>
      </c>
      <c r="D37" s="3" t="s">
        <v>226</v>
      </c>
      <c r="E37" s="3"/>
      <c r="F37" s="3" t="s">
        <v>236</v>
      </c>
    </row>
    <row r="38" spans="1:6" s="3" customFormat="1" x14ac:dyDescent="0.25">
      <c r="A38" s="3"/>
      <c r="B38" s="3" t="s">
        <v>301</v>
      </c>
      <c r="C38" s="3" t="s">
        <v>302</v>
      </c>
      <c r="D38" s="3" t="s">
        <v>303</v>
      </c>
      <c r="E38" s="3"/>
      <c r="F38" s="3" t="s">
        <v>236</v>
      </c>
    </row>
    <row r="39" spans="1:6" s="3" customFormat="1" x14ac:dyDescent="0.25">
      <c r="A39" s="3"/>
      <c r="B39" s="3" t="s">
        <v>304</v>
      </c>
      <c r="C39" s="3" t="s">
        <v>305</v>
      </c>
      <c r="D39" s="3" t="s">
        <v>303</v>
      </c>
      <c r="E39" s="3"/>
      <c r="F39" s="3" t="s">
        <v>236</v>
      </c>
    </row>
    <row r="40" spans="1:6" s="3" customFormat="1" x14ac:dyDescent="0.25">
      <c r="A40" s="3"/>
      <c r="B40" s="3" t="s">
        <v>306</v>
      </c>
      <c r="C40" s="3" t="s">
        <v>307</v>
      </c>
      <c r="D40" s="3" t="s">
        <v>259</v>
      </c>
      <c r="E40" s="3"/>
      <c r="F40" s="3" t="s">
        <v>260</v>
      </c>
    </row>
    <row r="41" spans="1:6" s="3" customFormat="1" x14ac:dyDescent="0.25">
      <c r="A41" s="3"/>
      <c r="B41" s="3" t="s">
        <v>308</v>
      </c>
      <c r="C41" s="3" t="s">
        <v>309</v>
      </c>
      <c r="D41" s="3" t="s">
        <v>233</v>
      </c>
      <c r="E41" s="3"/>
      <c r="F41" s="3" t="s">
        <v>236</v>
      </c>
    </row>
    <row r="42" spans="1:6" s="3" customFormat="1" x14ac:dyDescent="0.25">
      <c r="A42" s="3"/>
      <c r="B42" s="3" t="s">
        <v>310</v>
      </c>
      <c r="C42" s="3" t="s">
        <v>311</v>
      </c>
      <c r="D42" s="3" t="s">
        <v>233</v>
      </c>
      <c r="E42" s="3"/>
      <c r="F42" s="3" t="s">
        <v>236</v>
      </c>
    </row>
    <row r="43" spans="1:6" s="3" customFormat="1" x14ac:dyDescent="0.25">
      <c r="A43" s="3"/>
      <c r="B43" s="3" t="s">
        <v>312</v>
      </c>
      <c r="C43" s="3" t="s">
        <v>313</v>
      </c>
      <c r="D43" s="3" t="s">
        <v>233</v>
      </c>
      <c r="E43" s="3"/>
      <c r="F43" s="3" t="s">
        <v>236</v>
      </c>
    </row>
    <row r="44" spans="1:6" s="3" customFormat="1" x14ac:dyDescent="0.25">
      <c r="A44" s="3"/>
      <c r="B44" s="3" t="s">
        <v>314</v>
      </c>
      <c r="C44" s="3" t="s">
        <v>315</v>
      </c>
      <c r="D44" s="3" t="s">
        <v>233</v>
      </c>
      <c r="E44" s="3"/>
      <c r="F44" s="3" t="s">
        <v>236</v>
      </c>
    </row>
    <row r="45" spans="1:6" s="3" customFormat="1" x14ac:dyDescent="0.25">
      <c r="A45" s="3"/>
      <c r="B45" s="3" t="s">
        <v>316</v>
      </c>
      <c r="C45" s="3" t="s">
        <v>317</v>
      </c>
      <c r="D45" s="3" t="s">
        <v>233</v>
      </c>
      <c r="E45" s="3"/>
      <c r="F45" s="3" t="s">
        <v>236</v>
      </c>
    </row>
    <row r="46" spans="1:6" s="3" customFormat="1" x14ac:dyDescent="0.25">
      <c r="A46" s="3"/>
      <c r="B46" s="3" t="s">
        <v>318</v>
      </c>
      <c r="C46" s="3" t="s">
        <v>319</v>
      </c>
      <c r="D46" s="3" t="s">
        <v>226</v>
      </c>
      <c r="E46" s="3"/>
      <c r="F46" s="3" t="s">
        <v>236</v>
      </c>
    </row>
    <row r="47" spans="1:6" s="3" customFormat="1" x14ac:dyDescent="0.25">
      <c r="A47" s="3"/>
      <c r="B47" s="3" t="s">
        <v>320</v>
      </c>
      <c r="C47" s="3" t="s">
        <v>321</v>
      </c>
      <c r="D47" s="3" t="s">
        <v>226</v>
      </c>
      <c r="E47" s="3"/>
      <c r="F47" s="3" t="s">
        <v>236</v>
      </c>
    </row>
    <row r="48" spans="1:6" s="3" customFormat="1" x14ac:dyDescent="0.25">
      <c r="A48" s="3"/>
      <c r="B48" s="3" t="s">
        <v>322</v>
      </c>
      <c r="C48" s="3" t="s">
        <v>323</v>
      </c>
      <c r="D48" s="3" t="s">
        <v>226</v>
      </c>
      <c r="E48" s="3"/>
      <c r="F48" s="3" t="s">
        <v>236</v>
      </c>
    </row>
    <row r="49" spans="1:6" s="3" customFormat="1" x14ac:dyDescent="0.25">
      <c r="A49" s="3"/>
      <c r="B49" s="3" t="s">
        <v>324</v>
      </c>
      <c r="C49" s="3" t="s">
        <v>325</v>
      </c>
      <c r="D49" s="3" t="s">
        <v>226</v>
      </c>
      <c r="E49" s="3"/>
      <c r="F49" s="3" t="s">
        <v>236</v>
      </c>
    </row>
    <row r="50" spans="1:6" s="3" customFormat="1" x14ac:dyDescent="0.25">
      <c r="A50" s="3"/>
      <c r="B50" s="3" t="s">
        <v>326</v>
      </c>
      <c r="C50" s="3" t="s">
        <v>327</v>
      </c>
      <c r="D50" s="3" t="s">
        <v>226</v>
      </c>
      <c r="E50" s="3"/>
      <c r="F50" s="3" t="s">
        <v>236</v>
      </c>
    </row>
    <row r="51" spans="1:6" s="3" customFormat="1" x14ac:dyDescent="0.25">
      <c r="A51" s="3"/>
      <c r="B51" s="3" t="s">
        <v>328</v>
      </c>
      <c r="C51" s="3" t="s">
        <v>329</v>
      </c>
      <c r="D51" s="3" t="s">
        <v>226</v>
      </c>
      <c r="E51" s="3"/>
      <c r="F51" s="3" t="s">
        <v>236</v>
      </c>
    </row>
    <row r="52" spans="1:6" s="3" customFormat="1" x14ac:dyDescent="0.25">
      <c r="A52" s="3"/>
      <c r="B52" s="3" t="s">
        <v>330</v>
      </c>
      <c r="C52" s="3" t="s">
        <v>331</v>
      </c>
      <c r="D52" s="3" t="s">
        <v>226</v>
      </c>
      <c r="E52" s="3"/>
      <c r="F52" s="3" t="s">
        <v>236</v>
      </c>
    </row>
    <row r="53" spans="1:6" s="3" customFormat="1" x14ac:dyDescent="0.25">
      <c r="A53" s="3"/>
      <c r="B53" s="3" t="s">
        <v>332</v>
      </c>
      <c r="C53" s="3" t="s">
        <v>333</v>
      </c>
      <c r="D53" s="3" t="s">
        <v>226</v>
      </c>
      <c r="E53" s="3"/>
      <c r="F53" s="3" t="s">
        <v>236</v>
      </c>
    </row>
    <row r="54" spans="1:6" s="3" customFormat="1" x14ac:dyDescent="0.25">
      <c r="A54" s="3"/>
      <c r="B54" s="3" t="s">
        <v>334</v>
      </c>
      <c r="C54" s="3" t="s">
        <v>335</v>
      </c>
      <c r="D54" s="3" t="s">
        <v>288</v>
      </c>
      <c r="E54" s="3"/>
      <c r="F54" s="3" t="s">
        <v>236</v>
      </c>
    </row>
    <row r="55" spans="1:6" s="3" customFormat="1" x14ac:dyDescent="0.25">
      <c r="A55" s="3"/>
      <c r="B55" s="3" t="s">
        <v>336</v>
      </c>
      <c r="C55" s="3" t="s">
        <v>337</v>
      </c>
      <c r="D55" s="3" t="s">
        <v>288</v>
      </c>
      <c r="E55" s="3"/>
      <c r="F55" s="3" t="s">
        <v>236</v>
      </c>
    </row>
    <row r="56" spans="1:6" s="3" customFormat="1" x14ac:dyDescent="0.25">
      <c r="A56" s="3"/>
      <c r="B56" s="3" t="s">
        <v>338</v>
      </c>
      <c r="C56" s="3" t="s">
        <v>339</v>
      </c>
      <c r="D56" s="3" t="s">
        <v>288</v>
      </c>
      <c r="E56" s="3"/>
      <c r="F56" s="3" t="s">
        <v>236</v>
      </c>
    </row>
    <row r="57" spans="1:6" s="3" customFormat="1" x14ac:dyDescent="0.25">
      <c r="A57" s="3"/>
      <c r="B57" s="3" t="s">
        <v>340</v>
      </c>
      <c r="C57" s="3" t="s">
        <v>341</v>
      </c>
      <c r="D57" s="3" t="s">
        <v>288</v>
      </c>
      <c r="E57" s="3"/>
      <c r="F57" s="3" t="s">
        <v>236</v>
      </c>
    </row>
    <row r="58" spans="1:6" s="3" customFormat="1" x14ac:dyDescent="0.25">
      <c r="A58" s="3"/>
      <c r="B58" s="3" t="s">
        <v>342</v>
      </c>
      <c r="C58" s="3" t="s">
        <v>343</v>
      </c>
      <c r="D58" s="3" t="s">
        <v>288</v>
      </c>
      <c r="E58" s="3"/>
      <c r="F58" s="3" t="s">
        <v>236</v>
      </c>
    </row>
    <row r="59" spans="1:6" s="3" customFormat="1" x14ac:dyDescent="0.25">
      <c r="A59" s="3"/>
      <c r="B59" s="3" t="s">
        <v>344</v>
      </c>
      <c r="C59" s="3" t="s">
        <v>345</v>
      </c>
      <c r="D59" s="3" t="s">
        <v>288</v>
      </c>
      <c r="E59" s="3"/>
      <c r="F59" s="3" t="s">
        <v>236</v>
      </c>
    </row>
    <row r="60" spans="1:6" s="3" customFormat="1" x14ac:dyDescent="0.25">
      <c r="A60" s="3"/>
      <c r="B60" s="3" t="s">
        <v>346</v>
      </c>
      <c r="C60" s="3" t="s">
        <v>347</v>
      </c>
      <c r="D60" s="3" t="s">
        <v>288</v>
      </c>
      <c r="E60" s="3"/>
      <c r="F60" s="3" t="s">
        <v>236</v>
      </c>
    </row>
    <row r="61" spans="1:6" s="3" customFormat="1" x14ac:dyDescent="0.25">
      <c r="A61" s="3"/>
      <c r="B61" s="3" t="s">
        <v>348</v>
      </c>
      <c r="C61" s="3" t="s">
        <v>349</v>
      </c>
      <c r="D61" s="3" t="s">
        <v>288</v>
      </c>
      <c r="E61" s="3"/>
      <c r="F61" s="3" t="s">
        <v>236</v>
      </c>
    </row>
    <row r="62" spans="1:6" x14ac:dyDescent="0.25">
      <c r="A62">
        <v>8</v>
      </c>
      <c r="B62" t="s">
        <v>350</v>
      </c>
      <c r="C62" t="s">
        <v>351</v>
      </c>
      <c r="D62" t="s">
        <v>168</v>
      </c>
      <c r="E62" s="2"/>
      <c r="F62" t="s">
        <v>11</v>
      </c>
    </row>
    <row r="63" spans="1:6" s="3" customFormat="1" x14ac:dyDescent="0.25">
      <c r="A63" s="3"/>
      <c r="B63" s="3" t="s">
        <v>352</v>
      </c>
      <c r="C63" s="3" t="s">
        <v>353</v>
      </c>
      <c r="D63" s="3" t="s">
        <v>168</v>
      </c>
      <c r="E63" s="3"/>
      <c r="F63" s="3" t="s">
        <v>236</v>
      </c>
    </row>
    <row r="64" spans="1:6" s="3" customFormat="1" x14ac:dyDescent="0.25">
      <c r="A64" s="3"/>
      <c r="B64" s="3" t="s">
        <v>354</v>
      </c>
      <c r="C64" s="3" t="s">
        <v>355</v>
      </c>
      <c r="D64" s="3" t="s">
        <v>356</v>
      </c>
      <c r="E64" s="3"/>
      <c r="F64" s="3" t="s">
        <v>260</v>
      </c>
    </row>
    <row r="65" spans="1:6" s="3" customFormat="1" x14ac:dyDescent="0.25">
      <c r="A65" s="3"/>
      <c r="B65" s="3" t="s">
        <v>357</v>
      </c>
      <c r="C65" s="3" t="s">
        <v>358</v>
      </c>
      <c r="D65" s="3" t="s">
        <v>356</v>
      </c>
      <c r="E65" s="3"/>
      <c r="F65" s="3" t="s">
        <v>260</v>
      </c>
    </row>
    <row r="66" spans="1:6" s="3" customFormat="1" x14ac:dyDescent="0.25">
      <c r="A66" s="3"/>
      <c r="B66" s="3" t="s">
        <v>359</v>
      </c>
      <c r="C66" s="3" t="s">
        <v>360</v>
      </c>
      <c r="D66" s="3" t="s">
        <v>356</v>
      </c>
      <c r="E66" s="3"/>
      <c r="F66" s="3" t="s">
        <v>260</v>
      </c>
    </row>
    <row r="67" spans="1:6" s="3" customFormat="1" x14ac:dyDescent="0.25">
      <c r="A67" s="3"/>
      <c r="B67" s="3" t="s">
        <v>361</v>
      </c>
      <c r="C67" s="3" t="s">
        <v>362</v>
      </c>
      <c r="D67" s="3" t="s">
        <v>356</v>
      </c>
      <c r="E67" s="3"/>
      <c r="F67" s="3" t="s">
        <v>260</v>
      </c>
    </row>
    <row r="68" spans="1:6" s="3" customFormat="1" x14ac:dyDescent="0.25">
      <c r="A68" s="3"/>
      <c r="B68" s="3" t="s">
        <v>363</v>
      </c>
      <c r="C68" s="3" t="s">
        <v>364</v>
      </c>
      <c r="D68" s="3" t="s">
        <v>356</v>
      </c>
      <c r="E68" s="3"/>
      <c r="F68" s="3" t="s">
        <v>260</v>
      </c>
    </row>
    <row r="69" spans="1:6" s="3" customFormat="1" x14ac:dyDescent="0.25">
      <c r="A69" s="3"/>
      <c r="B69" s="3" t="s">
        <v>365</v>
      </c>
      <c r="C69" s="3" t="s">
        <v>366</v>
      </c>
      <c r="D69" s="3" t="s">
        <v>356</v>
      </c>
      <c r="E69" s="3"/>
      <c r="F69" s="3" t="s">
        <v>260</v>
      </c>
    </row>
    <row r="70" spans="1:6" s="3" customFormat="1" x14ac:dyDescent="0.25">
      <c r="A70" s="3"/>
      <c r="B70" s="3" t="s">
        <v>367</v>
      </c>
      <c r="C70" s="3" t="s">
        <v>368</v>
      </c>
      <c r="D70" s="3" t="s">
        <v>356</v>
      </c>
      <c r="E70" s="3"/>
      <c r="F70" s="3" t="s">
        <v>260</v>
      </c>
    </row>
    <row r="71" spans="1:6" s="3" customFormat="1" x14ac:dyDescent="0.25">
      <c r="A71" s="3"/>
      <c r="B71" s="3" t="s">
        <v>369</v>
      </c>
      <c r="C71" s="3" t="s">
        <v>370</v>
      </c>
      <c r="D71" s="3" t="s">
        <v>356</v>
      </c>
      <c r="E71" s="3"/>
      <c r="F71" s="3" t="s">
        <v>260</v>
      </c>
    </row>
    <row r="72" spans="1:6" s="3" customFormat="1" x14ac:dyDescent="0.25">
      <c r="A72" s="3"/>
      <c r="B72" s="3" t="s">
        <v>371</v>
      </c>
      <c r="C72" s="3" t="s">
        <v>372</v>
      </c>
      <c r="D72" s="3" t="s">
        <v>356</v>
      </c>
      <c r="E72" s="3"/>
      <c r="F72" s="3" t="s">
        <v>260</v>
      </c>
    </row>
    <row r="73" spans="1:6" s="3" customFormat="1" x14ac:dyDescent="0.25">
      <c r="A73" s="3"/>
      <c r="B73" s="3" t="s">
        <v>373</v>
      </c>
      <c r="C73" s="3" t="s">
        <v>374</v>
      </c>
      <c r="D73" s="3" t="s">
        <v>356</v>
      </c>
      <c r="E73" s="3"/>
      <c r="F73" s="3" t="s">
        <v>260</v>
      </c>
    </row>
    <row r="74" spans="1:6" s="3" customFormat="1" x14ac:dyDescent="0.25">
      <c r="A74" s="3"/>
      <c r="B74" s="3" t="s">
        <v>375</v>
      </c>
      <c r="C74" s="3" t="s">
        <v>376</v>
      </c>
      <c r="D74" s="3" t="s">
        <v>356</v>
      </c>
      <c r="E74" s="3"/>
      <c r="F74" s="3" t="s">
        <v>260</v>
      </c>
    </row>
    <row r="75" spans="1:6" s="3" customFormat="1" x14ac:dyDescent="0.25">
      <c r="A75" s="3"/>
      <c r="B75" s="3" t="s">
        <v>377</v>
      </c>
      <c r="C75" s="3" t="s">
        <v>378</v>
      </c>
      <c r="D75" s="3" t="s">
        <v>356</v>
      </c>
      <c r="E75" s="3"/>
      <c r="F75" s="3" t="s">
        <v>260</v>
      </c>
    </row>
    <row r="76" spans="1:6" s="3" customFormat="1" x14ac:dyDescent="0.25">
      <c r="A76" s="3"/>
      <c r="B76" s="3" t="s">
        <v>379</v>
      </c>
      <c r="C76" s="3" t="s">
        <v>380</v>
      </c>
      <c r="D76" s="3" t="s">
        <v>356</v>
      </c>
      <c r="E76" s="3"/>
      <c r="F76" s="3" t="s">
        <v>260</v>
      </c>
    </row>
    <row r="77" spans="1:6" s="3" customFormat="1" x14ac:dyDescent="0.25">
      <c r="A77" s="3"/>
      <c r="B77" s="3" t="s">
        <v>381</v>
      </c>
      <c r="C77" s="3" t="s">
        <v>382</v>
      </c>
      <c r="D77" s="3" t="s">
        <v>233</v>
      </c>
      <c r="E77" s="3"/>
      <c r="F77" s="3" t="s">
        <v>236</v>
      </c>
    </row>
    <row r="78" spans="1:6" s="3" customFormat="1" x14ac:dyDescent="0.25">
      <c r="A78" s="3"/>
      <c r="B78" s="3" t="s">
        <v>383</v>
      </c>
      <c r="C78" s="3" t="s">
        <v>384</v>
      </c>
      <c r="D78" s="3" t="s">
        <v>233</v>
      </c>
      <c r="E78" s="3"/>
      <c r="F78" s="3" t="s">
        <v>236</v>
      </c>
    </row>
    <row r="79" spans="1:6" s="3" customFormat="1" x14ac:dyDescent="0.25">
      <c r="A79" s="3"/>
      <c r="B79" s="3" t="s">
        <v>385</v>
      </c>
      <c r="C79" s="3" t="s">
        <v>386</v>
      </c>
      <c r="D79" s="3" t="s">
        <v>233</v>
      </c>
      <c r="E79" s="3"/>
      <c r="F79" s="3" t="s">
        <v>236</v>
      </c>
    </row>
    <row r="80" spans="1:6" s="3" customFormat="1" x14ac:dyDescent="0.25">
      <c r="A80" s="3"/>
      <c r="B80" s="3" t="s">
        <v>387</v>
      </c>
      <c r="C80" s="3" t="s">
        <v>388</v>
      </c>
      <c r="D80" s="3" t="s">
        <v>233</v>
      </c>
      <c r="E80" s="3"/>
      <c r="F80" s="3" t="s">
        <v>236</v>
      </c>
    </row>
    <row r="81" spans="1:6" s="3" customFormat="1" x14ac:dyDescent="0.25">
      <c r="A81" s="3"/>
      <c r="B81" s="3" t="s">
        <v>389</v>
      </c>
      <c r="C81" s="3" t="s">
        <v>390</v>
      </c>
      <c r="D81" s="3" t="s">
        <v>233</v>
      </c>
      <c r="E81" s="3"/>
      <c r="F81" s="3" t="s">
        <v>236</v>
      </c>
    </row>
    <row r="82" spans="1:6" s="3" customFormat="1" x14ac:dyDescent="0.25">
      <c r="A82" s="3"/>
      <c r="B82" s="3" t="s">
        <v>391</v>
      </c>
      <c r="C82" s="3" t="s">
        <v>392</v>
      </c>
      <c r="D82" s="3" t="s">
        <v>233</v>
      </c>
      <c r="E82" s="3"/>
      <c r="F82" s="3" t="s">
        <v>236</v>
      </c>
    </row>
    <row r="83" spans="1:6" s="3" customFormat="1" x14ac:dyDescent="0.25">
      <c r="A83" s="3"/>
      <c r="B83" s="3" t="s">
        <v>393</v>
      </c>
      <c r="C83" s="3" t="s">
        <v>394</v>
      </c>
      <c r="D83" s="3" t="s">
        <v>233</v>
      </c>
      <c r="E83" s="3"/>
      <c r="F83" s="3" t="s">
        <v>236</v>
      </c>
    </row>
    <row r="84" spans="1:6" s="3" customFormat="1" x14ac:dyDescent="0.25">
      <c r="A84" s="3"/>
      <c r="B84" s="3" t="s">
        <v>395</v>
      </c>
      <c r="C84" s="3" t="s">
        <v>396</v>
      </c>
      <c r="D84" s="3" t="s">
        <v>233</v>
      </c>
      <c r="E84" s="3"/>
      <c r="F84" s="3" t="s">
        <v>236</v>
      </c>
    </row>
    <row r="85" spans="1:6" s="3" customFormat="1" x14ac:dyDescent="0.25">
      <c r="A85" s="3"/>
      <c r="B85" s="3" t="s">
        <v>397</v>
      </c>
      <c r="C85" s="3" t="s">
        <v>398</v>
      </c>
      <c r="D85" s="3" t="s">
        <v>233</v>
      </c>
      <c r="E85" s="3"/>
      <c r="F85" s="3" t="s">
        <v>236</v>
      </c>
    </row>
    <row r="86" spans="1:6" s="3" customFormat="1" x14ac:dyDescent="0.25">
      <c r="A86" s="3"/>
      <c r="B86" s="3" t="s">
        <v>399</v>
      </c>
      <c r="C86" s="3" t="s">
        <v>400</v>
      </c>
      <c r="D86" s="3" t="s">
        <v>233</v>
      </c>
      <c r="E86" s="3"/>
      <c r="F86" s="3" t="s">
        <v>236</v>
      </c>
    </row>
    <row r="87" spans="1:6" s="3" customFormat="1" x14ac:dyDescent="0.25">
      <c r="A87" s="3"/>
      <c r="B87" s="3" t="s">
        <v>401</v>
      </c>
      <c r="C87" s="3" t="s">
        <v>402</v>
      </c>
      <c r="D87" s="3" t="s">
        <v>288</v>
      </c>
      <c r="E87" s="3"/>
      <c r="F87" s="3" t="s">
        <v>236</v>
      </c>
    </row>
    <row r="88" spans="1:6" s="3" customFormat="1" x14ac:dyDescent="0.25">
      <c r="A88" s="3"/>
      <c r="B88" s="3" t="s">
        <v>403</v>
      </c>
      <c r="C88" s="3" t="s">
        <v>404</v>
      </c>
      <c r="D88" s="3" t="s">
        <v>288</v>
      </c>
      <c r="E88" s="3"/>
      <c r="F88" s="3" t="s">
        <v>236</v>
      </c>
    </row>
    <row r="89" spans="1:6" s="3" customFormat="1" x14ac:dyDescent="0.25">
      <c r="A89" s="3"/>
      <c r="B89" s="3" t="s">
        <v>405</v>
      </c>
      <c r="C89" s="3" t="s">
        <v>406</v>
      </c>
      <c r="D89" s="3" t="s">
        <v>288</v>
      </c>
      <c r="E89" s="3"/>
      <c r="F89" s="3" t="s">
        <v>236</v>
      </c>
    </row>
    <row r="90" spans="1:6" s="3" customFormat="1" x14ac:dyDescent="0.25">
      <c r="A90" s="3"/>
      <c r="B90" s="3" t="s">
        <v>407</v>
      </c>
      <c r="C90" s="3" t="s">
        <v>408</v>
      </c>
      <c r="D90" s="3" t="s">
        <v>288</v>
      </c>
      <c r="E90" s="3"/>
      <c r="F90" s="3" t="s">
        <v>236</v>
      </c>
    </row>
    <row r="91" spans="1:6" s="3" customFormat="1" x14ac:dyDescent="0.25">
      <c r="A91" s="3"/>
      <c r="B91" s="3" t="s">
        <v>409</v>
      </c>
      <c r="C91" s="3" t="s">
        <v>410</v>
      </c>
      <c r="D91" s="3" t="s">
        <v>303</v>
      </c>
      <c r="E91" s="3"/>
      <c r="F91" s="3" t="s">
        <v>236</v>
      </c>
    </row>
    <row r="92" spans="1:6" s="3" customFormat="1" x14ac:dyDescent="0.25">
      <c r="A92" s="3"/>
      <c r="B92" s="3" t="s">
        <v>411</v>
      </c>
      <c r="C92" s="3" t="s">
        <v>412</v>
      </c>
      <c r="D92" s="3" t="s">
        <v>303</v>
      </c>
      <c r="E92" s="3"/>
      <c r="F92" s="3" t="s">
        <v>236</v>
      </c>
    </row>
    <row r="93" spans="1:6" s="3" customFormat="1" x14ac:dyDescent="0.25">
      <c r="A93" s="3"/>
      <c r="B93" s="3" t="s">
        <v>413</v>
      </c>
      <c r="C93" s="3" t="s">
        <v>414</v>
      </c>
      <c r="D93" s="3" t="s">
        <v>288</v>
      </c>
      <c r="E93" s="3"/>
      <c r="F93" s="3" t="s">
        <v>236</v>
      </c>
    </row>
    <row r="94" spans="1:6" s="3" customFormat="1" x14ac:dyDescent="0.25">
      <c r="A94" s="3"/>
      <c r="B94" s="3" t="s">
        <v>415</v>
      </c>
      <c r="C94" s="3" t="s">
        <v>416</v>
      </c>
      <c r="D94" s="3" t="s">
        <v>288</v>
      </c>
      <c r="E94" s="3"/>
      <c r="F94" s="3" t="s">
        <v>236</v>
      </c>
    </row>
    <row r="95" spans="1:6" s="3" customFormat="1" x14ac:dyDescent="0.25">
      <c r="A95" s="3"/>
      <c r="B95" s="3" t="s">
        <v>417</v>
      </c>
      <c r="C95" s="3" t="s">
        <v>418</v>
      </c>
      <c r="D95" s="3" t="s">
        <v>259</v>
      </c>
      <c r="E95" s="3"/>
      <c r="F95" s="3" t="s">
        <v>260</v>
      </c>
    </row>
    <row r="96" spans="1:6" s="3" customFormat="1" x14ac:dyDescent="0.25">
      <c r="A96" s="3"/>
      <c r="B96" s="3" t="s">
        <v>419</v>
      </c>
      <c r="C96" s="3" t="s">
        <v>420</v>
      </c>
      <c r="D96" s="3" t="s">
        <v>259</v>
      </c>
      <c r="E96" s="3"/>
      <c r="F96" s="3" t="s">
        <v>260</v>
      </c>
    </row>
    <row r="97" spans="1:6" s="3" customFormat="1" x14ac:dyDescent="0.25">
      <c r="A97" s="3"/>
      <c r="B97" s="3" t="s">
        <v>421</v>
      </c>
      <c r="C97" s="3" t="s">
        <v>422</v>
      </c>
      <c r="D97" s="3" t="s">
        <v>303</v>
      </c>
      <c r="E97" s="3"/>
      <c r="F97" s="3" t="s">
        <v>236</v>
      </c>
    </row>
    <row r="98" spans="1:6" s="3" customFormat="1" x14ac:dyDescent="0.25">
      <c r="A98" s="3"/>
      <c r="B98" s="3" t="s">
        <v>423</v>
      </c>
      <c r="C98" s="3" t="s">
        <v>424</v>
      </c>
      <c r="D98" s="3" t="s">
        <v>303</v>
      </c>
      <c r="E98" s="3"/>
      <c r="F98" s="3" t="s">
        <v>236</v>
      </c>
    </row>
    <row r="99" spans="1:6" s="3" customFormat="1" x14ac:dyDescent="0.25">
      <c r="A99" s="3"/>
      <c r="B99" s="3" t="s">
        <v>425</v>
      </c>
      <c r="C99" s="3" t="s">
        <v>426</v>
      </c>
      <c r="D99" s="3" t="s">
        <v>303</v>
      </c>
      <c r="E99" s="3"/>
      <c r="F99" s="3" t="s">
        <v>236</v>
      </c>
    </row>
    <row r="100" spans="1:6" s="3" customFormat="1" x14ac:dyDescent="0.25">
      <c r="A100" s="3"/>
      <c r="B100" s="3" t="s">
        <v>427</v>
      </c>
      <c r="C100" s="3" t="s">
        <v>428</v>
      </c>
      <c r="D100" s="3" t="s">
        <v>259</v>
      </c>
      <c r="E100" s="3"/>
      <c r="F100" s="3" t="s">
        <v>260</v>
      </c>
    </row>
    <row r="101" spans="1:6" s="3" customFormat="1" x14ac:dyDescent="0.25">
      <c r="A101" s="3"/>
      <c r="B101" s="3" t="s">
        <v>429</v>
      </c>
      <c r="C101" s="3" t="s">
        <v>430</v>
      </c>
      <c r="D101" s="3" t="s">
        <v>259</v>
      </c>
      <c r="E101" s="3"/>
      <c r="F101" s="3" t="s">
        <v>260</v>
      </c>
    </row>
    <row r="102" spans="1:6" s="3" customFormat="1" x14ac:dyDescent="0.25">
      <c r="A102" s="3"/>
      <c r="B102" s="3" t="s">
        <v>431</v>
      </c>
      <c r="C102" s="3" t="s">
        <v>432</v>
      </c>
      <c r="D102" s="3" t="s">
        <v>259</v>
      </c>
      <c r="E102" s="3"/>
      <c r="F102" s="3" t="s">
        <v>260</v>
      </c>
    </row>
    <row r="103" spans="1:6" s="3" customFormat="1" x14ac:dyDescent="0.25">
      <c r="A103" s="3"/>
      <c r="B103" s="3" t="s">
        <v>433</v>
      </c>
      <c r="C103" s="3" t="s">
        <v>434</v>
      </c>
      <c r="D103" s="3" t="s">
        <v>259</v>
      </c>
      <c r="E103" s="3"/>
      <c r="F103" s="3" t="s">
        <v>260</v>
      </c>
    </row>
    <row r="104" spans="1:6" s="3" customFormat="1" x14ac:dyDescent="0.25">
      <c r="A104" s="3"/>
      <c r="B104" s="3" t="s">
        <v>435</v>
      </c>
      <c r="C104" s="3" t="s">
        <v>436</v>
      </c>
      <c r="D104" s="3" t="s">
        <v>303</v>
      </c>
      <c r="E104" s="3"/>
      <c r="F104" s="3" t="s">
        <v>236</v>
      </c>
    </row>
    <row r="105" spans="1:6" s="3" customFormat="1" x14ac:dyDescent="0.25">
      <c r="A105" s="3"/>
      <c r="B105" s="3" t="s">
        <v>437</v>
      </c>
      <c r="C105" s="3" t="s">
        <v>438</v>
      </c>
      <c r="D105" s="3" t="s">
        <v>226</v>
      </c>
      <c r="E105" s="3"/>
      <c r="F105" s="3" t="s">
        <v>236</v>
      </c>
    </row>
    <row r="106" spans="1:6" s="3" customFormat="1" x14ac:dyDescent="0.25">
      <c r="A106" s="3"/>
      <c r="B106" s="3" t="s">
        <v>439</v>
      </c>
      <c r="C106" s="3" t="s">
        <v>440</v>
      </c>
      <c r="D106" s="3" t="s">
        <v>226</v>
      </c>
      <c r="E106" s="3"/>
      <c r="F106" s="3" t="s">
        <v>236</v>
      </c>
    </row>
    <row r="107" spans="1:6" s="3" customFormat="1" x14ac:dyDescent="0.25">
      <c r="A107" s="3"/>
      <c r="B107" s="3" t="s">
        <v>441</v>
      </c>
      <c r="C107" s="3" t="s">
        <v>442</v>
      </c>
      <c r="D107" s="3" t="s">
        <v>226</v>
      </c>
      <c r="E107" s="3"/>
      <c r="F107" s="3" t="s">
        <v>236</v>
      </c>
    </row>
    <row r="108" spans="1:6" s="3" customFormat="1" x14ac:dyDescent="0.25">
      <c r="A108" s="3"/>
      <c r="B108" s="3" t="s">
        <v>443</v>
      </c>
      <c r="C108" s="3" t="s">
        <v>444</v>
      </c>
      <c r="D108" s="3" t="s">
        <v>226</v>
      </c>
      <c r="E108" s="3"/>
      <c r="F108" s="3" t="s">
        <v>236</v>
      </c>
    </row>
    <row r="109" spans="1:6" s="3" customFormat="1" x14ac:dyDescent="0.25">
      <c r="A109" s="3"/>
      <c r="B109" s="3" t="s">
        <v>445</v>
      </c>
      <c r="C109" s="3" t="s">
        <v>446</v>
      </c>
      <c r="D109" s="3" t="s">
        <v>226</v>
      </c>
      <c r="E109" s="3"/>
      <c r="F109" s="3" t="s">
        <v>236</v>
      </c>
    </row>
    <row r="110" spans="1:6" s="3" customFormat="1" x14ac:dyDescent="0.25">
      <c r="A110" s="3"/>
      <c r="B110" s="3" t="s">
        <v>447</v>
      </c>
      <c r="C110" s="3" t="s">
        <v>448</v>
      </c>
      <c r="D110" s="3" t="s">
        <v>226</v>
      </c>
      <c r="E110" s="3"/>
      <c r="F110" s="3" t="s">
        <v>236</v>
      </c>
    </row>
    <row r="111" spans="1:6" s="3" customFormat="1" x14ac:dyDescent="0.25">
      <c r="A111" s="3"/>
      <c r="B111" s="3" t="s">
        <v>449</v>
      </c>
      <c r="C111" s="3" t="s">
        <v>450</v>
      </c>
      <c r="D111" s="3" t="s">
        <v>226</v>
      </c>
      <c r="E111" s="3"/>
      <c r="F111" s="3" t="s">
        <v>451</v>
      </c>
    </row>
    <row r="112" spans="1:6" s="3" customFormat="1" x14ac:dyDescent="0.25">
      <c r="A112" s="3"/>
      <c r="B112" s="3" t="s">
        <v>452</v>
      </c>
      <c r="C112" s="3" t="s">
        <v>453</v>
      </c>
      <c r="D112" s="3" t="s">
        <v>288</v>
      </c>
      <c r="E112" s="3"/>
      <c r="F112" s="3" t="s">
        <v>236</v>
      </c>
    </row>
    <row r="113" spans="1:6" s="3" customFormat="1" x14ac:dyDescent="0.25">
      <c r="A113" s="3"/>
      <c r="B113" s="3" t="s">
        <v>454</v>
      </c>
      <c r="C113" s="3" t="s">
        <v>455</v>
      </c>
      <c r="D113" s="3" t="s">
        <v>288</v>
      </c>
      <c r="E113" s="3"/>
      <c r="F113" s="3" t="s">
        <v>236</v>
      </c>
    </row>
    <row r="114" spans="1:6" s="3" customFormat="1" x14ac:dyDescent="0.25">
      <c r="A114" s="3"/>
      <c r="B114" s="3" t="s">
        <v>456</v>
      </c>
      <c r="C114" s="3" t="s">
        <v>457</v>
      </c>
      <c r="D114" s="3" t="s">
        <v>288</v>
      </c>
      <c r="E114" s="3"/>
      <c r="F114" s="3" t="s">
        <v>236</v>
      </c>
    </row>
    <row r="115" spans="1:6" s="3" customFormat="1" x14ac:dyDescent="0.25">
      <c r="A115" s="3"/>
      <c r="B115" s="3" t="s">
        <v>458</v>
      </c>
      <c r="C115" s="3" t="s">
        <v>459</v>
      </c>
      <c r="D115" s="3" t="s">
        <v>226</v>
      </c>
      <c r="E115" s="3"/>
      <c r="F115" s="3" t="s">
        <v>236</v>
      </c>
    </row>
    <row r="116" spans="1:6" s="3" customFormat="1" x14ac:dyDescent="0.25">
      <c r="A116" s="3"/>
      <c r="B116" s="3" t="s">
        <v>460</v>
      </c>
      <c r="C116" s="3" t="s">
        <v>461</v>
      </c>
      <c r="D116" s="3" t="s">
        <v>226</v>
      </c>
      <c r="E116" s="3"/>
      <c r="F116" s="3" t="s">
        <v>236</v>
      </c>
    </row>
    <row r="117" spans="1:6" s="3" customFormat="1" x14ac:dyDescent="0.25">
      <c r="A117" s="3"/>
      <c r="B117" s="3" t="s">
        <v>462</v>
      </c>
      <c r="C117" s="3" t="s">
        <v>463</v>
      </c>
      <c r="D117" s="3" t="s">
        <v>226</v>
      </c>
      <c r="E117" s="3"/>
      <c r="F117" s="3" t="s">
        <v>236</v>
      </c>
    </row>
    <row r="118" spans="1:6" s="3" customFormat="1" x14ac:dyDescent="0.25">
      <c r="A118" s="3"/>
      <c r="B118" s="3" t="s">
        <v>464</v>
      </c>
      <c r="C118" s="3" t="s">
        <v>465</v>
      </c>
      <c r="D118" s="3" t="s">
        <v>288</v>
      </c>
      <c r="E118" s="3"/>
      <c r="F118" s="3" t="s">
        <v>236</v>
      </c>
    </row>
    <row r="119" spans="1:6" s="3" customFormat="1" x14ac:dyDescent="0.25">
      <c r="A119" s="3"/>
      <c r="B119" s="3" t="s">
        <v>466</v>
      </c>
      <c r="C119" s="3" t="s">
        <v>467</v>
      </c>
      <c r="D119" s="3" t="s">
        <v>233</v>
      </c>
      <c r="E119" s="3"/>
      <c r="F119" s="3" t="s">
        <v>236</v>
      </c>
    </row>
    <row r="120" spans="1:6" s="3" customFormat="1" x14ac:dyDescent="0.25">
      <c r="A120" s="3"/>
      <c r="B120" s="3" t="s">
        <v>468</v>
      </c>
      <c r="C120" s="3" t="s">
        <v>469</v>
      </c>
      <c r="D120" s="3" t="s">
        <v>303</v>
      </c>
      <c r="E120" s="3"/>
      <c r="F120" s="3" t="s">
        <v>236</v>
      </c>
    </row>
    <row r="121" spans="1:6" s="3" customFormat="1" x14ac:dyDescent="0.25">
      <c r="A121" s="3"/>
      <c r="B121" s="3" t="s">
        <v>470</v>
      </c>
      <c r="C121" s="3" t="s">
        <v>471</v>
      </c>
      <c r="D121" s="3" t="s">
        <v>303</v>
      </c>
      <c r="E121" s="3"/>
      <c r="F121" s="3" t="s">
        <v>236</v>
      </c>
    </row>
    <row r="122" spans="1:6" s="3" customFormat="1" x14ac:dyDescent="0.25">
      <c r="A122" s="3"/>
      <c r="B122" s="3" t="s">
        <v>472</v>
      </c>
      <c r="C122" s="3" t="s">
        <v>473</v>
      </c>
      <c r="D122" s="3" t="s">
        <v>303</v>
      </c>
      <c r="E122" s="3"/>
      <c r="F122" s="3" t="s">
        <v>236</v>
      </c>
    </row>
    <row r="123" spans="1:6" s="3" customFormat="1" x14ac:dyDescent="0.25">
      <c r="A123" s="3"/>
      <c r="B123" s="3" t="s">
        <v>474</v>
      </c>
      <c r="C123" s="3" t="s">
        <v>475</v>
      </c>
      <c r="D123" s="3" t="s">
        <v>303</v>
      </c>
      <c r="E123" s="3"/>
      <c r="F123" s="3" t="s">
        <v>236</v>
      </c>
    </row>
    <row r="124" spans="1:6" s="3" customFormat="1" x14ac:dyDescent="0.25">
      <c r="A124" s="3"/>
      <c r="B124" s="3" t="s">
        <v>476</v>
      </c>
      <c r="C124" s="3" t="s">
        <v>477</v>
      </c>
      <c r="D124" s="3" t="s">
        <v>226</v>
      </c>
      <c r="E124" s="3"/>
      <c r="F124" s="3" t="s">
        <v>236</v>
      </c>
    </row>
    <row r="125" spans="1:6" s="3" customFormat="1" x14ac:dyDescent="0.25">
      <c r="A125" s="3"/>
      <c r="B125" s="3" t="s">
        <v>478</v>
      </c>
      <c r="C125" s="3" t="s">
        <v>479</v>
      </c>
      <c r="D125" s="3" t="s">
        <v>226</v>
      </c>
      <c r="E125" s="3"/>
      <c r="F125" s="3" t="s">
        <v>236</v>
      </c>
    </row>
    <row r="126" spans="1:6" s="3" customFormat="1" x14ac:dyDescent="0.25">
      <c r="A126" s="3"/>
      <c r="B126" s="3" t="s">
        <v>480</v>
      </c>
      <c r="C126" s="3" t="s">
        <v>481</v>
      </c>
      <c r="D126" s="3" t="s">
        <v>288</v>
      </c>
      <c r="E126" s="3"/>
      <c r="F126" s="3" t="s">
        <v>236</v>
      </c>
    </row>
    <row r="127" spans="1:6" s="3" customFormat="1" x14ac:dyDescent="0.25">
      <c r="A127" s="3"/>
      <c r="B127" s="3" t="s">
        <v>482</v>
      </c>
      <c r="C127" s="3" t="s">
        <v>483</v>
      </c>
      <c r="D127" s="3" t="s">
        <v>259</v>
      </c>
      <c r="E127" s="3"/>
      <c r="F127" s="3" t="s">
        <v>260</v>
      </c>
    </row>
    <row r="128" spans="1:6" s="3" customFormat="1" x14ac:dyDescent="0.25">
      <c r="A128" s="3"/>
      <c r="B128" s="3" t="s">
        <v>484</v>
      </c>
      <c r="C128" s="3" t="s">
        <v>485</v>
      </c>
      <c r="D128" s="3" t="s">
        <v>168</v>
      </c>
      <c r="E128" s="3"/>
      <c r="F128" s="3" t="s">
        <v>236</v>
      </c>
    </row>
    <row r="129" spans="1:6" s="3" customFormat="1" x14ac:dyDescent="0.25">
      <c r="A129" s="3"/>
      <c r="B129" s="3" t="s">
        <v>486</v>
      </c>
      <c r="C129" s="3" t="s">
        <v>487</v>
      </c>
      <c r="D129" s="3" t="s">
        <v>168</v>
      </c>
      <c r="E129" s="3"/>
      <c r="F129" s="3" t="s">
        <v>236</v>
      </c>
    </row>
    <row r="130" spans="1:6" s="3" customFormat="1" x14ac:dyDescent="0.25">
      <c r="A130" s="3"/>
      <c r="B130" s="3" t="s">
        <v>488</v>
      </c>
      <c r="C130" s="3" t="s">
        <v>489</v>
      </c>
      <c r="D130" s="3" t="s">
        <v>168</v>
      </c>
      <c r="E130" s="3"/>
      <c r="F130" s="3" t="s">
        <v>236</v>
      </c>
    </row>
    <row r="131" spans="1:6" s="3" customFormat="1" x14ac:dyDescent="0.25">
      <c r="A131" s="3"/>
      <c r="B131" s="3" t="s">
        <v>490</v>
      </c>
      <c r="C131" s="3" t="s">
        <v>491</v>
      </c>
      <c r="D131" s="3" t="s">
        <v>168</v>
      </c>
      <c r="E131" s="3"/>
      <c r="F131" s="3" t="s">
        <v>236</v>
      </c>
    </row>
    <row r="132" spans="1:6" s="3" customFormat="1" x14ac:dyDescent="0.25">
      <c r="A132" s="3"/>
      <c r="B132" s="3" t="s">
        <v>492</v>
      </c>
      <c r="C132" s="3" t="s">
        <v>493</v>
      </c>
      <c r="D132" s="3" t="s">
        <v>168</v>
      </c>
      <c r="E132" s="3"/>
      <c r="F132" s="3" t="s">
        <v>236</v>
      </c>
    </row>
    <row r="133" spans="1:6" s="3" customFormat="1" x14ac:dyDescent="0.25">
      <c r="A133" s="3"/>
      <c r="B133" s="3" t="s">
        <v>494</v>
      </c>
      <c r="C133" s="3" t="s">
        <v>495</v>
      </c>
      <c r="D133" s="3" t="s">
        <v>168</v>
      </c>
      <c r="E133" s="3"/>
      <c r="F133" s="3" t="s">
        <v>236</v>
      </c>
    </row>
    <row r="134" spans="1:6" s="3" customFormat="1" x14ac:dyDescent="0.25">
      <c r="A134" s="3"/>
      <c r="B134" s="3" t="s">
        <v>496</v>
      </c>
      <c r="C134" s="3" t="s">
        <v>497</v>
      </c>
      <c r="D134" s="3" t="s">
        <v>168</v>
      </c>
      <c r="E134" s="3"/>
      <c r="F134" s="3" t="s">
        <v>236</v>
      </c>
    </row>
    <row r="135" spans="1:6" s="3" customFormat="1" x14ac:dyDescent="0.25">
      <c r="A135" s="3"/>
      <c r="B135" s="3" t="s">
        <v>498</v>
      </c>
      <c r="C135" s="3" t="s">
        <v>499</v>
      </c>
      <c r="D135" s="3" t="s">
        <v>168</v>
      </c>
      <c r="E135" s="3"/>
      <c r="F135" s="3" t="s">
        <v>236</v>
      </c>
    </row>
    <row r="136" spans="1:6" s="3" customFormat="1" x14ac:dyDescent="0.25">
      <c r="A136" s="3"/>
      <c r="B136" s="3" t="s">
        <v>500</v>
      </c>
      <c r="C136" s="3" t="s">
        <v>501</v>
      </c>
      <c r="D136" s="3" t="s">
        <v>168</v>
      </c>
      <c r="E136" s="3"/>
      <c r="F136" s="3" t="s">
        <v>236</v>
      </c>
    </row>
    <row r="137" spans="1:6" s="3" customFormat="1" x14ac:dyDescent="0.25">
      <c r="A137" s="3"/>
      <c r="B137" s="3" t="s">
        <v>502</v>
      </c>
      <c r="C137" s="3" t="s">
        <v>503</v>
      </c>
      <c r="D137" s="3" t="s">
        <v>168</v>
      </c>
      <c r="E137" s="3"/>
      <c r="F137" s="3" t="s">
        <v>236</v>
      </c>
    </row>
    <row r="138" spans="1:6" s="3" customFormat="1" x14ac:dyDescent="0.25">
      <c r="A138" s="3"/>
      <c r="B138" s="3" t="s">
        <v>504</v>
      </c>
      <c r="C138" s="3" t="s">
        <v>505</v>
      </c>
      <c r="D138" s="3" t="s">
        <v>168</v>
      </c>
      <c r="E138" s="3"/>
      <c r="F138" s="3" t="s">
        <v>236</v>
      </c>
    </row>
    <row r="139" spans="1:6" s="3" customFormat="1" x14ac:dyDescent="0.25">
      <c r="A139" s="3"/>
      <c r="B139" s="3" t="s">
        <v>506</v>
      </c>
      <c r="C139" s="3" t="s">
        <v>507</v>
      </c>
      <c r="D139" s="3" t="s">
        <v>168</v>
      </c>
      <c r="E139" s="3"/>
      <c r="F139" s="3" t="s">
        <v>236</v>
      </c>
    </row>
    <row r="140" spans="1:6" s="3" customFormat="1" x14ac:dyDescent="0.25">
      <c r="A140" s="3"/>
      <c r="B140" s="3" t="s">
        <v>508</v>
      </c>
      <c r="C140" s="3" t="s">
        <v>509</v>
      </c>
      <c r="D140" s="3" t="s">
        <v>168</v>
      </c>
      <c r="E140" s="3"/>
      <c r="F140" s="3" t="s">
        <v>236</v>
      </c>
    </row>
    <row r="141" spans="1:6" s="3" customFormat="1" x14ac:dyDescent="0.25">
      <c r="A141" s="3"/>
      <c r="B141" s="3" t="s">
        <v>510</v>
      </c>
      <c r="C141" s="3" t="s">
        <v>511</v>
      </c>
      <c r="D141" s="3" t="s">
        <v>168</v>
      </c>
      <c r="E141" s="3"/>
      <c r="F141" s="3" t="s">
        <v>236</v>
      </c>
    </row>
    <row r="142" spans="1:6" s="3" customFormat="1" x14ac:dyDescent="0.25">
      <c r="A142" s="3"/>
      <c r="B142" s="3" t="s">
        <v>512</v>
      </c>
      <c r="C142" s="3" t="s">
        <v>513</v>
      </c>
      <c r="D142" s="3" t="s">
        <v>168</v>
      </c>
      <c r="E142" s="3"/>
      <c r="F142" s="3" t="s">
        <v>236</v>
      </c>
    </row>
    <row r="143" spans="1:6" s="3" customFormat="1" x14ac:dyDescent="0.25">
      <c r="A143" s="3"/>
      <c r="B143" s="3" t="s">
        <v>514</v>
      </c>
      <c r="C143" s="3" t="s">
        <v>515</v>
      </c>
      <c r="D143" s="3" t="s">
        <v>168</v>
      </c>
      <c r="E143" s="3"/>
      <c r="F143" s="3" t="s">
        <v>236</v>
      </c>
    </row>
    <row r="144" spans="1:6" s="3" customFormat="1" x14ac:dyDescent="0.25">
      <c r="A144" s="3"/>
      <c r="B144" s="3" t="s">
        <v>516</v>
      </c>
      <c r="C144" s="3" t="s">
        <v>517</v>
      </c>
      <c r="D144" s="3" t="s">
        <v>168</v>
      </c>
      <c r="E144" s="3"/>
      <c r="F144" s="3" t="s">
        <v>236</v>
      </c>
    </row>
    <row r="145" spans="1:6" s="3" customFormat="1" x14ac:dyDescent="0.25">
      <c r="A145" s="3"/>
      <c r="B145" s="3" t="s">
        <v>518</v>
      </c>
      <c r="C145" s="3" t="s">
        <v>519</v>
      </c>
      <c r="D145" s="3" t="s">
        <v>288</v>
      </c>
      <c r="E145" s="3"/>
      <c r="F145" s="3" t="s">
        <v>236</v>
      </c>
    </row>
    <row r="146" spans="1:6" s="3" customFormat="1" x14ac:dyDescent="0.25">
      <c r="A146" s="3"/>
      <c r="B146" s="3" t="s">
        <v>520</v>
      </c>
      <c r="C146" s="3" t="s">
        <v>521</v>
      </c>
      <c r="D146" s="3" t="s">
        <v>288</v>
      </c>
      <c r="E146" s="3"/>
      <c r="F146" s="3" t="s">
        <v>236</v>
      </c>
    </row>
    <row r="147" spans="1:6" s="3" customFormat="1" x14ac:dyDescent="0.25">
      <c r="A147" s="3"/>
      <c r="B147" s="3" t="s">
        <v>522</v>
      </c>
      <c r="C147" s="3" t="s">
        <v>523</v>
      </c>
      <c r="D147" s="3" t="s">
        <v>288</v>
      </c>
      <c r="E147" s="3"/>
      <c r="F147" s="3" t="s">
        <v>236</v>
      </c>
    </row>
    <row r="148" spans="1:6" s="3" customFormat="1" x14ac:dyDescent="0.25">
      <c r="A148" s="3"/>
      <c r="B148" s="3" t="s">
        <v>524</v>
      </c>
      <c r="C148" s="3" t="s">
        <v>525</v>
      </c>
      <c r="D148" s="3" t="s">
        <v>288</v>
      </c>
      <c r="E148" s="3"/>
      <c r="F148" s="3" t="s">
        <v>236</v>
      </c>
    </row>
    <row r="149" spans="1:6" s="3" customFormat="1" x14ac:dyDescent="0.25">
      <c r="A149" s="3"/>
      <c r="B149" s="3" t="s">
        <v>526</v>
      </c>
      <c r="C149" s="3" t="s">
        <v>527</v>
      </c>
      <c r="D149" s="3" t="s">
        <v>288</v>
      </c>
      <c r="E149" s="3"/>
      <c r="F149" s="3" t="s">
        <v>236</v>
      </c>
    </row>
    <row r="150" spans="1:6" s="3" customFormat="1" x14ac:dyDescent="0.25">
      <c r="A150" s="3"/>
      <c r="B150" s="3" t="s">
        <v>528</v>
      </c>
      <c r="C150" s="3" t="s">
        <v>529</v>
      </c>
      <c r="D150" s="3" t="s">
        <v>288</v>
      </c>
      <c r="E150" s="3"/>
      <c r="F150" s="3" t="s">
        <v>236</v>
      </c>
    </row>
    <row r="151" spans="1:6" s="3" customFormat="1" x14ac:dyDescent="0.25">
      <c r="A151" s="3"/>
      <c r="B151" s="3" t="s">
        <v>530</v>
      </c>
      <c r="C151" s="3" t="s">
        <v>531</v>
      </c>
      <c r="D151" s="3" t="s">
        <v>288</v>
      </c>
      <c r="E151" s="3"/>
      <c r="F151" s="3" t="s">
        <v>236</v>
      </c>
    </row>
    <row r="152" spans="1:6" s="3" customFormat="1" x14ac:dyDescent="0.25">
      <c r="A152" s="3"/>
      <c r="B152" s="3" t="s">
        <v>532</v>
      </c>
      <c r="C152" s="3" t="s">
        <v>533</v>
      </c>
      <c r="D152" s="3" t="s">
        <v>288</v>
      </c>
      <c r="E152" s="3"/>
      <c r="F152" s="3" t="s">
        <v>236</v>
      </c>
    </row>
    <row r="153" spans="1:6" s="3" customFormat="1" x14ac:dyDescent="0.25">
      <c r="A153" s="3"/>
      <c r="B153" s="3" t="s">
        <v>534</v>
      </c>
      <c r="C153" s="3" t="s">
        <v>535</v>
      </c>
      <c r="D153" s="3" t="s">
        <v>288</v>
      </c>
      <c r="E153" s="3"/>
      <c r="F153" s="3" t="s">
        <v>236</v>
      </c>
    </row>
    <row r="154" spans="1:6" s="3" customFormat="1" x14ac:dyDescent="0.25">
      <c r="A154" s="3"/>
      <c r="B154" s="3" t="s">
        <v>536</v>
      </c>
      <c r="C154" s="3" t="s">
        <v>537</v>
      </c>
      <c r="D154" s="3" t="s">
        <v>288</v>
      </c>
      <c r="E154" s="3"/>
      <c r="F154" s="3" t="s">
        <v>236</v>
      </c>
    </row>
    <row r="155" spans="1:6" s="3" customFormat="1" x14ac:dyDescent="0.25">
      <c r="A155" s="3"/>
      <c r="B155" s="3" t="s">
        <v>538</v>
      </c>
      <c r="C155" s="3" t="s">
        <v>539</v>
      </c>
      <c r="D155" s="3" t="s">
        <v>288</v>
      </c>
      <c r="E155" s="3"/>
      <c r="F155" s="3" t="s">
        <v>236</v>
      </c>
    </row>
    <row r="156" spans="1:6" s="3" customFormat="1" x14ac:dyDescent="0.25">
      <c r="A156" s="3"/>
      <c r="B156" s="3" t="s">
        <v>540</v>
      </c>
      <c r="C156" s="3" t="s">
        <v>541</v>
      </c>
      <c r="D156" s="3" t="s">
        <v>288</v>
      </c>
      <c r="E156" s="3"/>
      <c r="F156" s="3" t="s">
        <v>236</v>
      </c>
    </row>
    <row r="157" spans="1:6" s="3" customFormat="1" x14ac:dyDescent="0.25">
      <c r="A157" s="3"/>
      <c r="B157" s="3" t="s">
        <v>542</v>
      </c>
      <c r="C157" s="3" t="s">
        <v>543</v>
      </c>
      <c r="D157" s="3" t="s">
        <v>288</v>
      </c>
      <c r="E157" s="3"/>
      <c r="F157" s="3" t="s">
        <v>236</v>
      </c>
    </row>
    <row r="158" spans="1:6" s="3" customFormat="1" x14ac:dyDescent="0.25">
      <c r="A158" s="3"/>
      <c r="B158" s="3" t="s">
        <v>544</v>
      </c>
      <c r="C158" s="3" t="s">
        <v>545</v>
      </c>
      <c r="D158" s="3" t="s">
        <v>288</v>
      </c>
      <c r="E158" s="3"/>
      <c r="F158" s="3" t="s">
        <v>236</v>
      </c>
    </row>
    <row r="159" spans="1:6" s="3" customFormat="1" x14ac:dyDescent="0.25">
      <c r="A159" s="3"/>
      <c r="B159" s="3" t="s">
        <v>546</v>
      </c>
      <c r="C159" s="3" t="s">
        <v>547</v>
      </c>
      <c r="D159" s="3" t="s">
        <v>288</v>
      </c>
      <c r="E159" s="3"/>
      <c r="F159" s="3" t="s">
        <v>236</v>
      </c>
    </row>
    <row r="160" spans="1:6" s="3" customFormat="1" x14ac:dyDescent="0.25">
      <c r="A160" s="3"/>
      <c r="B160" s="3" t="s">
        <v>548</v>
      </c>
      <c r="C160" s="3" t="s">
        <v>549</v>
      </c>
      <c r="D160" s="3" t="s">
        <v>233</v>
      </c>
      <c r="E160" s="3"/>
      <c r="F160" s="3" t="s">
        <v>236</v>
      </c>
    </row>
    <row r="161" spans="1:6" s="3" customFormat="1" x14ac:dyDescent="0.25">
      <c r="A161" s="3"/>
      <c r="B161" s="3" t="s">
        <v>550</v>
      </c>
      <c r="C161" s="3" t="s">
        <v>551</v>
      </c>
      <c r="D161" s="3" t="s">
        <v>233</v>
      </c>
      <c r="E161" s="3"/>
      <c r="F161" s="3" t="s">
        <v>236</v>
      </c>
    </row>
    <row r="162" spans="1:6" s="3" customFormat="1" x14ac:dyDescent="0.25">
      <c r="A162" s="3"/>
      <c r="B162" s="3" t="s">
        <v>552</v>
      </c>
      <c r="C162" s="3" t="s">
        <v>553</v>
      </c>
      <c r="D162" s="3" t="s">
        <v>233</v>
      </c>
      <c r="E162" s="3"/>
      <c r="F162" s="3" t="s">
        <v>236</v>
      </c>
    </row>
    <row r="163" spans="1:6" s="3" customFormat="1" x14ac:dyDescent="0.25">
      <c r="A163" s="3"/>
      <c r="B163" s="3" t="s">
        <v>554</v>
      </c>
      <c r="C163" s="3" t="s">
        <v>555</v>
      </c>
      <c r="D163" s="3" t="s">
        <v>356</v>
      </c>
      <c r="E163" s="3"/>
      <c r="F163" s="3" t="s">
        <v>260</v>
      </c>
    </row>
    <row r="164" spans="1:6" s="3" customFormat="1" x14ac:dyDescent="0.25">
      <c r="A164" s="3"/>
      <c r="B164" s="3" t="s">
        <v>556</v>
      </c>
      <c r="C164" s="3" t="s">
        <v>557</v>
      </c>
      <c r="D164" s="3" t="s">
        <v>356</v>
      </c>
      <c r="E164" s="3"/>
      <c r="F164" s="3" t="s">
        <v>260</v>
      </c>
    </row>
    <row r="165" spans="1:6" s="3" customFormat="1" x14ac:dyDescent="0.25">
      <c r="A165" s="3"/>
      <c r="B165" s="3" t="s">
        <v>558</v>
      </c>
      <c r="C165" s="3" t="s">
        <v>559</v>
      </c>
      <c r="D165" s="3" t="s">
        <v>356</v>
      </c>
      <c r="E165" s="3"/>
      <c r="F165" s="3" t="s">
        <v>260</v>
      </c>
    </row>
    <row r="166" spans="1:6" s="3" customFormat="1" x14ac:dyDescent="0.25">
      <c r="A166" s="3"/>
      <c r="B166" s="3" t="s">
        <v>560</v>
      </c>
      <c r="C166" s="3" t="s">
        <v>561</v>
      </c>
      <c r="D166" s="3" t="s">
        <v>356</v>
      </c>
      <c r="E166" s="3"/>
      <c r="F166" s="3" t="s">
        <v>260</v>
      </c>
    </row>
    <row r="167" spans="1:6" s="3" customFormat="1" x14ac:dyDescent="0.25">
      <c r="A167" s="3"/>
      <c r="B167" s="3" t="s">
        <v>562</v>
      </c>
      <c r="C167" s="3" t="s">
        <v>563</v>
      </c>
      <c r="D167" s="3" t="s">
        <v>356</v>
      </c>
      <c r="E167" s="3"/>
      <c r="F167" s="3" t="s">
        <v>260</v>
      </c>
    </row>
    <row r="168" spans="1:6" s="3" customFormat="1" x14ac:dyDescent="0.25">
      <c r="A168" s="3"/>
      <c r="B168" s="3" t="s">
        <v>564</v>
      </c>
      <c r="C168" s="3" t="s">
        <v>565</v>
      </c>
      <c r="D168" s="3" t="s">
        <v>356</v>
      </c>
      <c r="E168" s="3"/>
      <c r="F168" s="3" t="s">
        <v>260</v>
      </c>
    </row>
    <row r="169" spans="1:6" s="3" customFormat="1" x14ac:dyDescent="0.25">
      <c r="A169" s="3"/>
      <c r="B169" s="3" t="s">
        <v>566</v>
      </c>
      <c r="C169" s="3" t="s">
        <v>567</v>
      </c>
      <c r="D169" s="3" t="s">
        <v>356</v>
      </c>
      <c r="E169" s="3"/>
      <c r="F169" s="3" t="s">
        <v>260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FormatPr defaultRowHeight="15" outlineLevelRow="0" outlineLevelCol="0" x14ac:dyDescent="55"/>
  <cols>
    <col min="1" max="1" width="110" customWidth="1"/>
  </cols>
  <sheetData>
    <row r="1" spans="1:1" s="4" customFormat="1" x14ac:dyDescent="0.25">
      <c r="A1" s="4" t="s">
        <v>568</v>
      </c>
    </row>
    <row r="2" spans="1:1" x14ac:dyDescent="0.25">
      <c r="A2" t="s">
        <v>11</v>
      </c>
    </row>
    <row r="3" spans="1:1" x14ac:dyDescent="0.25">
      <c r="A3" t="s">
        <v>569</v>
      </c>
    </row>
    <row r="4" spans="1:1" x14ac:dyDescent="0.25">
      <c r="A4" t="s">
        <v>570</v>
      </c>
    </row>
    <row r="5" spans="1:1" x14ac:dyDescent="0.25">
      <c r="A5" t="s">
        <v>571</v>
      </c>
    </row>
    <row r="6" spans="1:1" x14ac:dyDescent="0.25">
      <c r="A6" t="s">
        <v>572</v>
      </c>
    </row>
    <row r="7" spans="1:1" x14ac:dyDescent="0.25">
      <c r="A7" t="s">
        <v>573</v>
      </c>
    </row>
    <row r="8" spans="1:1" x14ac:dyDescent="0.25">
      <c r="A8" t="s">
        <v>574</v>
      </c>
    </row>
    <row r="9" spans="1:1" x14ac:dyDescent="0.25">
      <c r="A9" t="s">
        <v>575</v>
      </c>
    </row>
    <row r="10" spans="1:1" x14ac:dyDescent="0.25">
      <c r="A10" t="s">
        <v>576</v>
      </c>
    </row>
    <row r="11" spans="1:1" x14ac:dyDescent="0.25">
      <c r="A11" t="s">
        <v>11</v>
      </c>
    </row>
    <row r="12" spans="1:1" x14ac:dyDescent="0.25">
      <c r="A12" t="s">
        <v>577</v>
      </c>
    </row>
    <row r="13" spans="1:1" x14ac:dyDescent="0.25">
      <c r="A13" t="s">
        <v>578</v>
      </c>
    </row>
    <row r="14" spans="1:1" x14ac:dyDescent="0.25">
      <c r="A14" t="s">
        <v>11</v>
      </c>
    </row>
    <row r="15" spans="1:1" x14ac:dyDescent="0.25">
      <c r="A15" t="s">
        <v>579</v>
      </c>
    </row>
    <row r="16" spans="1:1" x14ac:dyDescent="0.25">
      <c r="A16" t="s">
        <v>580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Labor units</vt:lpstr>
      <vt:lpstr>Assembly hours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BidRidge</dc:creator>
  <dc:title/>
  <dc:subject/>
  <dc:description/>
  <cp:keywords/>
  <cp:category/>
  <cp:lastModifiedBy>Unknown</cp:lastModifiedBy>
  <dcterms:created xsi:type="dcterms:W3CDTF">2026-10-06T21:33:01Z</dcterms:created>
  <dcterms:modified xsi:type="dcterms:W3CDTF">2026-10-06T21:33:01Z</dcterms:modified>
</cp:coreProperties>
</file>