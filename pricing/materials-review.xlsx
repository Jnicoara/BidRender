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Review" state="visible" r:id="rId5"/>
    <sheet sheetId="3" name="Missing" state="visible" r:id="rId6"/>
    <sheet sheetId="4" name="Possible duplicates" state="visible" r:id="rId7"/>
    <sheet sheetId="5" name="Questions" state="visible" r:id="rId8"/>
    <sheet sheetId="6" name="Counts" state="visible" r:id="rId9"/>
  </sheets>
  <calcPr calcId="171027"/>
</workbook>
</file>

<file path=xl/sharedStrings.xml><?xml version="1.0" encoding="utf-8"?>
<sst xmlns="http://schemas.openxmlformats.org/spreadsheetml/2006/main" count="19515" uniqueCount="2453">
  <si>
    <t>Materials review — rename, keep, cut, missing</t>
  </si>
  <si>
    <t>Generated 2026-10-07 from the shipped catalog: 1554 materials, plus 125 new rows waiting to be added.</t>
  </si>
  <si>
    <t/>
  </si>
  <si>
    <t>HOW TO MARK IT — only the YELLOW columns are yours to type in.</t>
  </si>
  <si>
    <t>1. Review tab: the Decision column is already filled in. Most rows need nothing from you. Change it only where you disagree.</t>
  </si>
  <si>
    <t xml:space="preserve">     Keep proposed = take the new name shown.   Keep = keep today's name.   Rename = type your own name in 'Your name'.</t>
  </si>
  <si>
    <t xml:space="preserve">     Cut = we stop shipping it.   Add = a new row goes into the catalog.   Your call = an open question decides it — pick one.</t>
  </si>
  <si>
    <t>2. Missing tab: things the catalog lacks. 'Typical job' rows are pre-filled Add (change to Skip if not wanted); size gaps and starter parts are blank — mark Add or Skip. Add your own rows at the bottom.</t>
  </si>
  <si>
    <t>3. Possible duplicates tab: pairs that look like one part under two names. Pick Same - keep A, Same - keep B, or Not the same.</t>
  </si>
  <si>
    <t xml:space="preserve">     'Same - keep A' cuts B; anything that used B (a starter assembly, a run type) is moved to A. Bids already priced keep what they have.</t>
  </si>
  <si>
    <t>4. Questions tab: five naming questions, each with our recommendation. Answer each one.</t>
  </si>
  <si>
    <t>5. Counts tab: totals as you mark, and the warnings that must be 0 before the names can freeze.</t>
  </si>
  <si>
    <t>WHAT A CUT DOES: the material disappears from every list and search. Bids that already use it keep it, unchanged. Nothing is deleted.</t>
  </si>
  <si>
    <t>A cut on a row a starter assembly or run type uses is flagged red: say in Note which material replaces it in those recipes.</t>
  </si>
  <si>
    <t>WHAT A RENAME DOES: same material, new name. Old names still find it in search. Bids, assemblies and counts keep pointing at it.</t>
  </si>
  <si>
    <t>WHEN YOU HAND IT BACK: we check it (two rows with the same final name, cuts with no replacement, blanks), then the names FREEZE.</t>
  </si>
  <si>
    <t>After that a name changes only through the rename list, never by editing the catalog.</t>
  </si>
  <si>
    <t>Not on this sheet: the 519 brand variants for panels and breakers — their own pass, after the names freeze.</t>
  </si>
  <si>
    <t>#</t>
  </si>
  <si>
    <t>Category</t>
  </si>
  <si>
    <t>Type</t>
  </si>
  <si>
    <t>Current name</t>
  </si>
  <si>
    <t>Proposed name</t>
  </si>
  <si>
    <t>Why</t>
  </si>
  <si>
    <t>Used by</t>
  </si>
  <si>
    <t>Status</t>
  </si>
  <si>
    <t>Decision</t>
  </si>
  <si>
    <t>Your name</t>
  </si>
  <si>
    <t>Note</t>
  </si>
  <si>
    <t>Final name (follows your marks)</t>
  </si>
  <si>
    <t>Check</t>
  </si>
  <si>
    <t>Uses</t>
  </si>
  <si>
    <t>Question</t>
  </si>
  <si>
    <t>Wire &amp; Cable</t>
  </si>
  <si>
    <t>bare CU, solid</t>
  </si>
  <si>
    <t>#14 bare CU, solid</t>
  </si>
  <si>
    <t>#14 bare solid Copper</t>
  </si>
  <si>
    <t>wire rule: size/type, metal spelled out at the end</t>
  </si>
  <si>
    <t>—</t>
  </si>
  <si>
    <t>Shipped</t>
  </si>
  <si>
    <t>Keep proposed</t>
  </si>
  <si>
    <t>#12 bare CU, solid</t>
  </si>
  <si>
    <t>#12 bare solid Copper</t>
  </si>
  <si>
    <t>2 run types</t>
  </si>
  <si>
    <t>#10 bare CU, solid</t>
  </si>
  <si>
    <t>#10 bare solid Copper</t>
  </si>
  <si>
    <t>#8 bare CU, solid</t>
  </si>
  <si>
    <t>#8 bare solid Copper</t>
  </si>
  <si>
    <t>2 starters</t>
  </si>
  <si>
    <t>bare CU, stranded</t>
  </si>
  <si>
    <t>#10 bare CU, stranded</t>
  </si>
  <si>
    <t>#10 bare stranded Copper</t>
  </si>
  <si>
    <t>#8 bare CU, stranded</t>
  </si>
  <si>
    <t>#8 bare stranded Copper</t>
  </si>
  <si>
    <t>#6 bare CU, stranded</t>
  </si>
  <si>
    <t>#6 bare stranded Copper</t>
  </si>
  <si>
    <t>#4 bare CU, stranded</t>
  </si>
  <si>
    <t>#4 bare stranded Copper</t>
  </si>
  <si>
    <t>3 starters</t>
  </si>
  <si>
    <t>#2 bare CU, stranded</t>
  </si>
  <si>
    <t>#2 bare stranded Copper</t>
  </si>
  <si>
    <t>#1/0 bare CU, stranded</t>
  </si>
  <si>
    <t>1/0 bare stranded Copper</t>
  </si>
  <si>
    <t>wire rule: size/type, metal spelled out at the end; aughts without "#"</t>
  </si>
  <si>
    <t>#2/0 bare CU, stranded</t>
  </si>
  <si>
    <t>2/0 bare stranded Copper</t>
  </si>
  <si>
    <t>fire alarm cable</t>
  </si>
  <si>
    <t>16-2 fire alarm cable</t>
  </si>
  <si>
    <t>16/2 fire alarm cable Copper</t>
  </si>
  <si>
    <t>14-2 fire alarm cable</t>
  </si>
  <si>
    <t>14/2 fire alarm cable Copper</t>
  </si>
  <si>
    <t>4 starters</t>
  </si>
  <si>
    <t>fixture wire</t>
  </si>
  <si>
    <t>#18 fixture wire</t>
  </si>
  <si>
    <t>#18 fixture wire Copper</t>
  </si>
  <si>
    <t>#16 fixture wire</t>
  </si>
  <si>
    <t>#16 fixture wire Copper</t>
  </si>
  <si>
    <t>MC cable</t>
  </si>
  <si>
    <t>14-2 MC cable</t>
  </si>
  <si>
    <t>14/2 MC cable Copper</t>
  </si>
  <si>
    <t>14-3 MC cable</t>
  </si>
  <si>
    <t>14/3 MC cable Copper</t>
  </si>
  <si>
    <t>14-4 MC cable</t>
  </si>
  <si>
    <t>14/4 MC cable Copper</t>
  </si>
  <si>
    <t>12-2 MC cable</t>
  </si>
  <si>
    <t>12/2 MC cable Copper</t>
  </si>
  <si>
    <t>17 starters, 1 run type</t>
  </si>
  <si>
    <t>12-3 MC cable</t>
  </si>
  <si>
    <t>12/3 MC cable Copper</t>
  </si>
  <si>
    <t>3 starters, 1 run type</t>
  </si>
  <si>
    <t>12-4 MC cable</t>
  </si>
  <si>
    <t>12/4 MC cable Copper</t>
  </si>
  <si>
    <t>10-2 MC cable</t>
  </si>
  <si>
    <t>10/2 MC cable Copper</t>
  </si>
  <si>
    <t>1 starter</t>
  </si>
  <si>
    <t>10-3 MC cable</t>
  </si>
  <si>
    <t>10/3 MC cable Copper</t>
  </si>
  <si>
    <t>10-4 MC cable</t>
  </si>
  <si>
    <t>10/4 MC cable Copper</t>
  </si>
  <si>
    <t>8-2 MC cable</t>
  </si>
  <si>
    <t>8/2 MC cable Copper</t>
  </si>
  <si>
    <t>8-3 MC cable</t>
  </si>
  <si>
    <t>8/3 MC cable Copper</t>
  </si>
  <si>
    <t>8-4 MC cable</t>
  </si>
  <si>
    <t>8/4 MC cable Copper</t>
  </si>
  <si>
    <t>6-2 MC cable</t>
  </si>
  <si>
    <t>6/2 MC cable Copper</t>
  </si>
  <si>
    <t>6-3 MC cable</t>
  </si>
  <si>
    <t>6/3 MC cable Copper</t>
  </si>
  <si>
    <t>6-4 MC cable</t>
  </si>
  <si>
    <t>6/4 MC cable Copper</t>
  </si>
  <si>
    <t>4-2 MC cable</t>
  </si>
  <si>
    <t>4/2 MC cable Copper</t>
  </si>
  <si>
    <t>4-3 MC cable</t>
  </si>
  <si>
    <t>4/3 MC cable Copper</t>
  </si>
  <si>
    <t>3-3 MC cable</t>
  </si>
  <si>
    <t>3/3 MC cable Copper</t>
  </si>
  <si>
    <t>3-4 MC cable</t>
  </si>
  <si>
    <t>#3/4 MC cable Copper</t>
  </si>
  <si>
    <t>2-2 MC cable</t>
  </si>
  <si>
    <t>2/2 MC cable Copper</t>
  </si>
  <si>
    <t>2-3 MC cable</t>
  </si>
  <si>
    <t>2/3 MC cable Copper</t>
  </si>
  <si>
    <t>MC cable, isolated ground</t>
  </si>
  <si>
    <t>12-2 MC cable, isolated ground</t>
  </si>
  <si>
    <t>12/2 MC cable isolated ground Copper</t>
  </si>
  <si>
    <t>mini-split cable</t>
  </si>
  <si>
    <t>14-4 mini-split cable</t>
  </si>
  <si>
    <t>14/4 mini-split cable Copper</t>
  </si>
  <si>
    <t>NM-B</t>
  </si>
  <si>
    <t>14-2 NM-B</t>
  </si>
  <si>
    <t>14/2 NM-B Copper</t>
  </si>
  <si>
    <t>24 starters</t>
  </si>
  <si>
    <t>14-3 NM-B</t>
  </si>
  <si>
    <t>14/3 NM-B Copper</t>
  </si>
  <si>
    <t>8 starters</t>
  </si>
  <si>
    <t>12-2 NM-B</t>
  </si>
  <si>
    <t>12/2 NM-B Copper</t>
  </si>
  <si>
    <t>15 starters</t>
  </si>
  <si>
    <t>12-3 NM-B</t>
  </si>
  <si>
    <t>12/3 NM-B Copper</t>
  </si>
  <si>
    <t>10-2 NM-B</t>
  </si>
  <si>
    <t>10/2 NM-B Copper</t>
  </si>
  <si>
    <t>10-3 NM-B</t>
  </si>
  <si>
    <t>10/3 NM-B Copper</t>
  </si>
  <si>
    <t>8-2 NM-B</t>
  </si>
  <si>
    <t>8/2 NM-B Copper</t>
  </si>
  <si>
    <t>8-3 NM-B</t>
  </si>
  <si>
    <t>8/3 NM-B Copper</t>
  </si>
  <si>
    <t>6-3 NM-B</t>
  </si>
  <si>
    <t>6/3 NM-B Copper</t>
  </si>
  <si>
    <t>5 starters</t>
  </si>
  <si>
    <t>SER AL</t>
  </si>
  <si>
    <t>4-4-4-6 SER AL</t>
  </si>
  <si>
    <t>4/3 SER Aluminum</t>
  </si>
  <si>
    <t>2-2-2-4 SER AL</t>
  </si>
  <si>
    <t>2/3 SER Aluminum</t>
  </si>
  <si>
    <t>1/0-1/0-1/0-2 SER AL</t>
  </si>
  <si>
    <t>1/0-3 SER Aluminum</t>
  </si>
  <si>
    <t>2/0-2/0-2/0-1 SER AL</t>
  </si>
  <si>
    <t>2/0-3 SER Aluminum</t>
  </si>
  <si>
    <t>3/0-3/0-3/0-1/0 SER AL</t>
  </si>
  <si>
    <t>3/0-3 SER Aluminum</t>
  </si>
  <si>
    <t>4/0-4/0-2/0 SER AL</t>
  </si>
  <si>
    <t>4/0-4/0-2/0 SER Aluminum</t>
  </si>
  <si>
    <t>4/0-4/0-4/0-2/0 SER AL</t>
  </si>
  <si>
    <t>4/0-3 SER Aluminum</t>
  </si>
  <si>
    <t>250-250-250 SER AL</t>
  </si>
  <si>
    <t>250-250-250 SER Aluminum</t>
  </si>
  <si>
    <t>SER CU</t>
  </si>
  <si>
    <t>8-8-8-8 SER CU</t>
  </si>
  <si>
    <t>8/3 SER Copper</t>
  </si>
  <si>
    <t>6-6-6-6 SER CU</t>
  </si>
  <si>
    <t>6/3 SER Copper</t>
  </si>
  <si>
    <t>4-4-4-6 SER CU</t>
  </si>
  <si>
    <t>4/3 SER Copper</t>
  </si>
  <si>
    <t>2-2-2-4 SER CU</t>
  </si>
  <si>
    <t>2/3 SER Copper</t>
  </si>
  <si>
    <t>1-1-1-3 SER CU</t>
  </si>
  <si>
    <t>1/3 SER Copper</t>
  </si>
  <si>
    <t>SEU AL</t>
  </si>
  <si>
    <t>4-4-6 SEU AL</t>
  </si>
  <si>
    <t>4-4-6 SEU Aluminum</t>
  </si>
  <si>
    <t>2-2-4 SEU AL</t>
  </si>
  <si>
    <t>2-2-4 SEU Aluminum</t>
  </si>
  <si>
    <t>SJOOW cord</t>
  </si>
  <si>
    <t>14-3 SJOOW cord</t>
  </si>
  <si>
    <t>14/3 SJOOW cord Copper</t>
  </si>
  <si>
    <t>SOOW cord</t>
  </si>
  <si>
    <t>12-3 SOOW cord</t>
  </si>
  <si>
    <t>12/3 SOOW cord Copper</t>
  </si>
  <si>
    <t>10-3 SOOW cord</t>
  </si>
  <si>
    <t>10/3 SOOW cord Copper</t>
  </si>
  <si>
    <t>submersible pump cable</t>
  </si>
  <si>
    <t>12-2 submersible pump cable</t>
  </si>
  <si>
    <t>12/2 submersible pump cable Copper</t>
  </si>
  <si>
    <t>THHN</t>
  </si>
  <si>
    <t>#14 THHN</t>
  </si>
  <si>
    <t>#14 THHN Copper</t>
  </si>
  <si>
    <t>#12 THHN</t>
  </si>
  <si>
    <t>#12 THHN Copper</t>
  </si>
  <si>
    <t>6 starters, 2 run types</t>
  </si>
  <si>
    <t>#10 THHN</t>
  </si>
  <si>
    <t>#10 THHN Copper</t>
  </si>
  <si>
    <t>7 starters</t>
  </si>
  <si>
    <t>#8 THHN</t>
  </si>
  <si>
    <t>#8 THHN Copper</t>
  </si>
  <si>
    <t>#6 THHN</t>
  </si>
  <si>
    <t>#6 THHN Copper</t>
  </si>
  <si>
    <t>#4 THHN</t>
  </si>
  <si>
    <t>#4 THHN Copper</t>
  </si>
  <si>
    <t>#3 THHN</t>
  </si>
  <si>
    <t>#3 THHN Copper</t>
  </si>
  <si>
    <t>#2 THHN</t>
  </si>
  <si>
    <t>#2 THHN Copper</t>
  </si>
  <si>
    <t>#1 THHN</t>
  </si>
  <si>
    <t>#1 THHN Copper</t>
  </si>
  <si>
    <t>#1/0 THHN</t>
  </si>
  <si>
    <t>1/0 THHN Copper</t>
  </si>
  <si>
    <t>#2/0 THHN</t>
  </si>
  <si>
    <t>2/0 THHN Copper</t>
  </si>
  <si>
    <t>#3/0 THHN</t>
  </si>
  <si>
    <t>3/0 THHN Copper</t>
  </si>
  <si>
    <t>#4/0 THHN</t>
  </si>
  <si>
    <t>4/0 THHN Copper</t>
  </si>
  <si>
    <t>250 kcmil THHN</t>
  </si>
  <si>
    <t>250 kcmil THHN Copper</t>
  </si>
  <si>
    <t>300 kcmil THHN</t>
  </si>
  <si>
    <t>300 kcmil THHN Copper</t>
  </si>
  <si>
    <t>350 kcmil THHN</t>
  </si>
  <si>
    <t>350 kcmil THHN Copper</t>
  </si>
  <si>
    <t>400 kcmil THHN</t>
  </si>
  <si>
    <t>400 kcmil THHN Copper</t>
  </si>
  <si>
    <t>500 kcmil THHN</t>
  </si>
  <si>
    <t>500 kcmil THHN Copper</t>
  </si>
  <si>
    <t>THHN stranded</t>
  </si>
  <si>
    <t>#14 THHN stranded</t>
  </si>
  <si>
    <t>#14 THHN stranded Copper</t>
  </si>
  <si>
    <t>#12 THHN stranded</t>
  </si>
  <si>
    <t>#12 THHN stranded Copper</t>
  </si>
  <si>
    <t>#10 THHN stranded</t>
  </si>
  <si>
    <t>#10 THHN stranded Copper</t>
  </si>
  <si>
    <t>tray cable</t>
  </si>
  <si>
    <t>12-3 tray cable</t>
  </si>
  <si>
    <t>12/3 tray cable Copper</t>
  </si>
  <si>
    <t>UF-B</t>
  </si>
  <si>
    <t>14-2 UF-B</t>
  </si>
  <si>
    <t>14/2 UF-B Copper</t>
  </si>
  <si>
    <t>12-2 UF-B</t>
  </si>
  <si>
    <t>12/2 UF-B Copper</t>
  </si>
  <si>
    <t>10-2 UF-B</t>
  </si>
  <si>
    <t>10/2 UF-B Copper</t>
  </si>
  <si>
    <t>8-2 UF-B</t>
  </si>
  <si>
    <t>8/2 UF-B Copper</t>
  </si>
  <si>
    <t>URD triplex AL</t>
  </si>
  <si>
    <t>1/0 URD triplex AL</t>
  </si>
  <si>
    <t>1/0 URD triplex Aluminum</t>
  </si>
  <si>
    <t>USE-2 AL</t>
  </si>
  <si>
    <t>#4/0 USE-2 AL</t>
  </si>
  <si>
    <t>4/0 USE-2 Aluminum</t>
  </si>
  <si>
    <t>XHHW AL</t>
  </si>
  <si>
    <t>#8 XHHW AL</t>
  </si>
  <si>
    <t>#8 XHHW Aluminum</t>
  </si>
  <si>
    <t>#6 XHHW AL</t>
  </si>
  <si>
    <t>#6 XHHW Aluminum</t>
  </si>
  <si>
    <t>#4 XHHW AL</t>
  </si>
  <si>
    <t>#4 XHHW Aluminum</t>
  </si>
  <si>
    <t>#2 XHHW AL</t>
  </si>
  <si>
    <t>#2 XHHW Aluminum</t>
  </si>
  <si>
    <t>#1 XHHW AL</t>
  </si>
  <si>
    <t>#1 XHHW Aluminum</t>
  </si>
  <si>
    <t>#1/0 XHHW AL</t>
  </si>
  <si>
    <t>1/0 XHHW Aluminum</t>
  </si>
  <si>
    <t>#2/0 XHHW AL</t>
  </si>
  <si>
    <t>2/0 XHHW Aluminum</t>
  </si>
  <si>
    <t>#3/0 XHHW AL</t>
  </si>
  <si>
    <t>3/0 XHHW Aluminum</t>
  </si>
  <si>
    <t>#4/0 XHHW AL</t>
  </si>
  <si>
    <t>4/0 XHHW Aluminum</t>
  </si>
  <si>
    <t>250 kcmil XHHW AL</t>
  </si>
  <si>
    <t>250 kcmil XHHW Aluminum</t>
  </si>
  <si>
    <t>300 kcmil XHHW AL</t>
  </si>
  <si>
    <t>300 kcmil XHHW Aluminum</t>
  </si>
  <si>
    <t>350 kcmil XHHW AL</t>
  </si>
  <si>
    <t>350 kcmil XHHW Aluminum</t>
  </si>
  <si>
    <t>400 kcmil XHHW AL</t>
  </si>
  <si>
    <t>400 kcmil XHHW Aluminum</t>
  </si>
  <si>
    <t>500 kcmil XHHW AL</t>
  </si>
  <si>
    <t>500 kcmil XHHW Aluminum</t>
  </si>
  <si>
    <t>Conduit</t>
  </si>
  <si>
    <t>EMT</t>
  </si>
  <si>
    <t>1/2" EMT</t>
  </si>
  <si>
    <t>(unchanged)</t>
  </si>
  <si>
    <t>1 run type</t>
  </si>
  <si>
    <t>Keep</t>
  </si>
  <si>
    <t>3/4" EMT</t>
  </si>
  <si>
    <t>1" EMT</t>
  </si>
  <si>
    <t>1-1/4" EMT</t>
  </si>
  <si>
    <t>1-1/2" EMT</t>
  </si>
  <si>
    <t>2" EMT</t>
  </si>
  <si>
    <t>2-1/2" EMT</t>
  </si>
  <si>
    <t>3" EMT</t>
  </si>
  <si>
    <t>4" EMT</t>
  </si>
  <si>
    <t>PVC Sch 40</t>
  </si>
  <si>
    <t>1/2" PVC Sch 40</t>
  </si>
  <si>
    <t>3/4" PVC Sch 40</t>
  </si>
  <si>
    <t>1" PVC Sch 40</t>
  </si>
  <si>
    <t>1-1/4" PVC Sch 40</t>
  </si>
  <si>
    <t>1-1/2" PVC Sch 40</t>
  </si>
  <si>
    <t>2" PVC Sch 40</t>
  </si>
  <si>
    <t>2-1/2" PVC Sch 40</t>
  </si>
  <si>
    <t>3" PVC Sch 40</t>
  </si>
  <si>
    <t>4" PVC Sch 40</t>
  </si>
  <si>
    <t>PVC Sch 80</t>
  </si>
  <si>
    <t>1/2" PVC Sch 80</t>
  </si>
  <si>
    <t>3/4" PVC Sch 80</t>
  </si>
  <si>
    <t>1" PVC Sch 80</t>
  </si>
  <si>
    <t>1-1/4" PVC Sch 80</t>
  </si>
  <si>
    <t>1-1/2" PVC Sch 80</t>
  </si>
  <si>
    <t>2" PVC Sch 80</t>
  </si>
  <si>
    <t>2-1/2" PVC Sch 80</t>
  </si>
  <si>
    <t>3" PVC Sch 80</t>
  </si>
  <si>
    <t>4" PVC Sch 80</t>
  </si>
  <si>
    <t>rigid conduit</t>
  </si>
  <si>
    <t>1/2" rigid conduit</t>
  </si>
  <si>
    <t>3/4" rigid conduit</t>
  </si>
  <si>
    <t>1" rigid conduit</t>
  </si>
  <si>
    <t>1-1/4" rigid conduit</t>
  </si>
  <si>
    <t>1-1/2" rigid conduit</t>
  </si>
  <si>
    <t>2" rigid conduit</t>
  </si>
  <si>
    <t>2-1/2" rigid conduit</t>
  </si>
  <si>
    <t>3" rigid conduit</t>
  </si>
  <si>
    <t>4" rigid conduit</t>
  </si>
  <si>
    <t>IMC</t>
  </si>
  <si>
    <t>1/2" IMC</t>
  </si>
  <si>
    <t>3/4" IMC</t>
  </si>
  <si>
    <t>1" IMC</t>
  </si>
  <si>
    <t>1-1/4" IMC</t>
  </si>
  <si>
    <t>1-1/2" IMC</t>
  </si>
  <si>
    <t>2" IMC</t>
  </si>
  <si>
    <t>2-1/2" IMC</t>
  </si>
  <si>
    <t>3" IMC</t>
  </si>
  <si>
    <t>4" IMC</t>
  </si>
  <si>
    <t>liquidtight flexible conduit</t>
  </si>
  <si>
    <t>1/2" liquidtight flexible conduit</t>
  </si>
  <si>
    <t>3/4" liquidtight flexible conduit</t>
  </si>
  <si>
    <t>1" liquidtight flexible conduit</t>
  </si>
  <si>
    <t>1-1/4" liquidtight flexible conduit</t>
  </si>
  <si>
    <t>flexible metal conduit</t>
  </si>
  <si>
    <t>1/2" flexible metal conduit</t>
  </si>
  <si>
    <t>3/4" flexible metal conduit</t>
  </si>
  <si>
    <t>1" flexible metal conduit</t>
  </si>
  <si>
    <t>1-1/4" flexible metal conduit</t>
  </si>
  <si>
    <t>Conduit Fittings</t>
  </si>
  <si>
    <t>EMT 45-degree elbow</t>
  </si>
  <si>
    <t>1/2" EMT 45-degree elbow</t>
  </si>
  <si>
    <t>3/4" EMT 45-degree elbow</t>
  </si>
  <si>
    <t>1" EMT 45-degree elbow</t>
  </si>
  <si>
    <t>1-1/4" EMT 45-degree elbow</t>
  </si>
  <si>
    <t>1-1/2" EMT 45-degree elbow</t>
  </si>
  <si>
    <t>2" EMT 45-degree elbow</t>
  </si>
  <si>
    <t>2-1/2" EMT 45-degree elbow</t>
  </si>
  <si>
    <t>3" EMT 45-degree elbow</t>
  </si>
  <si>
    <t>4" EMT 45-degree elbow</t>
  </si>
  <si>
    <t>EMT 90-degree elbow</t>
  </si>
  <si>
    <t>1/2" EMT 90-degree elbow</t>
  </si>
  <si>
    <t>3/4" EMT 90-degree elbow</t>
  </si>
  <si>
    <t>1" EMT 90-degree elbow</t>
  </si>
  <si>
    <t>1-1/4" EMT 90-degree elbow</t>
  </si>
  <si>
    <t>1-1/2" EMT 90-degree elbow</t>
  </si>
  <si>
    <t>2" EMT 90-degree elbow</t>
  </si>
  <si>
    <t>2-1/2" EMT 90-degree elbow</t>
  </si>
  <si>
    <t>3" EMT 90-degree elbow</t>
  </si>
  <si>
    <t>4" EMT 90-degree elbow</t>
  </si>
  <si>
    <t>EMT C conduit body</t>
  </si>
  <si>
    <t>1/2" EMT C conduit body</t>
  </si>
  <si>
    <t>3/4" EMT C conduit body</t>
  </si>
  <si>
    <t>1" EMT C conduit body</t>
  </si>
  <si>
    <t>1-1/4" EMT C conduit body</t>
  </si>
  <si>
    <t>1-1/2" EMT C conduit body</t>
  </si>
  <si>
    <t>2" EMT C conduit body</t>
  </si>
  <si>
    <t>2-1/2" EMT C conduit body</t>
  </si>
  <si>
    <t>3" EMT C conduit body</t>
  </si>
  <si>
    <t>4" EMT C conduit body</t>
  </si>
  <si>
    <t>EMT compression connector</t>
  </si>
  <si>
    <t>1/2" EMT compression connector</t>
  </si>
  <si>
    <t>3/4" EMT compression connector</t>
  </si>
  <si>
    <t>1" EMT compression connector</t>
  </si>
  <si>
    <t>1-1/4" EMT compression connector</t>
  </si>
  <si>
    <t>1-1/2" EMT compression connector</t>
  </si>
  <si>
    <t>2" EMT compression connector</t>
  </si>
  <si>
    <t>2-1/2" EMT compression connector</t>
  </si>
  <si>
    <t>3" EMT compression connector</t>
  </si>
  <si>
    <t>4" EMT compression connector</t>
  </si>
  <si>
    <t>EMT compression coupling</t>
  </si>
  <si>
    <t>1/2" EMT compression coupling</t>
  </si>
  <si>
    <t>3/4" EMT compression coupling</t>
  </si>
  <si>
    <t>1" EMT compression coupling</t>
  </si>
  <si>
    <t>1-1/4" EMT compression coupling</t>
  </si>
  <si>
    <t>1-1/2" EMT compression coupling</t>
  </si>
  <si>
    <t>2" EMT compression coupling</t>
  </si>
  <si>
    <t>2-1/2" EMT compression coupling</t>
  </si>
  <si>
    <t>3" EMT compression coupling</t>
  </si>
  <si>
    <t>4" EMT compression coupling</t>
  </si>
  <si>
    <t>EMT LB conduit body</t>
  </si>
  <si>
    <t>1/2" EMT LB conduit body</t>
  </si>
  <si>
    <t>3/4" EMT LB conduit body</t>
  </si>
  <si>
    <t>1" EMT LB conduit body</t>
  </si>
  <si>
    <t>1-1/4" EMT LB conduit body</t>
  </si>
  <si>
    <t>1-1/2" EMT LB conduit body</t>
  </si>
  <si>
    <t>2" EMT LB conduit body</t>
  </si>
  <si>
    <t>2-1/2" EMT LB conduit body</t>
  </si>
  <si>
    <t>3" EMT LB conduit body</t>
  </si>
  <si>
    <t>4" EMT LB conduit body</t>
  </si>
  <si>
    <t>EMT LL conduit body</t>
  </si>
  <si>
    <t>1/2" EMT LL conduit body</t>
  </si>
  <si>
    <t>3/4" EMT LL conduit body</t>
  </si>
  <si>
    <t>1" EMT LL conduit body</t>
  </si>
  <si>
    <t>1-1/4" EMT LL conduit body</t>
  </si>
  <si>
    <t>1-1/2" EMT LL conduit body</t>
  </si>
  <si>
    <t>2" EMT LL conduit body</t>
  </si>
  <si>
    <t>2-1/2" EMT LL conduit body</t>
  </si>
  <si>
    <t>3" EMT LL conduit body</t>
  </si>
  <si>
    <t>4" EMT LL conduit body</t>
  </si>
  <si>
    <t>EMT LR conduit body</t>
  </si>
  <si>
    <t>1/2" EMT LR conduit body</t>
  </si>
  <si>
    <t>3/4" EMT LR conduit body</t>
  </si>
  <si>
    <t>1" EMT LR conduit body</t>
  </si>
  <si>
    <t>1-1/4" EMT LR conduit body</t>
  </si>
  <si>
    <t>1-1/2" EMT LR conduit body</t>
  </si>
  <si>
    <t>2" EMT LR conduit body</t>
  </si>
  <si>
    <t>2-1/2" EMT LR conduit body</t>
  </si>
  <si>
    <t>3" EMT LR conduit body</t>
  </si>
  <si>
    <t>4" EMT LR conduit body</t>
  </si>
  <si>
    <t>EMT one-hole strap</t>
  </si>
  <si>
    <t>1/2" EMT one-hole strap</t>
  </si>
  <si>
    <t>3/4" EMT one-hole strap</t>
  </si>
  <si>
    <t>1" EMT one-hole strap</t>
  </si>
  <si>
    <t>1-1/4" EMT one-hole strap</t>
  </si>
  <si>
    <t>1-1/2" EMT one-hole strap</t>
  </si>
  <si>
    <t>2" EMT one-hole strap</t>
  </si>
  <si>
    <t>2-1/2" EMT one-hole strap</t>
  </si>
  <si>
    <t>3" EMT one-hole strap</t>
  </si>
  <si>
    <t>4" EMT one-hole strap</t>
  </si>
  <si>
    <t>EMT raintight connector</t>
  </si>
  <si>
    <t>1/2" EMT raintight connector</t>
  </si>
  <si>
    <t>3/4" EMT raintight connector</t>
  </si>
  <si>
    <t>1" EMT raintight connector</t>
  </si>
  <si>
    <t>1-1/4" EMT raintight connector</t>
  </si>
  <si>
    <t>1-1/2" EMT raintight connector</t>
  </si>
  <si>
    <t>2" EMT raintight connector</t>
  </si>
  <si>
    <t>2-1/2" EMT raintight connector</t>
  </si>
  <si>
    <t>3" EMT raintight connector</t>
  </si>
  <si>
    <t>4" EMT raintight connector</t>
  </si>
  <si>
    <t>EMT raintight coupling</t>
  </si>
  <si>
    <t>1/2" EMT raintight coupling</t>
  </si>
  <si>
    <t>3/4" EMT raintight coupling</t>
  </si>
  <si>
    <t>1" EMT raintight coupling</t>
  </si>
  <si>
    <t>1-1/4" EMT raintight coupling</t>
  </si>
  <si>
    <t>1-1/2" EMT raintight coupling</t>
  </si>
  <si>
    <t>2" EMT raintight coupling</t>
  </si>
  <si>
    <t>2-1/2" EMT raintight coupling</t>
  </si>
  <si>
    <t>3" EMT raintight coupling</t>
  </si>
  <si>
    <t>4" EMT raintight coupling</t>
  </si>
  <si>
    <t>EMT set-screw connector</t>
  </si>
  <si>
    <t>1/2" EMT set-screw connector</t>
  </si>
  <si>
    <t>3/4" EMT set-screw connector</t>
  </si>
  <si>
    <t>1" EMT set-screw connector</t>
  </si>
  <si>
    <t>1-1/4" EMT set-screw connector</t>
  </si>
  <si>
    <t>1-1/2" EMT set-screw connector</t>
  </si>
  <si>
    <t>2" EMT set-screw connector</t>
  </si>
  <si>
    <t>2-1/2" EMT set-screw connector</t>
  </si>
  <si>
    <t>3" EMT set-screw connector</t>
  </si>
  <si>
    <t>4" EMT set-screw connector</t>
  </si>
  <si>
    <t>EMT set-screw coupling</t>
  </si>
  <si>
    <t>1/2" EMT set-screw coupling</t>
  </si>
  <si>
    <t>3/4" EMT set-screw coupling</t>
  </si>
  <si>
    <t>1" EMT set-screw coupling</t>
  </si>
  <si>
    <t>1-1/4" EMT set-screw coupling</t>
  </si>
  <si>
    <t>1-1/2" EMT set-screw coupling</t>
  </si>
  <si>
    <t>2" EMT set-screw coupling</t>
  </si>
  <si>
    <t>2-1/2" EMT set-screw coupling</t>
  </si>
  <si>
    <t>3" EMT set-screw coupling</t>
  </si>
  <si>
    <t>4" EMT set-screw coupling</t>
  </si>
  <si>
    <t>EMT strap</t>
  </si>
  <si>
    <t>EMT T conduit body</t>
  </si>
  <si>
    <t>1/2" EMT T conduit body</t>
  </si>
  <si>
    <t>3/4" EMT T conduit body</t>
  </si>
  <si>
    <t>1" EMT T conduit body</t>
  </si>
  <si>
    <t>1-1/4" EMT T conduit body</t>
  </si>
  <si>
    <t>1-1/2" EMT T conduit body</t>
  </si>
  <si>
    <t>2" EMT T conduit body</t>
  </si>
  <si>
    <t>2-1/2" EMT T conduit body</t>
  </si>
  <si>
    <t>3" EMT T conduit body</t>
  </si>
  <si>
    <t>4" EMT T conduit body</t>
  </si>
  <si>
    <t>PVC Sch 40 45-degree elbow</t>
  </si>
  <si>
    <t>1/2" PVC Sch 40 45-degree elbow</t>
  </si>
  <si>
    <t>3/4" PVC Sch 40 45-degree elbow</t>
  </si>
  <si>
    <t>1" PVC Sch 40 45-degree elbow</t>
  </si>
  <si>
    <t>1-1/4" PVC Sch 40 45-degree elbow</t>
  </si>
  <si>
    <t>1-1/2" PVC Sch 40 45-degree elbow</t>
  </si>
  <si>
    <t>2" PVC Sch 40 45-degree elbow</t>
  </si>
  <si>
    <t>2-1/2" PVC Sch 40 45-degree elbow</t>
  </si>
  <si>
    <t>3" PVC Sch 40 45-degree elbow</t>
  </si>
  <si>
    <t>4" PVC Sch 40 45-degree elbow</t>
  </si>
  <si>
    <t>PVC Sch 40 45-degree sweep, 24" radius</t>
  </si>
  <si>
    <t>1" PVC Sch 40 45-degree sweep, 24" radius</t>
  </si>
  <si>
    <t>1-1/4" PVC Sch 40 45-degree sweep, 24" radius</t>
  </si>
  <si>
    <t>1-1/2" PVC Sch 40 45-degree sweep, 24" radius</t>
  </si>
  <si>
    <t>2" PVC Sch 40 45-degree sweep, 24" radius</t>
  </si>
  <si>
    <t>2-1/2" PVC Sch 40 45-degree sweep, 24" radius</t>
  </si>
  <si>
    <t>3" PVC Sch 40 45-degree sweep, 24" radius</t>
  </si>
  <si>
    <t>4" PVC Sch 40 45-degree sweep, 24" radius</t>
  </si>
  <si>
    <t>PVC Sch 40 45-degree sweep, 36" radius</t>
  </si>
  <si>
    <t>1" PVC Sch 40 45-degree sweep, 36" radius</t>
  </si>
  <si>
    <t>1-1/4" PVC Sch 40 45-degree sweep, 36" radius</t>
  </si>
  <si>
    <t>1-1/2" PVC Sch 40 45-degree sweep, 36" radius</t>
  </si>
  <si>
    <t>2" PVC Sch 40 45-degree sweep, 36" radius</t>
  </si>
  <si>
    <t>2-1/2" PVC Sch 40 45-degree sweep, 36" radius</t>
  </si>
  <si>
    <t>3" PVC Sch 40 45-degree sweep, 36" radius</t>
  </si>
  <si>
    <t>4" PVC Sch 40 45-degree sweep, 36" radius</t>
  </si>
  <si>
    <t>PVC Sch 40 90-degree elbow</t>
  </si>
  <si>
    <t>1/2" PVC Sch 40 90-degree elbow</t>
  </si>
  <si>
    <t>3/4" PVC Sch 40 90-degree elbow</t>
  </si>
  <si>
    <t>1" PVC Sch 40 90-degree elbow</t>
  </si>
  <si>
    <t>1-1/4" PVC Sch 40 90-degree elbow</t>
  </si>
  <si>
    <t>1-1/2" PVC Sch 40 90-degree elbow</t>
  </si>
  <si>
    <t>2" PVC Sch 40 90-degree elbow</t>
  </si>
  <si>
    <t>2-1/2" PVC Sch 40 90-degree elbow</t>
  </si>
  <si>
    <t>3" PVC Sch 40 90-degree elbow</t>
  </si>
  <si>
    <t>4" PVC Sch 40 90-degree elbow</t>
  </si>
  <si>
    <t>PVC Sch 40 90-degree sweep, 24" radius</t>
  </si>
  <si>
    <t>1" PVC Sch 40 90-degree sweep, 24" radius</t>
  </si>
  <si>
    <t>1-1/4" PVC Sch 40 90-degree sweep, 24" radius</t>
  </si>
  <si>
    <t>1-1/2" PVC Sch 40 90-degree sweep, 24" radius</t>
  </si>
  <si>
    <t>2" PVC Sch 40 90-degree sweep, 24" radius</t>
  </si>
  <si>
    <t>2-1/2" PVC Sch 40 90-degree sweep, 24" radius</t>
  </si>
  <si>
    <t>3" PVC Sch 40 90-degree sweep, 24" radius</t>
  </si>
  <si>
    <t>4" PVC Sch 40 90-degree sweep, 24" radius</t>
  </si>
  <si>
    <t>PVC Sch 40 90-degree sweep, 36" radius</t>
  </si>
  <si>
    <t>1" PVC Sch 40 90-degree sweep, 36" radius</t>
  </si>
  <si>
    <t>1-1/4" PVC Sch 40 90-degree sweep, 36" radius</t>
  </si>
  <si>
    <t>1-1/2" PVC Sch 40 90-degree sweep, 36" radius</t>
  </si>
  <si>
    <t>2" PVC Sch 40 90-degree sweep, 36" radius</t>
  </si>
  <si>
    <t>2-1/2" PVC Sch 40 90-degree sweep, 36" radius</t>
  </si>
  <si>
    <t>3" PVC Sch 40 90-degree sweep, 36" radius</t>
  </si>
  <si>
    <t>4" PVC Sch 40 90-degree sweep, 36" radius</t>
  </si>
  <si>
    <t>PVC Sch 40 C conduit body</t>
  </si>
  <si>
    <t>1/2" PVC Sch 40 C conduit body</t>
  </si>
  <si>
    <t>3/4" PVC Sch 40 C conduit body</t>
  </si>
  <si>
    <t>1" PVC Sch 40 C conduit body</t>
  </si>
  <si>
    <t>1-1/4" PVC Sch 40 C conduit body</t>
  </si>
  <si>
    <t>1-1/2" PVC Sch 40 C conduit body</t>
  </si>
  <si>
    <t>2" PVC Sch 40 C conduit body</t>
  </si>
  <si>
    <t>2-1/2" PVC Sch 40 C conduit body</t>
  </si>
  <si>
    <t>3" PVC Sch 40 C conduit body</t>
  </si>
  <si>
    <t>4" PVC Sch 40 C conduit body</t>
  </si>
  <si>
    <t>PVC Sch 40 connector</t>
  </si>
  <si>
    <t>1/2" PVC Sch 40 connector</t>
  </si>
  <si>
    <t>3/4" PVC Sch 40 connector</t>
  </si>
  <si>
    <t>1" PVC Sch 40 connector</t>
  </si>
  <si>
    <t>1-1/4" PVC Sch 40 connector</t>
  </si>
  <si>
    <t>1-1/2" PVC Sch 40 connector</t>
  </si>
  <si>
    <t>2" PVC Sch 40 connector</t>
  </si>
  <si>
    <t>2-1/2" PVC Sch 40 connector</t>
  </si>
  <si>
    <t>3" PVC Sch 40 connector</t>
  </si>
  <si>
    <t>4" PVC Sch 40 connector</t>
  </si>
  <si>
    <t>PVC Sch 40 coupling</t>
  </si>
  <si>
    <t>1/2" PVC Sch 40 coupling</t>
  </si>
  <si>
    <t>3/4" PVC Sch 40 coupling</t>
  </si>
  <si>
    <t>1" PVC Sch 40 coupling</t>
  </si>
  <si>
    <t>1-1/4" PVC Sch 40 coupling</t>
  </si>
  <si>
    <t>1-1/2" PVC Sch 40 coupling</t>
  </si>
  <si>
    <t>2" PVC Sch 40 coupling</t>
  </si>
  <si>
    <t>2-1/2" PVC Sch 40 coupling</t>
  </si>
  <si>
    <t>3" PVC Sch 40 coupling</t>
  </si>
  <si>
    <t>4" PVC Sch 40 coupling</t>
  </si>
  <si>
    <t>PVC Sch 40 LB conduit body</t>
  </si>
  <si>
    <t>1/2" PVC Sch 40 LB conduit body</t>
  </si>
  <si>
    <t>3/4" PVC Sch 40 LB conduit body</t>
  </si>
  <si>
    <t>1" PVC Sch 40 LB conduit body</t>
  </si>
  <si>
    <t>1-1/4" PVC Sch 40 LB conduit body</t>
  </si>
  <si>
    <t>1-1/2" PVC Sch 40 LB conduit body</t>
  </si>
  <si>
    <t>2" PVC Sch 40 LB conduit body</t>
  </si>
  <si>
    <t>2-1/2" PVC Sch 40 LB conduit body</t>
  </si>
  <si>
    <t>3" PVC Sch 40 LB conduit body</t>
  </si>
  <si>
    <t>4" PVC Sch 40 LB conduit body</t>
  </si>
  <si>
    <t>PVC Sch 40 LL conduit body</t>
  </si>
  <si>
    <t>1/2" PVC Sch 40 LL conduit body</t>
  </si>
  <si>
    <t>3/4" PVC Sch 40 LL conduit body</t>
  </si>
  <si>
    <t>1" PVC Sch 40 LL conduit body</t>
  </si>
  <si>
    <t>1-1/4" PVC Sch 40 LL conduit body</t>
  </si>
  <si>
    <t>1-1/2" PVC Sch 40 LL conduit body</t>
  </si>
  <si>
    <t>2" PVC Sch 40 LL conduit body</t>
  </si>
  <si>
    <t>2-1/2" PVC Sch 40 LL conduit body</t>
  </si>
  <si>
    <t>3" PVC Sch 40 LL conduit body</t>
  </si>
  <si>
    <t>4" PVC Sch 40 LL conduit body</t>
  </si>
  <si>
    <t>PVC Sch 40 LR conduit body</t>
  </si>
  <si>
    <t>1/2" PVC Sch 40 LR conduit body</t>
  </si>
  <si>
    <t>3/4" PVC Sch 40 LR conduit body</t>
  </si>
  <si>
    <t>1" PVC Sch 40 LR conduit body</t>
  </si>
  <si>
    <t>1-1/4" PVC Sch 40 LR conduit body</t>
  </si>
  <si>
    <t>1-1/2" PVC Sch 40 LR conduit body</t>
  </si>
  <si>
    <t>2" PVC Sch 40 LR conduit body</t>
  </si>
  <si>
    <t>2-1/2" PVC Sch 40 LR conduit body</t>
  </si>
  <si>
    <t>3" PVC Sch 40 LR conduit body</t>
  </si>
  <si>
    <t>4" PVC Sch 40 LR conduit body</t>
  </si>
  <si>
    <t>PVC Sch 40 T conduit body</t>
  </si>
  <si>
    <t>1/2" PVC Sch 40 T conduit body</t>
  </si>
  <si>
    <t>3/4" PVC Sch 40 T conduit body</t>
  </si>
  <si>
    <t>1" PVC Sch 40 T conduit body</t>
  </si>
  <si>
    <t>1-1/4" PVC Sch 40 T conduit body</t>
  </si>
  <si>
    <t>1-1/2" PVC Sch 40 T conduit body</t>
  </si>
  <si>
    <t>2" PVC Sch 40 T conduit body</t>
  </si>
  <si>
    <t>2-1/2" PVC Sch 40 T conduit body</t>
  </si>
  <si>
    <t>3" PVC Sch 40 T conduit body</t>
  </si>
  <si>
    <t>4" PVC Sch 40 T conduit body</t>
  </si>
  <si>
    <t>PVC Sch 80 45-degree elbow</t>
  </si>
  <si>
    <t>1/2" PVC Sch 80 45-degree elbow</t>
  </si>
  <si>
    <t>3/4" PVC Sch 80 45-degree elbow</t>
  </si>
  <si>
    <t>1" PVC Sch 80 45-degree elbow</t>
  </si>
  <si>
    <t>1-1/4" PVC Sch 80 45-degree elbow</t>
  </si>
  <si>
    <t>1-1/2" PVC Sch 80 45-degree elbow</t>
  </si>
  <si>
    <t>2" PVC Sch 80 45-degree elbow</t>
  </si>
  <si>
    <t>2-1/2" PVC Sch 80 45-degree elbow</t>
  </si>
  <si>
    <t>3" PVC Sch 80 45-degree elbow</t>
  </si>
  <si>
    <t>4" PVC Sch 80 45-degree elbow</t>
  </si>
  <si>
    <t>PVC Sch 80 45-degree sweep, 24" radius</t>
  </si>
  <si>
    <t>1" PVC Sch 80 45-degree sweep, 24" radius</t>
  </si>
  <si>
    <t>1-1/4" PVC Sch 80 45-degree sweep, 24" radius</t>
  </si>
  <si>
    <t>1-1/2" PVC Sch 80 45-degree sweep, 24" radius</t>
  </si>
  <si>
    <t>2" PVC Sch 80 45-degree sweep, 24" radius</t>
  </si>
  <si>
    <t>2-1/2" PVC Sch 80 45-degree sweep, 24" radius</t>
  </si>
  <si>
    <t>3" PVC Sch 80 45-degree sweep, 24" radius</t>
  </si>
  <si>
    <t>4" PVC Sch 80 45-degree sweep, 24" radius</t>
  </si>
  <si>
    <t>PVC Sch 80 45-degree sweep, 36" radius</t>
  </si>
  <si>
    <t>1" PVC Sch 80 45-degree sweep, 36" radius</t>
  </si>
  <si>
    <t>1-1/4" PVC Sch 80 45-degree sweep, 36" radius</t>
  </si>
  <si>
    <t>1-1/2" PVC Sch 80 45-degree sweep, 36" radius</t>
  </si>
  <si>
    <t>2" PVC Sch 80 45-degree sweep, 36" radius</t>
  </si>
  <si>
    <t>2-1/2" PVC Sch 80 45-degree sweep, 36" radius</t>
  </si>
  <si>
    <t>3" PVC Sch 80 45-degree sweep, 36" radius</t>
  </si>
  <si>
    <t>4" PVC Sch 80 45-degree sweep, 36" radius</t>
  </si>
  <si>
    <t>PVC Sch 80 90-degree elbow</t>
  </si>
  <si>
    <t>1/2" PVC Sch 80 90-degree elbow</t>
  </si>
  <si>
    <t>3/4" PVC Sch 80 90-degree elbow</t>
  </si>
  <si>
    <t>1" PVC Sch 80 90-degree elbow</t>
  </si>
  <si>
    <t>1-1/4" PVC Sch 80 90-degree elbow</t>
  </si>
  <si>
    <t>1-1/2" PVC Sch 80 90-degree elbow</t>
  </si>
  <si>
    <t>2" PVC Sch 80 90-degree elbow</t>
  </si>
  <si>
    <t>2-1/2" PVC Sch 80 90-degree elbow</t>
  </si>
  <si>
    <t>3" PVC Sch 80 90-degree elbow</t>
  </si>
  <si>
    <t>4" PVC Sch 80 90-degree elbow</t>
  </si>
  <si>
    <t>PVC Sch 80 90-degree sweep, 24" radius</t>
  </si>
  <si>
    <t>1" PVC Sch 80 90-degree sweep, 24" radius</t>
  </si>
  <si>
    <t>1-1/4" PVC Sch 80 90-degree sweep, 24" radius</t>
  </si>
  <si>
    <t>1-1/2" PVC Sch 80 90-degree sweep, 24" radius</t>
  </si>
  <si>
    <t>2" PVC Sch 80 90-degree sweep, 24" radius</t>
  </si>
  <si>
    <t>2-1/2" PVC Sch 80 90-degree sweep, 24" radius</t>
  </si>
  <si>
    <t>3" PVC Sch 80 90-degree sweep, 24" radius</t>
  </si>
  <si>
    <t>4" PVC Sch 80 90-degree sweep, 24" radius</t>
  </si>
  <si>
    <t>PVC Sch 80 90-degree sweep, 36" radius</t>
  </si>
  <si>
    <t>1" PVC Sch 80 90-degree sweep, 36" radius</t>
  </si>
  <si>
    <t>1-1/4" PVC Sch 80 90-degree sweep, 36" radius</t>
  </si>
  <si>
    <t>1-1/2" PVC Sch 80 90-degree sweep, 36" radius</t>
  </si>
  <si>
    <t>2" PVC Sch 80 90-degree sweep, 36" radius</t>
  </si>
  <si>
    <t>2-1/2" PVC Sch 80 90-degree sweep, 36" radius</t>
  </si>
  <si>
    <t>3" PVC Sch 80 90-degree sweep, 36" radius</t>
  </si>
  <si>
    <t>4" PVC Sch 80 90-degree sweep, 36" radius</t>
  </si>
  <si>
    <t>PVC Sch 80 C conduit body</t>
  </si>
  <si>
    <t>1/2" PVC Sch 80 C conduit body</t>
  </si>
  <si>
    <t>3/4" PVC Sch 80 C conduit body</t>
  </si>
  <si>
    <t>1" PVC Sch 80 C conduit body</t>
  </si>
  <si>
    <t>1-1/4" PVC Sch 80 C conduit body</t>
  </si>
  <si>
    <t>1-1/2" PVC Sch 80 C conduit body</t>
  </si>
  <si>
    <t>2" PVC Sch 80 C conduit body</t>
  </si>
  <si>
    <t>2-1/2" PVC Sch 80 C conduit body</t>
  </si>
  <si>
    <t>3" PVC Sch 80 C conduit body</t>
  </si>
  <si>
    <t>4" PVC Sch 80 C conduit body</t>
  </si>
  <si>
    <t>PVC Sch 80 connector</t>
  </si>
  <si>
    <t>1/2" PVC Sch 80 connector</t>
  </si>
  <si>
    <t>3/4" PVC Sch 80 connector</t>
  </si>
  <si>
    <t>1" PVC Sch 80 connector</t>
  </si>
  <si>
    <t>1-1/4" PVC Sch 80 connector</t>
  </si>
  <si>
    <t>1-1/2" PVC Sch 80 connector</t>
  </si>
  <si>
    <t>2" PVC Sch 80 connector</t>
  </si>
  <si>
    <t>2-1/2" PVC Sch 80 connector</t>
  </si>
  <si>
    <t>3" PVC Sch 80 connector</t>
  </si>
  <si>
    <t>4" PVC Sch 80 connector</t>
  </si>
  <si>
    <t>PVC Sch 80 coupling</t>
  </si>
  <si>
    <t>1/2" PVC Sch 80 coupling</t>
  </si>
  <si>
    <t>3/4" PVC Sch 80 coupling</t>
  </si>
  <si>
    <t>1" PVC Sch 80 coupling</t>
  </si>
  <si>
    <t>1-1/4" PVC Sch 80 coupling</t>
  </si>
  <si>
    <t>1-1/2" PVC Sch 80 coupling</t>
  </si>
  <si>
    <t>2" PVC Sch 80 coupling</t>
  </si>
  <si>
    <t>2-1/2" PVC Sch 80 coupling</t>
  </si>
  <si>
    <t>3" PVC Sch 80 coupling</t>
  </si>
  <si>
    <t>4" PVC Sch 80 coupling</t>
  </si>
  <si>
    <t>PVC Sch 80 LB conduit body</t>
  </si>
  <si>
    <t>1/2" PVC Sch 80 LB conduit body</t>
  </si>
  <si>
    <t>3/4" PVC Sch 80 LB conduit body</t>
  </si>
  <si>
    <t>1" PVC Sch 80 LB conduit body</t>
  </si>
  <si>
    <t>1-1/4" PVC Sch 80 LB conduit body</t>
  </si>
  <si>
    <t>1-1/2" PVC Sch 80 LB conduit body</t>
  </si>
  <si>
    <t>2" PVC Sch 80 LB conduit body</t>
  </si>
  <si>
    <t>2-1/2" PVC Sch 80 LB conduit body</t>
  </si>
  <si>
    <t>3" PVC Sch 80 LB conduit body</t>
  </si>
  <si>
    <t>4" PVC Sch 80 LB conduit body</t>
  </si>
  <si>
    <t>PVC Sch 80 LL conduit body</t>
  </si>
  <si>
    <t>1/2" PVC Sch 80 LL conduit body</t>
  </si>
  <si>
    <t>3/4" PVC Sch 80 LL conduit body</t>
  </si>
  <si>
    <t>1" PVC Sch 80 LL conduit body</t>
  </si>
  <si>
    <t>1-1/4" PVC Sch 80 LL conduit body</t>
  </si>
  <si>
    <t>1-1/2" PVC Sch 80 LL conduit body</t>
  </si>
  <si>
    <t>2" PVC Sch 80 LL conduit body</t>
  </si>
  <si>
    <t>2-1/2" PVC Sch 80 LL conduit body</t>
  </si>
  <si>
    <t>3" PVC Sch 80 LL conduit body</t>
  </si>
  <si>
    <t>4" PVC Sch 80 LL conduit body</t>
  </si>
  <si>
    <t>PVC Sch 80 LR conduit body</t>
  </si>
  <si>
    <t>1/2" PVC Sch 80 LR conduit body</t>
  </si>
  <si>
    <t>3/4" PVC Sch 80 LR conduit body</t>
  </si>
  <si>
    <t>1" PVC Sch 80 LR conduit body</t>
  </si>
  <si>
    <t>1-1/4" PVC Sch 80 LR conduit body</t>
  </si>
  <si>
    <t>1-1/2" PVC Sch 80 LR conduit body</t>
  </si>
  <si>
    <t>2" PVC Sch 80 LR conduit body</t>
  </si>
  <si>
    <t>2-1/2" PVC Sch 80 LR conduit body</t>
  </si>
  <si>
    <t>3" PVC Sch 80 LR conduit body</t>
  </si>
  <si>
    <t>4" PVC Sch 80 LR conduit body</t>
  </si>
  <si>
    <t>PVC Sch 80 T conduit body</t>
  </si>
  <si>
    <t>1/2" PVC Sch 80 T conduit body</t>
  </si>
  <si>
    <t>3/4" PVC Sch 80 T conduit body</t>
  </si>
  <si>
    <t>1" PVC Sch 80 T conduit body</t>
  </si>
  <si>
    <t>1-1/4" PVC Sch 80 T conduit body</t>
  </si>
  <si>
    <t>1-1/2" PVC Sch 80 T conduit body</t>
  </si>
  <si>
    <t>2" PVC Sch 80 T conduit body</t>
  </si>
  <si>
    <t>2-1/2" PVC Sch 80 T conduit body</t>
  </si>
  <si>
    <t>3" PVC Sch 80 T conduit body</t>
  </si>
  <si>
    <t>4" PVC Sch 80 T conduit body</t>
  </si>
  <si>
    <t>rigid conduit 45-degree elbow</t>
  </si>
  <si>
    <t>1/2" rigid conduit 45-degree elbow</t>
  </si>
  <si>
    <t>3/4" rigid conduit 45-degree elbow</t>
  </si>
  <si>
    <t>1" rigid conduit 45-degree elbow</t>
  </si>
  <si>
    <t>1-1/4" rigid conduit 45-degree elbow</t>
  </si>
  <si>
    <t>1-1/2" rigid conduit 45-degree elbow</t>
  </si>
  <si>
    <t>2" rigid conduit 45-degree elbow</t>
  </si>
  <si>
    <t>2-1/2" rigid conduit 45-degree elbow</t>
  </si>
  <si>
    <t>3" rigid conduit 45-degree elbow</t>
  </si>
  <si>
    <t>4" rigid conduit 45-degree elbow</t>
  </si>
  <si>
    <t>rigid conduit 90-degree elbow</t>
  </si>
  <si>
    <t>1/2" rigid conduit 90-degree elbow</t>
  </si>
  <si>
    <t>3/4" rigid conduit 90-degree elbow</t>
  </si>
  <si>
    <t>1" rigid conduit 90-degree elbow</t>
  </si>
  <si>
    <t>1-1/4" rigid conduit 90-degree elbow</t>
  </si>
  <si>
    <t>1-1/2" rigid conduit 90-degree elbow</t>
  </si>
  <si>
    <t>2" rigid conduit 90-degree elbow</t>
  </si>
  <si>
    <t>2-1/2" rigid conduit 90-degree elbow</t>
  </si>
  <si>
    <t>3" rigid conduit 90-degree elbow</t>
  </si>
  <si>
    <t>4" rigid conduit 90-degree elbow</t>
  </si>
  <si>
    <t>rigid conduit C conduit body</t>
  </si>
  <si>
    <t>1/2" rigid conduit C conduit body</t>
  </si>
  <si>
    <t>3/4" rigid conduit C conduit body</t>
  </si>
  <si>
    <t>1" rigid conduit C conduit body</t>
  </si>
  <si>
    <t>1-1/4" rigid conduit C conduit body</t>
  </si>
  <si>
    <t>1-1/2" rigid conduit C conduit body</t>
  </si>
  <si>
    <t>2" rigid conduit C conduit body</t>
  </si>
  <si>
    <t>2-1/2" rigid conduit C conduit body</t>
  </si>
  <si>
    <t>3" rigid conduit C conduit body</t>
  </si>
  <si>
    <t>4" rigid conduit C conduit body</t>
  </si>
  <si>
    <t>rigid conduit connector</t>
  </si>
  <si>
    <t>1/2" rigid conduit connector</t>
  </si>
  <si>
    <t>3/4" rigid conduit connector</t>
  </si>
  <si>
    <t>1" rigid conduit connector</t>
  </si>
  <si>
    <t>1-1/4" rigid conduit connector</t>
  </si>
  <si>
    <t>1-1/2" rigid conduit connector</t>
  </si>
  <si>
    <t>2" rigid conduit connector</t>
  </si>
  <si>
    <t>2-1/2" rigid conduit connector</t>
  </si>
  <si>
    <t>3" rigid conduit connector</t>
  </si>
  <si>
    <t>4" rigid conduit connector</t>
  </si>
  <si>
    <t>rigid conduit coupling</t>
  </si>
  <si>
    <t>1/2" rigid conduit coupling</t>
  </si>
  <si>
    <t>3/4" rigid conduit coupling</t>
  </si>
  <si>
    <t>1" rigid conduit coupling</t>
  </si>
  <si>
    <t>1-1/4" rigid conduit coupling</t>
  </si>
  <si>
    <t>1-1/2" rigid conduit coupling</t>
  </si>
  <si>
    <t>2" rigid conduit coupling</t>
  </si>
  <si>
    <t>2-1/2" rigid conduit coupling</t>
  </si>
  <si>
    <t>3" rigid conduit coupling</t>
  </si>
  <si>
    <t>4" rigid conduit coupling</t>
  </si>
  <si>
    <t>rigid conduit LB conduit body</t>
  </si>
  <si>
    <t>1/2" rigid conduit LB conduit body</t>
  </si>
  <si>
    <t>3/4" rigid conduit LB conduit body</t>
  </si>
  <si>
    <t>1" rigid conduit LB conduit body</t>
  </si>
  <si>
    <t>1-1/4" rigid conduit LB conduit body</t>
  </si>
  <si>
    <t>1-1/2" rigid conduit LB conduit body</t>
  </si>
  <si>
    <t>2" rigid conduit LB conduit body</t>
  </si>
  <si>
    <t>2-1/2" rigid conduit LB conduit body</t>
  </si>
  <si>
    <t>3" rigid conduit LB conduit body</t>
  </si>
  <si>
    <t>4" rigid conduit LB conduit body</t>
  </si>
  <si>
    <t>rigid conduit LL conduit body</t>
  </si>
  <si>
    <t>1/2" rigid conduit LL conduit body</t>
  </si>
  <si>
    <t>3/4" rigid conduit LL conduit body</t>
  </si>
  <si>
    <t>1" rigid conduit LL conduit body</t>
  </si>
  <si>
    <t>1-1/4" rigid conduit LL conduit body</t>
  </si>
  <si>
    <t>1-1/2" rigid conduit LL conduit body</t>
  </si>
  <si>
    <t>2" rigid conduit LL conduit body</t>
  </si>
  <si>
    <t>2-1/2" rigid conduit LL conduit body</t>
  </si>
  <si>
    <t>3" rigid conduit LL conduit body</t>
  </si>
  <si>
    <t>4" rigid conduit LL conduit body</t>
  </si>
  <si>
    <t>rigid conduit LR conduit body</t>
  </si>
  <si>
    <t>1/2" rigid conduit LR conduit body</t>
  </si>
  <si>
    <t>3/4" rigid conduit LR conduit body</t>
  </si>
  <si>
    <t>1" rigid conduit LR conduit body</t>
  </si>
  <si>
    <t>1-1/4" rigid conduit LR conduit body</t>
  </si>
  <si>
    <t>1-1/2" rigid conduit LR conduit body</t>
  </si>
  <si>
    <t>2" rigid conduit LR conduit body</t>
  </si>
  <si>
    <t>2-1/2" rigid conduit LR conduit body</t>
  </si>
  <si>
    <t>3" rigid conduit LR conduit body</t>
  </si>
  <si>
    <t>4" rigid conduit LR conduit body</t>
  </si>
  <si>
    <t>rigid conduit T conduit body</t>
  </si>
  <si>
    <t>1/2" rigid conduit T conduit body</t>
  </si>
  <si>
    <t>3/4" rigid conduit T conduit body</t>
  </si>
  <si>
    <t>1" rigid conduit T conduit body</t>
  </si>
  <si>
    <t>1-1/4" rigid conduit T conduit body</t>
  </si>
  <si>
    <t>1-1/2" rigid conduit T conduit body</t>
  </si>
  <si>
    <t>2" rigid conduit T conduit body</t>
  </si>
  <si>
    <t>2-1/2" rigid conduit T conduit body</t>
  </si>
  <si>
    <t>3" rigid conduit T conduit body</t>
  </si>
  <si>
    <t>4" rigid conduit T conduit body</t>
  </si>
  <si>
    <t>IMC 45-degree elbow</t>
  </si>
  <si>
    <t>1/2" IMC 45-degree elbow</t>
  </si>
  <si>
    <t>3/4" IMC 45-degree elbow</t>
  </si>
  <si>
    <t>1" IMC 45-degree elbow</t>
  </si>
  <si>
    <t>1-1/4" IMC 45-degree elbow</t>
  </si>
  <si>
    <t>1-1/2" IMC 45-degree elbow</t>
  </si>
  <si>
    <t>2" IMC 45-degree elbow</t>
  </si>
  <si>
    <t>2-1/2" IMC 45-degree elbow</t>
  </si>
  <si>
    <t>3" IMC 45-degree elbow</t>
  </si>
  <si>
    <t>4" IMC 45-degree elbow</t>
  </si>
  <si>
    <t>IMC 90-degree elbow</t>
  </si>
  <si>
    <t>1/2" IMC 90-degree elbow</t>
  </si>
  <si>
    <t>3/4" IMC 90-degree elbow</t>
  </si>
  <si>
    <t>1" IMC 90-degree elbow</t>
  </si>
  <si>
    <t>1-1/4" IMC 90-degree elbow</t>
  </si>
  <si>
    <t>1-1/2" IMC 90-degree elbow</t>
  </si>
  <si>
    <t>2" IMC 90-degree elbow</t>
  </si>
  <si>
    <t>2-1/2" IMC 90-degree elbow</t>
  </si>
  <si>
    <t>3" IMC 90-degree elbow</t>
  </si>
  <si>
    <t>4" IMC 90-degree elbow</t>
  </si>
  <si>
    <t>IMC C conduit body</t>
  </si>
  <si>
    <t>1/2" IMC C conduit body</t>
  </si>
  <si>
    <t>3/4" IMC C conduit body</t>
  </si>
  <si>
    <t>1" IMC C conduit body</t>
  </si>
  <si>
    <t>1-1/4" IMC C conduit body</t>
  </si>
  <si>
    <t>1-1/2" IMC C conduit body</t>
  </si>
  <si>
    <t>2" IMC C conduit body</t>
  </si>
  <si>
    <t>2-1/2" IMC C conduit body</t>
  </si>
  <si>
    <t>3" IMC C conduit body</t>
  </si>
  <si>
    <t>4" IMC C conduit body</t>
  </si>
  <si>
    <t>IMC connector</t>
  </si>
  <si>
    <t>1/2" IMC connector</t>
  </si>
  <si>
    <t>3/4" IMC connector</t>
  </si>
  <si>
    <t>1" IMC connector</t>
  </si>
  <si>
    <t>1-1/4" IMC connector</t>
  </si>
  <si>
    <t>1-1/2" IMC connector</t>
  </si>
  <si>
    <t>2" IMC connector</t>
  </si>
  <si>
    <t>2-1/2" IMC connector</t>
  </si>
  <si>
    <t>3" IMC connector</t>
  </si>
  <si>
    <t>4" IMC connector</t>
  </si>
  <si>
    <t>IMC coupling</t>
  </si>
  <si>
    <t>1/2" IMC coupling</t>
  </si>
  <si>
    <t>3/4" IMC coupling</t>
  </si>
  <si>
    <t>1" IMC coupling</t>
  </si>
  <si>
    <t>1-1/4" IMC coupling</t>
  </si>
  <si>
    <t>1-1/2" IMC coupling</t>
  </si>
  <si>
    <t>2" IMC coupling</t>
  </si>
  <si>
    <t>2-1/2" IMC coupling</t>
  </si>
  <si>
    <t>3" IMC coupling</t>
  </si>
  <si>
    <t>4" IMC coupling</t>
  </si>
  <si>
    <t>IMC LB conduit body</t>
  </si>
  <si>
    <t>1/2" IMC LB conduit body</t>
  </si>
  <si>
    <t>3/4" IMC LB conduit body</t>
  </si>
  <si>
    <t>1" IMC LB conduit body</t>
  </si>
  <si>
    <t>1-1/4" IMC LB conduit body</t>
  </si>
  <si>
    <t>1-1/2" IMC LB conduit body</t>
  </si>
  <si>
    <t>2" IMC LB conduit body</t>
  </si>
  <si>
    <t>2-1/2" IMC LB conduit body</t>
  </si>
  <si>
    <t>3" IMC LB conduit body</t>
  </si>
  <si>
    <t>4" IMC LB conduit body</t>
  </si>
  <si>
    <t>IMC LL conduit body</t>
  </si>
  <si>
    <t>1/2" IMC LL conduit body</t>
  </si>
  <si>
    <t>3/4" IMC LL conduit body</t>
  </si>
  <si>
    <t>1" IMC LL conduit body</t>
  </si>
  <si>
    <t>1-1/4" IMC LL conduit body</t>
  </si>
  <si>
    <t>1-1/2" IMC LL conduit body</t>
  </si>
  <si>
    <t>2" IMC LL conduit body</t>
  </si>
  <si>
    <t>2-1/2" IMC LL conduit body</t>
  </si>
  <si>
    <t>3" IMC LL conduit body</t>
  </si>
  <si>
    <t>4" IMC LL conduit body</t>
  </si>
  <si>
    <t>IMC LR conduit body</t>
  </si>
  <si>
    <t>1/2" IMC LR conduit body</t>
  </si>
  <si>
    <t>3/4" IMC LR conduit body</t>
  </si>
  <si>
    <t>1" IMC LR conduit body</t>
  </si>
  <si>
    <t>1-1/4" IMC LR conduit body</t>
  </si>
  <si>
    <t>1-1/2" IMC LR conduit body</t>
  </si>
  <si>
    <t>2" IMC LR conduit body</t>
  </si>
  <si>
    <t>2-1/2" IMC LR conduit body</t>
  </si>
  <si>
    <t>3" IMC LR conduit body</t>
  </si>
  <si>
    <t>4" IMC LR conduit body</t>
  </si>
  <si>
    <t>IMC T conduit body</t>
  </si>
  <si>
    <t>1/2" IMC T conduit body</t>
  </si>
  <si>
    <t>3/4" IMC T conduit body</t>
  </si>
  <si>
    <t>1" IMC T conduit body</t>
  </si>
  <si>
    <t>1-1/4" IMC T conduit body</t>
  </si>
  <si>
    <t>1-1/2" IMC T conduit body</t>
  </si>
  <si>
    <t>2" IMC T conduit body</t>
  </si>
  <si>
    <t>2-1/2" IMC T conduit body</t>
  </si>
  <si>
    <t>3" IMC T conduit body</t>
  </si>
  <si>
    <t>4" IMC T conduit body</t>
  </si>
  <si>
    <t>liquidtight flexible conduit connector</t>
  </si>
  <si>
    <t>1/2" liquidtight flexible conduit connector</t>
  </si>
  <si>
    <t>3/4" liquidtight flexible conduit connector</t>
  </si>
  <si>
    <t>1" liquidtight flexible conduit connector</t>
  </si>
  <si>
    <t>1-1/4" liquidtight flexible conduit connector</t>
  </si>
  <si>
    <t>liquidtight flexible conduit coupling</t>
  </si>
  <si>
    <t>1/2" liquidtight flexible conduit coupling</t>
  </si>
  <si>
    <t>3/4" liquidtight flexible conduit coupling</t>
  </si>
  <si>
    <t>1" liquidtight flexible conduit coupling</t>
  </si>
  <si>
    <t>1-1/4" liquidtight flexible conduit coupling</t>
  </si>
  <si>
    <t>flexible conduit one-hole strap</t>
  </si>
  <si>
    <t>1/2" flexible conduit one-hole strap</t>
  </si>
  <si>
    <t>3/4" flexible conduit one-hole strap</t>
  </si>
  <si>
    <t>1" flexible conduit one-hole strap</t>
  </si>
  <si>
    <t>1-1/4" flexible conduit one-hole strap</t>
  </si>
  <si>
    <t>flexible metal conduit connector</t>
  </si>
  <si>
    <t>1/2" flexible metal conduit connector</t>
  </si>
  <si>
    <t>3/4" flexible metal conduit connector</t>
  </si>
  <si>
    <t>1" flexible metal conduit connector</t>
  </si>
  <si>
    <t>1-1/4" flexible metal conduit connector</t>
  </si>
  <si>
    <t>flexible metal conduit coupling</t>
  </si>
  <si>
    <t>1/2" flexible metal conduit coupling</t>
  </si>
  <si>
    <t>3/4" flexible metal conduit coupling</t>
  </si>
  <si>
    <t>1" flexible metal conduit coupling</t>
  </si>
  <si>
    <t>1-1/4" flexible metal conduit coupling</t>
  </si>
  <si>
    <t>conduit bushing</t>
  </si>
  <si>
    <t>1/2" conduit bushing</t>
  </si>
  <si>
    <t>3/4" conduit bushing</t>
  </si>
  <si>
    <t>1" conduit bushing</t>
  </si>
  <si>
    <t>1-1/4" conduit bushing</t>
  </si>
  <si>
    <t>1-1/2" conduit bushing</t>
  </si>
  <si>
    <t>2" conduit bushing</t>
  </si>
  <si>
    <t>2-1/2" conduit bushing</t>
  </si>
  <si>
    <t>3" conduit bushing</t>
  </si>
  <si>
    <t>4" conduit bushing</t>
  </si>
  <si>
    <t>conduit locknut</t>
  </si>
  <si>
    <t>1/2" conduit locknut</t>
  </si>
  <si>
    <t>3/4" conduit locknut</t>
  </si>
  <si>
    <t>1" conduit locknut</t>
  </si>
  <si>
    <t>1-1/4" conduit locknut</t>
  </si>
  <si>
    <t>1-1/2" conduit locknut</t>
  </si>
  <si>
    <t>2" conduit locknut</t>
  </si>
  <si>
    <t>2-1/2" conduit locknut</t>
  </si>
  <si>
    <t>3" conduit locknut</t>
  </si>
  <si>
    <t>4" conduit locknut</t>
  </si>
  <si>
    <t>mast roof flashing</t>
  </si>
  <si>
    <t>2" mast roof flashing</t>
  </si>
  <si>
    <t>metal weatherhead</t>
  </si>
  <si>
    <t>1" metal weatherhead</t>
  </si>
  <si>
    <t>1-1/4" metal weatherhead</t>
  </si>
  <si>
    <t>1-1/2" metal weatherhead</t>
  </si>
  <si>
    <t>2" metal weatherhead</t>
  </si>
  <si>
    <t>2-1/2" metal weatherhead</t>
  </si>
  <si>
    <t>3" metal weatherhead</t>
  </si>
  <si>
    <t>4" metal weatherhead</t>
  </si>
  <si>
    <t>PVC one-hole strap</t>
  </si>
  <si>
    <t>1/2" PVC one-hole strap</t>
  </si>
  <si>
    <t>3/4" PVC one-hole strap</t>
  </si>
  <si>
    <t>1" PVC one-hole strap</t>
  </si>
  <si>
    <t>1-1/4" PVC one-hole strap</t>
  </si>
  <si>
    <t>1-1/2" PVC one-hole strap</t>
  </si>
  <si>
    <t>2" PVC one-hole strap</t>
  </si>
  <si>
    <t>2-1/2" PVC one-hole strap</t>
  </si>
  <si>
    <t>3" PVC one-hole strap</t>
  </si>
  <si>
    <t>4" PVC one-hole strap</t>
  </si>
  <si>
    <t>PVC weatherhead</t>
  </si>
  <si>
    <t>1" PVC weatherhead</t>
  </si>
  <si>
    <t>1-1/4" PVC weatherhead</t>
  </si>
  <si>
    <t>1-1/2" PVC weatherhead</t>
  </si>
  <si>
    <t>2" PVC weatherhead</t>
  </si>
  <si>
    <t>2-1/2" PVC weatherhead</t>
  </si>
  <si>
    <t>3" PVC weatherhead</t>
  </si>
  <si>
    <t>4" PVC weatherhead</t>
  </si>
  <si>
    <t>Reducing washer set</t>
  </si>
  <si>
    <t>rigid one-hole strap</t>
  </si>
  <si>
    <t>1/2" rigid one-hole strap</t>
  </si>
  <si>
    <t>3/4" rigid one-hole strap</t>
  </si>
  <si>
    <t>1" rigid one-hole strap</t>
  </si>
  <si>
    <t>1-1/4" rigid one-hole strap</t>
  </si>
  <si>
    <t>1-1/2" rigid one-hole strap</t>
  </si>
  <si>
    <t>2" rigid one-hole strap</t>
  </si>
  <si>
    <t>2-1/2" rigid one-hole strap</t>
  </si>
  <si>
    <t>3" rigid one-hole strap</t>
  </si>
  <si>
    <t>4" rigid one-hole strap</t>
  </si>
  <si>
    <t>riser strap</t>
  </si>
  <si>
    <t>2" riser strap</t>
  </si>
  <si>
    <t>Roof flashing boot</t>
  </si>
  <si>
    <t>threaded closure</t>
  </si>
  <si>
    <t>1/2" threaded closure</t>
  </si>
  <si>
    <t>3/4" threaded closure</t>
  </si>
  <si>
    <t>Boxes</t>
  </si>
  <si>
    <t>4-gang box</t>
  </si>
  <si>
    <t>5-gang box</t>
  </si>
  <si>
    <t>Box support bracket</t>
  </si>
  <si>
    <t>Ceiling fan brace box</t>
  </si>
  <si>
    <t>Concrete ring backplate</t>
  </si>
  <si>
    <t>Concrete ring, 4" deep</t>
  </si>
  <si>
    <t>Concrete ring, 6" deep</t>
  </si>
  <si>
    <t>Double-gang box</t>
  </si>
  <si>
    <t>Double-gang box, deep</t>
  </si>
  <si>
    <t>Double-gang metal box</t>
  </si>
  <si>
    <t>Double-gang old-work box</t>
  </si>
  <si>
    <t>Drywall repair ring</t>
  </si>
  <si>
    <t>Fan-rated ceiling box</t>
  </si>
  <si>
    <t>FD cast box</t>
  </si>
  <si>
    <t>1/2" FD cast box</t>
  </si>
  <si>
    <t>3/4" FD cast box</t>
  </si>
  <si>
    <t>1" FD cast box</t>
  </si>
  <si>
    <t>Floor box</t>
  </si>
  <si>
    <t>Floor box cover</t>
  </si>
  <si>
    <t>FS cast box</t>
  </si>
  <si>
    <t>1/2" FS cast box</t>
  </si>
  <si>
    <t>3/4" FS cast box</t>
  </si>
  <si>
    <t>1" FS cast box</t>
  </si>
  <si>
    <t>FS cast box, 2-gang</t>
  </si>
  <si>
    <t>1/2" FS cast box, 2-gang</t>
  </si>
  <si>
    <t>3/4" FS cast box, 2-gang</t>
  </si>
  <si>
    <t>Handy box</t>
  </si>
  <si>
    <t>Handy box cover, blank</t>
  </si>
  <si>
    <t>Handy box cover, decorator</t>
  </si>
  <si>
    <t>Handy box cover, duplex</t>
  </si>
  <si>
    <t>Handy box cover, single toggle</t>
  </si>
  <si>
    <t>Low-voltage mud ring</t>
  </si>
  <si>
    <t>Masonry box, double-gang</t>
  </si>
  <si>
    <t>Masonry box, single-gang</t>
  </si>
  <si>
    <t>Masonry box, triple-gang</t>
  </si>
  <si>
    <t>nail plate</t>
  </si>
  <si>
    <t>1-1/2" nail plate</t>
  </si>
  <si>
    <t>3" nail plate</t>
  </si>
  <si>
    <t>5" nail plate</t>
  </si>
  <si>
    <t>Octagon box, metal</t>
  </si>
  <si>
    <t>Octagon box, metal, 2-1/8" deep</t>
  </si>
  <si>
    <t>Octagon box, plastic</t>
  </si>
  <si>
    <t>Old-work ceiling box</t>
  </si>
  <si>
    <t>Panel knockout seal</t>
  </si>
  <si>
    <t>pull box</t>
  </si>
  <si>
    <t>4x4 pull box</t>
  </si>
  <si>
    <t>6x6 pull box</t>
  </si>
  <si>
    <t>8x8 pull box</t>
  </si>
  <si>
    <t>12x12 pull box</t>
  </si>
  <si>
    <t>16x16 pull box</t>
  </si>
  <si>
    <t>24x24 pull box</t>
  </si>
  <si>
    <t>pull box, NEMA 3R</t>
  </si>
  <si>
    <t>6x6 pull box, NEMA 3R</t>
  </si>
  <si>
    <t>8x8 pull box, NEMA 3R</t>
  </si>
  <si>
    <t>12x12 pull box, NEMA 3R</t>
  </si>
  <si>
    <t>PVC pull box</t>
  </si>
  <si>
    <t>4x4 PVC pull box</t>
  </si>
  <si>
    <t>6x6 PVC pull box</t>
  </si>
  <si>
    <t>8x8 PVC pull box</t>
  </si>
  <si>
    <t>12x12 PVC pull box</t>
  </si>
  <si>
    <t>Retrofit bar hanger</t>
  </si>
  <si>
    <t>round blank cover</t>
  </si>
  <si>
    <t>4" round blank cover</t>
  </si>
  <si>
    <t>round extension ring</t>
  </si>
  <si>
    <t>4" round extension ring</t>
  </si>
  <si>
    <t>Shallow round box</t>
  </si>
  <si>
    <t>Siding mounting block</t>
  </si>
  <si>
    <t>Single-gang box</t>
  </si>
  <si>
    <t>20 starters</t>
  </si>
  <si>
    <t>Single-gang box extender</t>
  </si>
  <si>
    <t>Single-gang box, deep</t>
  </si>
  <si>
    <t>Single-gang metal box</t>
  </si>
  <si>
    <t>Single-gang old-work box</t>
  </si>
  <si>
    <t>square blank cover</t>
  </si>
  <si>
    <t>4" square blank cover</t>
  </si>
  <si>
    <t>4-11/16" square blank cover</t>
  </si>
  <si>
    <t>square box</t>
  </si>
  <si>
    <t>4" square box</t>
  </si>
  <si>
    <t>28 starters</t>
  </si>
  <si>
    <t>4-11/16" square box</t>
  </si>
  <si>
    <t>square box, 2-1/8" deep</t>
  </si>
  <si>
    <t>4" square box, 2-1/8" deep</t>
  </si>
  <si>
    <t>square extension ring</t>
  </si>
  <si>
    <t>4" square extension ring</t>
  </si>
  <si>
    <t>4-11/16" square extension ring</t>
  </si>
  <si>
    <t>square mud ring</t>
  </si>
  <si>
    <t>4" square mud ring</t>
  </si>
  <si>
    <t>14 starters</t>
  </si>
  <si>
    <t>4-11/16" square mud ring</t>
  </si>
  <si>
    <t>square mud ring, 2-gang</t>
  </si>
  <si>
    <t>4" square mud ring, 2-gang</t>
  </si>
  <si>
    <t>4-11/16" square mud ring, 2-gang</t>
  </si>
  <si>
    <t>square mud ring, fixture</t>
  </si>
  <si>
    <t>4" square mud ring, fixture</t>
  </si>
  <si>
    <t>square raised cover, 2-gang decorator</t>
  </si>
  <si>
    <t>4-11/16" square raised cover, 2-gang decorator</t>
  </si>
  <si>
    <t>square raised cover, decorator</t>
  </si>
  <si>
    <t>4" square raised cover, decorator</t>
  </si>
  <si>
    <t>square raised cover, duplex</t>
  </si>
  <si>
    <t>4" square raised cover, duplex</t>
  </si>
  <si>
    <t>square raised cover, single toggle</t>
  </si>
  <si>
    <t>4" square raised cover, single toggle</t>
  </si>
  <si>
    <t>square raised cover, two duplex</t>
  </si>
  <si>
    <t>4-11/16" square raised cover, two duplex</t>
  </si>
  <si>
    <t>square raised cover, two toggle</t>
  </si>
  <si>
    <t>4" square raised cover, two toggle</t>
  </si>
  <si>
    <t>Steel stud grommet</t>
  </si>
  <si>
    <t>Triple-gang box</t>
  </si>
  <si>
    <t>Triple-gang metal box</t>
  </si>
  <si>
    <t>Triple-gang old-work box</t>
  </si>
  <si>
    <t>Weatherproof blank cover, double-gang</t>
  </si>
  <si>
    <t>Weatherproof blank cover, single-gang</t>
  </si>
  <si>
    <t>weatherproof box, double-gang</t>
  </si>
  <si>
    <t>1/2" weatherproof box, double-gang</t>
  </si>
  <si>
    <t>3/4" weatherproof box, double-gang</t>
  </si>
  <si>
    <t>weatherproof box, single-gang</t>
  </si>
  <si>
    <t>1/2" weatherproof box, single-gang</t>
  </si>
  <si>
    <t>3/4" weatherproof box, single-gang</t>
  </si>
  <si>
    <t>weatherproof box, single-gang, PVC</t>
  </si>
  <si>
    <t>1/2" weatherproof box, single-gang, PVC</t>
  </si>
  <si>
    <t>3/4" weatherproof box, single-gang, PVC</t>
  </si>
  <si>
    <t>weatherproof box, triple-gang</t>
  </si>
  <si>
    <t>1/2" weatherproof box, triple-gang</t>
  </si>
  <si>
    <t>Weatherproof lampholder cover</t>
  </si>
  <si>
    <t>weatherproof round box</t>
  </si>
  <si>
    <t>1/2" weatherproof round box</t>
  </si>
  <si>
    <t>3/4" weatherproof round box</t>
  </si>
  <si>
    <t>Receptacles</t>
  </si>
  <si>
    <t>AFCI receptacle</t>
  </si>
  <si>
    <t>Controlled duplex receptacle</t>
  </si>
  <si>
    <t>Dead-front GFCI device</t>
  </si>
  <si>
    <t>dryer receptacle</t>
  </si>
  <si>
    <t>30A dryer receptacle</t>
  </si>
  <si>
    <t>duplex receptacle</t>
  </si>
  <si>
    <t>20A duplex receptacle</t>
  </si>
  <si>
    <t>9 starters</t>
  </si>
  <si>
    <t>Duplex receptacle</t>
  </si>
  <si>
    <t>duplex receptacle, weather-resistant</t>
  </si>
  <si>
    <t>20A duplex receptacle, weather-resistant</t>
  </si>
  <si>
    <t>Duplex receptacle, weather-resistant</t>
  </si>
  <si>
    <t>Floor receptacle assembly</t>
  </si>
  <si>
    <t>GFCI receptacle</t>
  </si>
  <si>
    <t>20A GFCI receptacle</t>
  </si>
  <si>
    <t>GFCI receptacle, weather-resistant</t>
  </si>
  <si>
    <t>20A GFCI receptacle, weather-resistant</t>
  </si>
  <si>
    <t>Hospital-grade receptacle</t>
  </si>
  <si>
    <t>Isolated-ground receptacle</t>
  </si>
  <si>
    <t>L14-30 receptacle</t>
  </si>
  <si>
    <t>L5-20 receptacle</t>
  </si>
  <si>
    <t>L6-30 receptacle</t>
  </si>
  <si>
    <t>Pop-up floor receptacle</t>
  </si>
  <si>
    <t>quad receptacle</t>
  </si>
  <si>
    <t>20A quad receptacle</t>
  </si>
  <si>
    <t>Quad receptacle</t>
  </si>
  <si>
    <t>range receptacle</t>
  </si>
  <si>
    <t>50A range receptacle</t>
  </si>
  <si>
    <t>Recessed clock receptacle</t>
  </si>
  <si>
    <t>Recessed TV receptacle box</t>
  </si>
  <si>
    <t>RV receptacle</t>
  </si>
  <si>
    <t>30A RV receptacle</t>
  </si>
  <si>
    <t>50A RV receptacle</t>
  </si>
  <si>
    <t>single receptacle</t>
  </si>
  <si>
    <t>20A single receptacle</t>
  </si>
  <si>
    <t>Single receptacle</t>
  </si>
  <si>
    <t>Surge-protective receptacle</t>
  </si>
  <si>
    <t>Switch/receptacle combo device</t>
  </si>
  <si>
    <t>Twist-lock receptacle</t>
  </si>
  <si>
    <t>USB combo receptacle</t>
  </si>
  <si>
    <t>Switches</t>
  </si>
  <si>
    <t>0-10V dimmer</t>
  </si>
  <si>
    <t>3-way dimmer</t>
  </si>
  <si>
    <t>3-way switch</t>
  </si>
  <si>
    <t>20A 3-way switch</t>
  </si>
  <si>
    <t>4-way switch</t>
  </si>
  <si>
    <t>20A 4-way switch</t>
  </si>
  <si>
    <t>Ceiling occupancy sensor, dual-tech</t>
  </si>
  <si>
    <t>Ceiling occupancy sensor, PIR</t>
  </si>
  <si>
    <t>Combination fan/light control</t>
  </si>
  <si>
    <t>Dimmer</t>
  </si>
  <si>
    <t>Door jamb switch</t>
  </si>
  <si>
    <t>Double switch</t>
  </si>
  <si>
    <t>double-pole switch</t>
  </si>
  <si>
    <t>30A double-pole switch</t>
  </si>
  <si>
    <t>Dual-tech occupancy sensor switch</t>
  </si>
  <si>
    <t>ELV dimmer</t>
  </si>
  <si>
    <t>Fan speed control</t>
  </si>
  <si>
    <t>Illuminated switch</t>
  </si>
  <si>
    <t>Key switch</t>
  </si>
  <si>
    <t>Low-voltage momentary switch</t>
  </si>
  <si>
    <t>MLV dimmer</t>
  </si>
  <si>
    <t>Momentary contact switch</t>
  </si>
  <si>
    <t>Motor-rated toggle switch</t>
  </si>
  <si>
    <t>Occupancy sensor switch</t>
  </si>
  <si>
    <t>Photocell</t>
  </si>
  <si>
    <t>Pilot-light switch</t>
  </si>
  <si>
    <t>Sensor power pack, 120/277V</t>
  </si>
  <si>
    <t>single-pole switch</t>
  </si>
  <si>
    <t>20A single-pole switch</t>
  </si>
  <si>
    <t>Single-pole switch</t>
  </si>
  <si>
    <t>Smart dimmer</t>
  </si>
  <si>
    <t>Smart switch</t>
  </si>
  <si>
    <t>Timer switch</t>
  </si>
  <si>
    <t>Triple switch</t>
  </si>
  <si>
    <t>Vacancy sensor switch</t>
  </si>
  <si>
    <t>Weatherproof toggle switch</t>
  </si>
  <si>
    <t>Wall Plates &amp; Misc</t>
  </si>
  <si>
    <t>1-gang blank plate</t>
  </si>
  <si>
    <t>2-gang blank plate</t>
  </si>
  <si>
    <t>2-gang wall plate</t>
  </si>
  <si>
    <t>3-gang blank plate</t>
  </si>
  <si>
    <t>3-gang wall plate</t>
  </si>
  <si>
    <t>4-gang blank plate</t>
  </si>
  <si>
    <t>4-gang wall plate</t>
  </si>
  <si>
    <t>5-gang wall plate</t>
  </si>
  <si>
    <t>6-gang wall plate</t>
  </si>
  <si>
    <t>Cable entry plate</t>
  </si>
  <si>
    <t>Device mounting screw</t>
  </si>
  <si>
    <t>Device shim</t>
  </si>
  <si>
    <t>Device wing bracket</t>
  </si>
  <si>
    <t>Duplex/toggle combo plate</t>
  </si>
  <si>
    <t>Jumbo wall plate</t>
  </si>
  <si>
    <t>Panel filler plate</t>
  </si>
  <si>
    <t>Screwless wall plate</t>
  </si>
  <si>
    <t>Stainless steel wall plate</t>
  </si>
  <si>
    <t>Stainless steel weatherproof cover</t>
  </si>
  <si>
    <t>Wall plate</t>
  </si>
  <si>
    <t>34 starters</t>
  </si>
  <si>
    <t>Wall plate gasket</t>
  </si>
  <si>
    <t>Wall plate screws</t>
  </si>
  <si>
    <t>Weatherproof flip cover</t>
  </si>
  <si>
    <t>Weatherproof in-use cover</t>
  </si>
  <si>
    <t>Weatherproof in-use cover, 2-gang</t>
  </si>
  <si>
    <t>Panels</t>
  </si>
  <si>
    <t>cartridge fuse</t>
  </si>
  <si>
    <t>30A cartridge fuse</t>
  </si>
  <si>
    <t>60A cartridge fuse</t>
  </si>
  <si>
    <t>100A cartridge fuse</t>
  </si>
  <si>
    <t>200A cartridge fuse</t>
  </si>
  <si>
    <t>400A cartridge fuse</t>
  </si>
  <si>
    <t>600A cartridge fuse</t>
  </si>
  <si>
    <t>Combination meter-main</t>
  </si>
  <si>
    <t>Feed-through lug kit</t>
  </si>
  <si>
    <t>fused disconnect, NEMA 1</t>
  </si>
  <si>
    <t>30A fused disconnect, NEMA 1</t>
  </si>
  <si>
    <t>60A fused disconnect, NEMA 1</t>
  </si>
  <si>
    <t>100A fused disconnect, NEMA 1</t>
  </si>
  <si>
    <t>200A fused disconnect, NEMA 1</t>
  </si>
  <si>
    <t>fused disconnect, NEMA 3R</t>
  </si>
  <si>
    <t>30A fused disconnect, NEMA 3R</t>
  </si>
  <si>
    <t>60A fused disconnect, NEMA 3R</t>
  </si>
  <si>
    <t>100A fused disconnect, NEMA 3R</t>
  </si>
  <si>
    <t>200A fused disconnect, NEMA 3R</t>
  </si>
  <si>
    <t>Generator-ready main panel</t>
  </si>
  <si>
    <t>GFCI spa disconnect</t>
  </si>
  <si>
    <t>50A GFCI spa disconnect</t>
  </si>
  <si>
    <t>60A GFCI spa disconnect</t>
  </si>
  <si>
    <t>main panel</t>
  </si>
  <si>
    <t>100A main panel</t>
  </si>
  <si>
    <t>125A main panel</t>
  </si>
  <si>
    <t>150A main panel</t>
  </si>
  <si>
    <t>200A main panel</t>
  </si>
  <si>
    <t>400A main panel</t>
  </si>
  <si>
    <t>main panel, 12-space</t>
  </si>
  <si>
    <t>60A main panel, 12-space</t>
  </si>
  <si>
    <t>100A main panel, 12-space</t>
  </si>
  <si>
    <t>main panel, 20-space</t>
  </si>
  <si>
    <t>100A main panel, 20-space</t>
  </si>
  <si>
    <t>125A main panel, 20-space</t>
  </si>
  <si>
    <t>main panel, 24-space</t>
  </si>
  <si>
    <t>100A main panel, 24-space</t>
  </si>
  <si>
    <t>125A main panel, 24-space</t>
  </si>
  <si>
    <t>main panel, 30-space</t>
  </si>
  <si>
    <t>125A main panel, 30-space</t>
  </si>
  <si>
    <t>150A main panel, 30-space</t>
  </si>
  <si>
    <t>200A main panel, 30-space</t>
  </si>
  <si>
    <t>main panel, 40-space</t>
  </si>
  <si>
    <t>150A main panel, 40-space</t>
  </si>
  <si>
    <t>200A main panel, 40-space</t>
  </si>
  <si>
    <t>main panel, 42-space</t>
  </si>
  <si>
    <t>200A main panel, 42-space</t>
  </si>
  <si>
    <t>225A main panel, 42-space</t>
  </si>
  <si>
    <t>400A main panel, 42-space</t>
  </si>
  <si>
    <t>main panel, 8-space</t>
  </si>
  <si>
    <t>60A main panel, 8-space</t>
  </si>
  <si>
    <t>main-lug sub-panel</t>
  </si>
  <si>
    <t>100A main-lug sub-panel</t>
  </si>
  <si>
    <t>125A main-lug sub-panel</t>
  </si>
  <si>
    <t>150A main-lug sub-panel</t>
  </si>
  <si>
    <t>200A main-lug sub-panel</t>
  </si>
  <si>
    <t>400A main-lug sub-panel</t>
  </si>
  <si>
    <t>main-lug sub-panel, 12-space</t>
  </si>
  <si>
    <t>60A main-lug sub-panel, 12-space</t>
  </si>
  <si>
    <t>100A main-lug sub-panel, 12-space</t>
  </si>
  <si>
    <t>main-lug sub-panel, 20-space</t>
  </si>
  <si>
    <t>100A main-lug sub-panel, 20-space</t>
  </si>
  <si>
    <t>125A main-lug sub-panel, 20-space</t>
  </si>
  <si>
    <t>main-lug sub-panel, 24-space</t>
  </si>
  <si>
    <t>100A main-lug sub-panel, 24-space</t>
  </si>
  <si>
    <t>125A main-lug sub-panel, 24-space</t>
  </si>
  <si>
    <t>main-lug sub-panel, 30-space</t>
  </si>
  <si>
    <t>125A main-lug sub-panel, 30-space</t>
  </si>
  <si>
    <t>150A main-lug sub-panel, 30-space</t>
  </si>
  <si>
    <t>200A main-lug sub-panel, 30-space</t>
  </si>
  <si>
    <t>main-lug sub-panel, 40-space</t>
  </si>
  <si>
    <t>150A main-lug sub-panel, 40-space</t>
  </si>
  <si>
    <t>200A main-lug sub-panel, 40-space</t>
  </si>
  <si>
    <t>main-lug sub-panel, 42-space</t>
  </si>
  <si>
    <t>200A main-lug sub-panel, 42-space</t>
  </si>
  <si>
    <t>225A main-lug sub-panel, 42-space</t>
  </si>
  <si>
    <t>400A main-lug sub-panel, 42-space</t>
  </si>
  <si>
    <t>main-lug sub-panel, 8-space</t>
  </si>
  <si>
    <t>60A main-lug sub-panel, 8-space</t>
  </si>
  <si>
    <t>meter base</t>
  </si>
  <si>
    <t>100A meter base</t>
  </si>
  <si>
    <t>200A meter base</t>
  </si>
  <si>
    <t>400A meter base</t>
  </si>
  <si>
    <t>meter hub</t>
  </si>
  <si>
    <t>2" meter hub</t>
  </si>
  <si>
    <t>non-fused disconnect, NEMA 1</t>
  </si>
  <si>
    <t>30A non-fused disconnect, NEMA 1</t>
  </si>
  <si>
    <t>60A non-fused disconnect, NEMA 1</t>
  </si>
  <si>
    <t>100A non-fused disconnect, NEMA 1</t>
  </si>
  <si>
    <t>200A non-fused disconnect, NEMA 1</t>
  </si>
  <si>
    <t>non-fused disconnect, NEMA 3R</t>
  </si>
  <si>
    <t>30A non-fused disconnect, NEMA 3R</t>
  </si>
  <si>
    <t>60A non-fused disconnect, NEMA 3R</t>
  </si>
  <si>
    <t>100A non-fused disconnect, NEMA 3R</t>
  </si>
  <si>
    <t>200A non-fused disconnect, NEMA 3R</t>
  </si>
  <si>
    <t>non-fused pullout disconnect</t>
  </si>
  <si>
    <t>60A non-fused pullout disconnect</t>
  </si>
  <si>
    <t>outdoor main panel</t>
  </si>
  <si>
    <t>100A outdoor main panel</t>
  </si>
  <si>
    <t>200A outdoor main panel</t>
  </si>
  <si>
    <t>Panel cover, flush</t>
  </si>
  <si>
    <t>Panel cover, surface</t>
  </si>
  <si>
    <t>Panel neutral bar</t>
  </si>
  <si>
    <t>Panel trim ring</t>
  </si>
  <si>
    <t>Panelboard interior only</t>
  </si>
  <si>
    <t>panelboard, 3-phase main, 42-space</t>
  </si>
  <si>
    <t>225A panelboard, 3-phase main, 42-space</t>
  </si>
  <si>
    <t>400A panelboard, 3-phase main, 42-space</t>
  </si>
  <si>
    <t>panelboard, 3-phase main-lug, 24-space</t>
  </si>
  <si>
    <t>100A panelboard, 3-phase main-lug, 24-space</t>
  </si>
  <si>
    <t>panelboard, 3-phase main-lug, 30-space</t>
  </si>
  <si>
    <t>125A panelboard, 3-phase main-lug, 30-space</t>
  </si>
  <si>
    <t>panelboard, 3-phase main-lug, 42-space</t>
  </si>
  <si>
    <t>225A panelboard, 3-phase main-lug, 42-space</t>
  </si>
  <si>
    <t>400A panelboard, 3-phase main-lug, 42-space</t>
  </si>
  <si>
    <t>Breakers</t>
  </si>
  <si>
    <t>15/15 tandem breaker</t>
  </si>
  <si>
    <t>15/20 tandem breaker</t>
  </si>
  <si>
    <t>2-Pole half-size breaker</t>
  </si>
  <si>
    <t>15A 2-Pole half-size breaker</t>
  </si>
  <si>
    <t>20A 2-Pole half-size breaker</t>
  </si>
  <si>
    <t>30A 2-Pole half-size breaker</t>
  </si>
  <si>
    <t>40A 2-Pole half-size breaker</t>
  </si>
  <si>
    <t>50A 2-Pole half-size breaker</t>
  </si>
  <si>
    <t>20/20 tandem breaker</t>
  </si>
  <si>
    <t>30/30 tandem breaker</t>
  </si>
  <si>
    <t>Single-Pole half-size breaker</t>
  </si>
  <si>
    <t>15A Single-Pole half-size breaker</t>
  </si>
  <si>
    <t>15A 1-Pole half-size breaker</t>
  </si>
  <si>
    <t>breakers say 1-Pole (owner Q1)</t>
  </si>
  <si>
    <t>20A Single-Pole half-size breaker</t>
  </si>
  <si>
    <t>20A 1-Pole half-size breaker</t>
  </si>
  <si>
    <t>30A Single-Pole half-size breaker</t>
  </si>
  <si>
    <t>30A 1-Pole half-size breaker</t>
  </si>
  <si>
    <t>Single-Pole breaker</t>
  </si>
  <si>
    <t>15A Single-Pole breaker</t>
  </si>
  <si>
    <t>15A 1-Pole breaker</t>
  </si>
  <si>
    <t>20A Single-Pole breaker</t>
  </si>
  <si>
    <t>20A 1-Pole breaker</t>
  </si>
  <si>
    <t>10 starters</t>
  </si>
  <si>
    <t>25A Single-Pole breaker</t>
  </si>
  <si>
    <t>25A 1-Pole breaker</t>
  </si>
  <si>
    <t>30A Single-Pole breaker</t>
  </si>
  <si>
    <t>30A 1-Pole breaker</t>
  </si>
  <si>
    <t>35A Single-Pole breaker</t>
  </si>
  <si>
    <t>35A 1-Pole breaker</t>
  </si>
  <si>
    <t>40A Single-Pole breaker</t>
  </si>
  <si>
    <t>40A 1-Pole breaker</t>
  </si>
  <si>
    <t>45A Single-Pole breaker</t>
  </si>
  <si>
    <t>45A 1-Pole breaker</t>
  </si>
  <si>
    <t>50A Single-Pole breaker</t>
  </si>
  <si>
    <t>50A 1-Pole breaker</t>
  </si>
  <si>
    <t>Single-Pole AFCI breaker</t>
  </si>
  <si>
    <t>15A Single-Pole AFCI breaker</t>
  </si>
  <si>
    <t>15A 1-Pole AFCI breaker</t>
  </si>
  <si>
    <t>20A Single-Pole AFCI breaker</t>
  </si>
  <si>
    <t>20A 1-Pole AFCI breaker</t>
  </si>
  <si>
    <t>25A Single-Pole AFCI breaker</t>
  </si>
  <si>
    <t>25A 1-Pole AFCI breaker</t>
  </si>
  <si>
    <t>30A Single-Pole AFCI breaker</t>
  </si>
  <si>
    <t>30A 1-Pole AFCI breaker</t>
  </si>
  <si>
    <t>Single-Pole GFCI breaker</t>
  </si>
  <si>
    <t>15A Single-Pole GFCI breaker</t>
  </si>
  <si>
    <t>15A 1-Pole GFCI breaker</t>
  </si>
  <si>
    <t>20A Single-Pole GFCI breaker</t>
  </si>
  <si>
    <t>20A 1-Pole GFCI breaker</t>
  </si>
  <si>
    <t>30A Single-Pole GFCI breaker</t>
  </si>
  <si>
    <t>30A 1-Pole GFCI breaker</t>
  </si>
  <si>
    <t>Single-Pole AFCI/GFCI combo breaker</t>
  </si>
  <si>
    <t>15A Single-Pole AFCI/GFCI combo breaker</t>
  </si>
  <si>
    <t>15A 1-Pole AFCI/GFCI combo breaker</t>
  </si>
  <si>
    <t>20A Single-Pole AFCI/GFCI combo breaker</t>
  </si>
  <si>
    <t>20A 1-Pole AFCI/GFCI combo breaker</t>
  </si>
  <si>
    <t>2-Pole breaker</t>
  </si>
  <si>
    <t>15A 2-Pole breaker</t>
  </si>
  <si>
    <t>20A 2-Pole breaker</t>
  </si>
  <si>
    <t>25A 2-Pole breaker</t>
  </si>
  <si>
    <t>30A 2-Pole breaker</t>
  </si>
  <si>
    <t>35A 2-Pole breaker</t>
  </si>
  <si>
    <t>40A 2-Pole breaker</t>
  </si>
  <si>
    <t>45A 2-Pole breaker</t>
  </si>
  <si>
    <t>50A 2-Pole breaker</t>
  </si>
  <si>
    <t>60A 2-Pole breaker</t>
  </si>
  <si>
    <t>70A 2-Pole breaker</t>
  </si>
  <si>
    <t>80A 2-Pole breaker</t>
  </si>
  <si>
    <t>90A 2-Pole breaker</t>
  </si>
  <si>
    <t>100A 2-Pole breaker</t>
  </si>
  <si>
    <t>110A 2-Pole breaker</t>
  </si>
  <si>
    <t>125A 2-Pole breaker</t>
  </si>
  <si>
    <t>2-Pole quad breaker</t>
  </si>
  <si>
    <t>15A 2-Pole quad breaker</t>
  </si>
  <si>
    <t>20A 2-Pole quad breaker</t>
  </si>
  <si>
    <t>Shunt-trip breaker, 2-Pole</t>
  </si>
  <si>
    <t>2-Pole AFCI breaker</t>
  </si>
  <si>
    <t>20A 2-Pole AFCI breaker</t>
  </si>
  <si>
    <t>30A 2-Pole AFCI breaker</t>
  </si>
  <si>
    <t>2-Pole GFCI breaker</t>
  </si>
  <si>
    <t>20A 2-Pole GFCI breaker</t>
  </si>
  <si>
    <t>30A 2-Pole GFCI breaker</t>
  </si>
  <si>
    <t>40A 2-Pole GFCI breaker</t>
  </si>
  <si>
    <t>50A 2-Pole GFCI breaker</t>
  </si>
  <si>
    <t>60A 2-Pole GFCI breaker</t>
  </si>
  <si>
    <t>2-Pole AFCI/GFCI combo breaker</t>
  </si>
  <si>
    <t>20A 2-Pole AFCI/GFCI combo breaker</t>
  </si>
  <si>
    <t>30A 2-Pole AFCI/GFCI combo breaker</t>
  </si>
  <si>
    <t>3-Pole breaker</t>
  </si>
  <si>
    <t>15A 3-Pole breaker</t>
  </si>
  <si>
    <t>20A 3-Pole breaker</t>
  </si>
  <si>
    <t>25A 3-Pole breaker</t>
  </si>
  <si>
    <t>30A 3-Pole breaker</t>
  </si>
  <si>
    <t>35A 3-Pole breaker</t>
  </si>
  <si>
    <t>40A 3-Pole breaker</t>
  </si>
  <si>
    <t>45A 3-Pole breaker</t>
  </si>
  <si>
    <t>50A 3-Pole breaker</t>
  </si>
  <si>
    <t>60A 3-Pole breaker</t>
  </si>
  <si>
    <t>70A 3-Pole breaker</t>
  </si>
  <si>
    <t>80A 3-Pole breaker</t>
  </si>
  <si>
    <t>90A 3-Pole breaker</t>
  </si>
  <si>
    <t>100A 3-Pole breaker</t>
  </si>
  <si>
    <t>125A 3-Pole breaker</t>
  </si>
  <si>
    <t>150A 3-Pole breaker</t>
  </si>
  <si>
    <t>200A 3-Pole breaker</t>
  </si>
  <si>
    <t>Shunt-trip breaker, 3-Pole</t>
  </si>
  <si>
    <t>Breaker handle tie</t>
  </si>
  <si>
    <t>Breaker hold-down kit</t>
  </si>
  <si>
    <t>Breaker lock-off</t>
  </si>
  <si>
    <t>Breaker-style surge protective device</t>
  </si>
  <si>
    <t>Sub-feed breaker kit</t>
  </si>
  <si>
    <t>Lighting Hardware</t>
  </si>
  <si>
    <t>adjustable trim</t>
  </si>
  <si>
    <t>4" adjustable trim</t>
  </si>
  <si>
    <t>6" adjustable trim</t>
  </si>
  <si>
    <t>baffle trim</t>
  </si>
  <si>
    <t>4" baffle trim</t>
  </si>
  <si>
    <t>6" baffle trim</t>
  </si>
  <si>
    <t>Bollard light</t>
  </si>
  <si>
    <t>Ceiling fan</t>
  </si>
  <si>
    <t>Chandelier</t>
  </si>
  <si>
    <t>Daylight sensor</t>
  </si>
  <si>
    <t>Emergency battery backup pack</t>
  </si>
  <si>
    <t>Emergency light</t>
  </si>
  <si>
    <t>Emergency light remote head</t>
  </si>
  <si>
    <t>Exit sign</t>
  </si>
  <si>
    <t>Exit sign, double face</t>
  </si>
  <si>
    <t>eyeball trim</t>
  </si>
  <si>
    <t>4" eyeball trim</t>
  </si>
  <si>
    <t>6" eyeball trim</t>
  </si>
  <si>
    <t>Fixture mounting bracket</t>
  </si>
  <si>
    <t>Flood light</t>
  </si>
  <si>
    <t>gimbal trim</t>
  </si>
  <si>
    <t>4" gimbal trim</t>
  </si>
  <si>
    <t>6" gimbal trim</t>
  </si>
  <si>
    <t>High bay</t>
  </si>
  <si>
    <t>In-ground splice box</t>
  </si>
  <si>
    <t>Landscape hub connector</t>
  </si>
  <si>
    <t>Landscape light stake</t>
  </si>
  <si>
    <t>LED A19 bulb, 60W equivalent</t>
  </si>
  <si>
    <t>LED A21 bulb, 100W equivalent</t>
  </si>
  <si>
    <t>LED area light</t>
  </si>
  <si>
    <t>LED BR30 flood bulb</t>
  </si>
  <si>
    <t>LED BR40 flood bulb</t>
  </si>
  <si>
    <t>LED candelabra bulb, E12</t>
  </si>
  <si>
    <t>LED canopy light</t>
  </si>
  <si>
    <t>LED corn bulb, E26</t>
  </si>
  <si>
    <t>LED corn bulb, E39</t>
  </si>
  <si>
    <t>LED cylinder downlight</t>
  </si>
  <si>
    <t>LED disc light</t>
  </si>
  <si>
    <t>4" LED disc light</t>
  </si>
  <si>
    <t>5"/6" LED disc light</t>
  </si>
  <si>
    <t>LED G25 globe bulb</t>
  </si>
  <si>
    <t>LED mirror light</t>
  </si>
  <si>
    <t>LED PAR20 bulb</t>
  </si>
  <si>
    <t>LED PAR30 bulb</t>
  </si>
  <si>
    <t>LED PAR38 bulb</t>
  </si>
  <si>
    <t>LED pendant fixture</t>
  </si>
  <si>
    <t>LED PL-pin lamp, G24</t>
  </si>
  <si>
    <t>LED retrofit trim</t>
  </si>
  <si>
    <t>4" LED retrofit trim</t>
  </si>
  <si>
    <t>5"/6" LED retrofit trim</t>
  </si>
  <si>
    <t>LED security light, dusk-to-dawn</t>
  </si>
  <si>
    <t>LED security light, motion-activated, 2-head</t>
  </si>
  <si>
    <t>LED security light, motion-activated, 3-head</t>
  </si>
  <si>
    <t>LED step light</t>
  </si>
  <si>
    <t>LED strip fixture</t>
  </si>
  <si>
    <t>2 ft LED strip fixture</t>
  </si>
  <si>
    <t>4 ft LED strip fixture</t>
  </si>
  <si>
    <t>8 ft LED strip fixture</t>
  </si>
  <si>
    <t>LED T8 tube, ballast bypass</t>
  </si>
  <si>
    <t>2 ft LED T8 tube, ballast bypass</t>
  </si>
  <si>
    <t>4 ft LED T8 tube, ballast bypass</t>
  </si>
  <si>
    <t>LED T8 tube, ballast bypass, HO</t>
  </si>
  <si>
    <t>8 ft LED T8 tube, ballast bypass, HO</t>
  </si>
  <si>
    <t>LED T8 tube, ballast bypass, single-pin</t>
  </si>
  <si>
    <t>8 ft LED T8 tube, ballast bypass, single-pin</t>
  </si>
  <si>
    <t>LED T8 tube, ballast compatible</t>
  </si>
  <si>
    <t>2 ft LED T8 tube, ballast compatible</t>
  </si>
  <si>
    <t>4 ft LED T8 tube, ballast compatible</t>
  </si>
  <si>
    <t>LED tape light</t>
  </si>
  <si>
    <t>LED tape light power supply</t>
  </si>
  <si>
    <t>LED troffer</t>
  </si>
  <si>
    <t>1x4 LED troffer</t>
  </si>
  <si>
    <t>2x2 LED troffer</t>
  </si>
  <si>
    <t>2x4 LED troffer</t>
  </si>
  <si>
    <t>LED troffer retrofit kit</t>
  </si>
  <si>
    <t>LED wall sconce</t>
  </si>
  <si>
    <t>LED wraparound</t>
  </si>
  <si>
    <t>4 ft LED wraparound</t>
  </si>
  <si>
    <t>8 ft LED wraparound</t>
  </si>
  <si>
    <t>light pole</t>
  </si>
  <si>
    <t>12 ft light pole</t>
  </si>
  <si>
    <t>20 ft light pole</t>
  </si>
  <si>
    <t>30 ft light pole</t>
  </si>
  <si>
    <t>lighting track</t>
  </si>
  <si>
    <t>4 ft lighting track</t>
  </si>
  <si>
    <t>6 ft lighting track</t>
  </si>
  <si>
    <t>8 ft lighting track</t>
  </si>
  <si>
    <t>MC whip</t>
  </si>
  <si>
    <t>4 ft MC whip</t>
  </si>
  <si>
    <t>6ft MC whip</t>
  </si>
  <si>
    <t>6 ft MC whip</t>
  </si>
  <si>
    <t>space between size and unit</t>
  </si>
  <si>
    <t>6 starters</t>
  </si>
  <si>
    <t>8 ft MC whip</t>
  </si>
  <si>
    <t>Non-shunted lampholder</t>
  </si>
  <si>
    <t>Occupancy sensor, high bay</t>
  </si>
  <si>
    <t>open trim</t>
  </si>
  <si>
    <t>4" open trim</t>
  </si>
  <si>
    <t>6" open trim</t>
  </si>
  <si>
    <t>Pole anchor bolt kit</t>
  </si>
  <si>
    <t>Pole base cover</t>
  </si>
  <si>
    <t>Pole base grout</t>
  </si>
  <si>
    <t>Pole handhole cover</t>
  </si>
  <si>
    <t>Pole mounting arm</t>
  </si>
  <si>
    <t>Pole wire harness</t>
  </si>
  <si>
    <t>Recessed can conversion kit</t>
  </si>
  <si>
    <t>recessed can, airtight shallow</t>
  </si>
  <si>
    <t>4" recessed can, airtight shallow</t>
  </si>
  <si>
    <t>6" recessed can, airtight shallow</t>
  </si>
  <si>
    <t>recessed can, new construction IC</t>
  </si>
  <si>
    <t>4" recessed can, new construction IC</t>
  </si>
  <si>
    <t>6" recessed can, new construction IC</t>
  </si>
  <si>
    <t>recessed can, new construction non-IC</t>
  </si>
  <si>
    <t>4" recessed can, new construction non-IC</t>
  </si>
  <si>
    <t>6" recessed can, new construction non-IC</t>
  </si>
  <si>
    <t>recessed can, remodel IC</t>
  </si>
  <si>
    <t>4" recessed can, remodel IC</t>
  </si>
  <si>
    <t>6" recessed can, remodel IC</t>
  </si>
  <si>
    <t>recessed can, remodel non-IC</t>
  </si>
  <si>
    <t>4" recessed can, remodel non-IC</t>
  </si>
  <si>
    <t>6" recessed can, remodel non-IC</t>
  </si>
  <si>
    <t>recessed can, sloped ceiling</t>
  </si>
  <si>
    <t>4" recessed can, sloped ceiling</t>
  </si>
  <si>
    <t>6" recessed can, sloped ceiling</t>
  </si>
  <si>
    <t>reflector trim</t>
  </si>
  <si>
    <t>4" reflector trim</t>
  </si>
  <si>
    <t>6" reflector trim</t>
  </si>
  <si>
    <t>Semi-flush ceiling fixture</t>
  </si>
  <si>
    <t>shower wet-rated trim</t>
  </si>
  <si>
    <t>4" shower wet-rated trim</t>
  </si>
  <si>
    <t>6" shower wet-rated trim</t>
  </si>
  <si>
    <t>Surface-mount ceiling fixture</t>
  </si>
  <si>
    <t>Tape light channel</t>
  </si>
  <si>
    <t>Temporary light string</t>
  </si>
  <si>
    <t>Temporary light string, 100 ft</t>
  </si>
  <si>
    <t>Tenon adapter</t>
  </si>
  <si>
    <t>Track light connector</t>
  </si>
  <si>
    <t>Track light end feed</t>
  </si>
  <si>
    <t>Track light head</t>
  </si>
  <si>
    <t>under-cabinet light bar</t>
  </si>
  <si>
    <t>12" under-cabinet light bar</t>
  </si>
  <si>
    <t>18" under-cabinet light bar</t>
  </si>
  <si>
    <t>24" under-cabinet light bar</t>
  </si>
  <si>
    <t>36" under-cabinet light bar</t>
  </si>
  <si>
    <t>Vanity light bar</t>
  </si>
  <si>
    <t>Vanity light, 1-light</t>
  </si>
  <si>
    <t>Vanity light, 2-light</t>
  </si>
  <si>
    <t>Vanity light, 3-light</t>
  </si>
  <si>
    <t>Vanity light, 4-light</t>
  </si>
  <si>
    <t>vapor tight fixture</t>
  </si>
  <si>
    <t>4 ft vapor tight fixture</t>
  </si>
  <si>
    <t>8 ft vapor tight fixture</t>
  </si>
  <si>
    <t>wafer LED downlight</t>
  </si>
  <si>
    <t>4" wafer LED downlight</t>
  </si>
  <si>
    <t>4" canless wafer LED downlight</t>
  </si>
  <si>
    <t>owner's decision on the review sheet</t>
  </si>
  <si>
    <t>5"/6" wafer LED downlight</t>
  </si>
  <si>
    <t>6" canless wafer LED downlight</t>
  </si>
  <si>
    <t>Wall pack</t>
  </si>
  <si>
    <t>Wall pack, full cutoff</t>
  </si>
  <si>
    <t>Wall pack, large</t>
  </si>
  <si>
    <t>Wall pack, mini</t>
  </si>
  <si>
    <t>Grounding &amp; Bonding</t>
  </si>
  <si>
    <t>Bonding jumper</t>
  </si>
  <si>
    <t>Exothermic weld mold</t>
  </si>
  <si>
    <t>Exothermic weld powder</t>
  </si>
  <si>
    <t>Ground bar kit</t>
  </si>
  <si>
    <t>Ground lug, compression</t>
  </si>
  <si>
    <t>Ground lug, mechanical</t>
  </si>
  <si>
    <t>Ground plate electrode</t>
  </si>
  <si>
    <t>Ground rod</t>
  </si>
  <si>
    <t>Ground rod, 8 ft</t>
  </si>
  <si>
    <t>Ground rod, 5/8" x 8 ft</t>
  </si>
  <si>
    <t>Ground rod, 10 ft</t>
  </si>
  <si>
    <t>Ground rod, 5/8" x 10 ft</t>
  </si>
  <si>
    <t>Ground rod clamp</t>
  </si>
  <si>
    <t>Ground rod coupling</t>
  </si>
  <si>
    <t>Ground rod driving stud</t>
  </si>
  <si>
    <t>Ground rod, 3/4" x 10 ft</t>
  </si>
  <si>
    <t>Ground wire staple</t>
  </si>
  <si>
    <t>Grounding bushing</t>
  </si>
  <si>
    <t>Grounding pigtail</t>
  </si>
  <si>
    <t>12 starters</t>
  </si>
  <si>
    <t>Grounding screw</t>
  </si>
  <si>
    <t>Intersystem bonding bridge</t>
  </si>
  <si>
    <t>Rebar ground clamp</t>
  </si>
  <si>
    <t>Water pipe bonding clamp</t>
  </si>
  <si>
    <t>Life Safety</t>
  </si>
  <si>
    <t>Addressable module</t>
  </si>
  <si>
    <t>Beam detector</t>
  </si>
  <si>
    <t>Detector base</t>
  </si>
  <si>
    <t>Detector mounting bracket</t>
  </si>
  <si>
    <t>Detector relay module</t>
  </si>
  <si>
    <t>Detector wiring harness</t>
  </si>
  <si>
    <t>Duct smoke detector</t>
  </si>
  <si>
    <t>Emergency exit light combo</t>
  </si>
  <si>
    <t>End-of-line resistor</t>
  </si>
  <si>
    <t>Fire alarm battery</t>
  </si>
  <si>
    <t>Fire alarm control panel</t>
  </si>
  <si>
    <t>Fire alarm horn/strobe</t>
  </si>
  <si>
    <t>Fire alarm pull station</t>
  </si>
  <si>
    <t>Fire alarm relay module</t>
  </si>
  <si>
    <t>Fire alarm remote annunciator</t>
  </si>
  <si>
    <t>Fire alarm speaker/strobe</t>
  </si>
  <si>
    <t>Fire alarm strobe</t>
  </si>
  <si>
    <t>Hardwired CO detector</t>
  </si>
  <si>
    <t>Hardwired smoke detector</t>
  </si>
  <si>
    <t>Hardwired smoke detector, 10-year</t>
  </si>
  <si>
    <t>Hardwired smoke/CO detector</t>
  </si>
  <si>
    <t>Heat detector</t>
  </si>
  <si>
    <t>Rapid-entry key box</t>
  </si>
  <si>
    <t>System smoke detector</t>
  </si>
  <si>
    <t>Low Voltage</t>
  </si>
  <si>
    <t>14/2 speaker wire</t>
  </si>
  <si>
    <t>14/2 speaker wire Copper</t>
  </si>
  <si>
    <t>metal at the end (Q4: yes)</t>
  </si>
  <si>
    <t>150W landscape transformer</t>
  </si>
  <si>
    <t>16/2 speaker wire</t>
  </si>
  <si>
    <t>16/2 speaker wire Copper</t>
  </si>
  <si>
    <t>18/2 control wire</t>
  </si>
  <si>
    <t>18/2 control wire Copper</t>
  </si>
  <si>
    <t>18/3 control wire</t>
  </si>
  <si>
    <t>18/3 control wire Copper</t>
  </si>
  <si>
    <t>18/4 control wire</t>
  </si>
  <si>
    <t>18/4 control wire Copper</t>
  </si>
  <si>
    <t>18/5 control wire</t>
  </si>
  <si>
    <t>18/5 control wire Copper</t>
  </si>
  <si>
    <t>18/8 control wire</t>
  </si>
  <si>
    <t>18/8 control wire Copper</t>
  </si>
  <si>
    <t>22/2 security cable</t>
  </si>
  <si>
    <t>22/2 security cable Copper</t>
  </si>
  <si>
    <t>22/4 security cable</t>
  </si>
  <si>
    <t>22/4 security cable Copper</t>
  </si>
  <si>
    <t>300W landscape transformer</t>
  </si>
  <si>
    <t>600W landscape transformer</t>
  </si>
  <si>
    <t>Cat5e cable</t>
  </si>
  <si>
    <t>Cat5e cable Copper</t>
  </si>
  <si>
    <t>Cat5e jack</t>
  </si>
  <si>
    <t>Cat5e patch panel</t>
  </si>
  <si>
    <t>Cat6 cable</t>
  </si>
  <si>
    <t>Cat6 cable Copper</t>
  </si>
  <si>
    <t>Cat6 jack</t>
  </si>
  <si>
    <t>Cat6 patch cord</t>
  </si>
  <si>
    <t>Cat6 patch cord, 3 ft</t>
  </si>
  <si>
    <t>Cat6 patch cord, 7 ft</t>
  </si>
  <si>
    <t>Cat6 patch panel</t>
  </si>
  <si>
    <t>Cat6 RJ45 end</t>
  </si>
  <si>
    <t>Cat6 shielded cable</t>
  </si>
  <si>
    <t>Cat6 shielded cable Copper</t>
  </si>
  <si>
    <t>Cat6A cable</t>
  </si>
  <si>
    <t>Cat6A cable Copper</t>
  </si>
  <si>
    <t>Cat6A jack</t>
  </si>
  <si>
    <t>Chime extender kit</t>
  </si>
  <si>
    <t>Coax amplifier</t>
  </si>
  <si>
    <t>Coax F connector</t>
  </si>
  <si>
    <t>Coax ground block</t>
  </si>
  <si>
    <t>Coax splitter</t>
  </si>
  <si>
    <t>Coax wall plate</t>
  </si>
  <si>
    <t>D-ring cable guide</t>
  </si>
  <si>
    <t>Doorbell button</t>
  </si>
  <si>
    <t>Doorbell chime, wired</t>
  </si>
  <si>
    <t>Doorbell chime, wireless</t>
  </si>
  <si>
    <t>Doorbell diode</t>
  </si>
  <si>
    <t>Fiber optic cable</t>
  </si>
  <si>
    <t>Fiber patch panel</t>
  </si>
  <si>
    <t>HDMI wall plate</t>
  </si>
  <si>
    <t>Hook-and-loop cable strap</t>
  </si>
  <si>
    <t>Horizontal cable manager</t>
  </si>
  <si>
    <t>In-ceiling speaker</t>
  </si>
  <si>
    <t>Keypad mounting plate</t>
  </si>
  <si>
    <t>Keystone wall plate, 1-port</t>
  </si>
  <si>
    <t>Keystone wall plate, 2-port</t>
  </si>
  <si>
    <t>Keystone wall plate, 4-port</t>
  </si>
  <si>
    <t>Keystone wall plate, 6-port</t>
  </si>
  <si>
    <t>Landscape light fixture</t>
  </si>
  <si>
    <t>Landscape lighting cable</t>
  </si>
  <si>
    <t>Landscape lighting cable Copper</t>
  </si>
  <si>
    <t>Lighted doorbell button</t>
  </si>
  <si>
    <t>Network rack, wall mount</t>
  </si>
  <si>
    <t>NVR enclosure</t>
  </si>
  <si>
    <t>Patch panel blank</t>
  </si>
  <si>
    <t>Rack shelf</t>
  </si>
  <si>
    <t>RG11 coax cable</t>
  </si>
  <si>
    <t>RG11 coax cable Copper</t>
  </si>
  <si>
    <t>RG6 coax cable</t>
  </si>
  <si>
    <t>RG6 coax cable Copper</t>
  </si>
  <si>
    <t>Security camera cable</t>
  </si>
  <si>
    <t>Security camera cable Copper</t>
  </si>
  <si>
    <t>Security camera, bullet</t>
  </si>
  <si>
    <t>Security camera, dome</t>
  </si>
  <si>
    <t>Speaker wall plate</t>
  </si>
  <si>
    <t>Structured media enclosure</t>
  </si>
  <si>
    <t>Thermostat wall plate</t>
  </si>
  <si>
    <t>Vertical cable manager</t>
  </si>
  <si>
    <t>Video doorbell</t>
  </si>
  <si>
    <t>Video doorbell chime kit</t>
  </si>
  <si>
    <t>Volume control</t>
  </si>
  <si>
    <t>Connectors &amp; Terminations</t>
  </si>
  <si>
    <t>Butt splice</t>
  </si>
  <si>
    <t>cable connector</t>
  </si>
  <si>
    <t>3/8" cable connector</t>
  </si>
  <si>
    <t>1/2" cable connector</t>
  </si>
  <si>
    <t>3/4" cable connector</t>
  </si>
  <si>
    <t>1" cable connector</t>
  </si>
  <si>
    <t>Cable staple</t>
  </si>
  <si>
    <t>Cord grip</t>
  </si>
  <si>
    <t>crimp lug</t>
  </si>
  <si>
    <t>14-10 AWG crimp lug</t>
  </si>
  <si>
    <t>8-6 AWG crimp lug</t>
  </si>
  <si>
    <t>4-2 AWG crimp lug</t>
  </si>
  <si>
    <t>1-1/0 AWG crimp lug</t>
  </si>
  <si>
    <t>2/0-4/0 AWG crimp lug</t>
  </si>
  <si>
    <t>250-350 kcmil crimp lug</t>
  </si>
  <si>
    <t>crimp lug, single size</t>
  </si>
  <si>
    <t>400 kcmil crimp lug, single size</t>
  </si>
  <si>
    <t>500 kcmil crimp lug, single size</t>
  </si>
  <si>
    <t>crimp sleeve</t>
  </si>
  <si>
    <t>#2 crimp sleeve</t>
  </si>
  <si>
    <t>#4/0 crimp sleeve</t>
  </si>
  <si>
    <t>4/0 crimp sleeve</t>
  </si>
  <si>
    <t>aughts written without "#" (owner)</t>
  </si>
  <si>
    <t>DIN rail</t>
  </si>
  <si>
    <t>Ferrule kit</t>
  </si>
  <si>
    <t>H-tap</t>
  </si>
  <si>
    <t>Insulated multi-tap block</t>
  </si>
  <si>
    <t>Lever wire connector, 2-port</t>
  </si>
  <si>
    <t>Lever wire connector, 3-port</t>
  </si>
  <si>
    <t>Lever wire connector, 5-port</t>
  </si>
  <si>
    <t>MC anti-short bushing</t>
  </si>
  <si>
    <t>23 starters</t>
  </si>
  <si>
    <t>MC connector</t>
  </si>
  <si>
    <t>3/8" MC connector</t>
  </si>
  <si>
    <t>1/2" MC connector</t>
  </si>
  <si>
    <t>3/4" MC connector</t>
  </si>
  <si>
    <t>1" MC connector</t>
  </si>
  <si>
    <t>Push-in wire connector</t>
  </si>
  <si>
    <t>Ring terminal</t>
  </si>
  <si>
    <t>SE cable connector</t>
  </si>
  <si>
    <t>2" SE cable connector</t>
  </si>
  <si>
    <t>Spade terminal</t>
  </si>
  <si>
    <t>Split-bolt connector</t>
  </si>
  <si>
    <t>Terminal block</t>
  </si>
  <si>
    <t>Wire nuts</t>
  </si>
  <si>
    <t>103 starters</t>
  </si>
  <si>
    <t>Wire nuts, large</t>
  </si>
  <si>
    <t>Wire nuts, small</t>
  </si>
  <si>
    <t>Strut &amp; Supports</t>
  </si>
  <si>
    <t>all-thread rod, 10 ft</t>
  </si>
  <si>
    <t>3/8" all-thread rod, 10 ft</t>
  </si>
  <si>
    <t>1/2" all-thread rod, 10 ft</t>
  </si>
  <si>
    <t>1/4" all-thread rod, 10 ft</t>
  </si>
  <si>
    <t>5/8" all-thread rod, 10 ft</t>
  </si>
  <si>
    <t>conduit clip</t>
  </si>
  <si>
    <t>1/2" conduit clip</t>
  </si>
  <si>
    <t>3/4" conduit clip</t>
  </si>
  <si>
    <t>flat washer</t>
  </si>
  <si>
    <t>3/8" flat washer</t>
  </si>
  <si>
    <t>1/2" flat washer</t>
  </si>
  <si>
    <t>1/4" flat washer</t>
  </si>
  <si>
    <t>5/8" flat washer</t>
  </si>
  <si>
    <t>Grid box bracket</t>
  </si>
  <si>
    <t>hex nut</t>
  </si>
  <si>
    <t>3/8" hex nut</t>
  </si>
  <si>
    <t>1/2" hex nut</t>
  </si>
  <si>
    <t>1/4" hex nut</t>
  </si>
  <si>
    <t>5/8" hex nut</t>
  </si>
  <si>
    <t>Independent support wire clip</t>
  </si>
  <si>
    <t>lock washer</t>
  </si>
  <si>
    <t>3/8" lock washer</t>
  </si>
  <si>
    <t>1/2" lock washer</t>
  </si>
  <si>
    <t>1/4" lock washer</t>
  </si>
  <si>
    <t>5/8" lock washer</t>
  </si>
  <si>
    <t>MC one-hole strap, large</t>
  </si>
  <si>
    <t>MC one-hole strap, small</t>
  </si>
  <si>
    <t>rod coupler</t>
  </si>
  <si>
    <t>3/8" rod coupler</t>
  </si>
  <si>
    <t>1/2" rod coupler</t>
  </si>
  <si>
    <t>1/4" rod coupler</t>
  </si>
  <si>
    <t>5/8" rod coupler</t>
  </si>
  <si>
    <t>Strut angle bracket</t>
  </si>
  <si>
    <t>Strut channel nut</t>
  </si>
  <si>
    <t>strut conduit strap</t>
  </si>
  <si>
    <t>1/2" strut conduit strap</t>
  </si>
  <si>
    <t>3/4" strut conduit strap</t>
  </si>
  <si>
    <t>1" strut conduit strap</t>
  </si>
  <si>
    <t>1-1/4" strut conduit strap</t>
  </si>
  <si>
    <t>1-1/2" strut conduit strap</t>
  </si>
  <si>
    <t>2" strut conduit strap</t>
  </si>
  <si>
    <t>2-1/2" strut conduit strap</t>
  </si>
  <si>
    <t>3" strut conduit strap</t>
  </si>
  <si>
    <t>4" strut conduit strap</t>
  </si>
  <si>
    <t>Strut end cap</t>
  </si>
  <si>
    <t>Strut flat plate</t>
  </si>
  <si>
    <t>Strut post base</t>
  </si>
  <si>
    <t>Strut wing connector</t>
  </si>
  <si>
    <t>T-bar grid clip</t>
  </si>
  <si>
    <t>Temporary pole, 6x6 post</t>
  </si>
  <si>
    <t>Threaded rod stiffener</t>
  </si>
  <si>
    <t>Trapeze hanger kit</t>
  </si>
  <si>
    <t>x 1-1/4" strut channel, 10 ft</t>
  </si>
  <si>
    <t>1-1/4" x 1-1/4" strut channel, 10 ft</t>
  </si>
  <si>
    <t>1-5/8" x 1-1/4" strut channel, 10 ft</t>
  </si>
  <si>
    <t>x 1-5/8" strut channel, 10 ft</t>
  </si>
  <si>
    <t>1-5/8" x 1-5/8" strut channel, 10 ft</t>
  </si>
  <si>
    <t>x 13/16" strut channel, 10 ft</t>
  </si>
  <si>
    <t>1-5/8" x 13/16" strut channel, 10 ft</t>
  </si>
  <si>
    <t>x 3-1/4" strut channel, 10 ft</t>
  </si>
  <si>
    <t>1-5/8" x 3-1/4" strut channel, 10 ft</t>
  </si>
  <si>
    <t>Fasteners &amp; Anchors</t>
  </si>
  <si>
    <t>Beam clamp</t>
  </si>
  <si>
    <t>Ceiling support wire</t>
  </si>
  <si>
    <t>Concrete wedge anchor</t>
  </si>
  <si>
    <t>Conduit hanger with bolt</t>
  </si>
  <si>
    <t>Drop-in anchor</t>
  </si>
  <si>
    <t>Drywall anchor</t>
  </si>
  <si>
    <t>J-hook</t>
  </si>
  <si>
    <t>Masonry screw</t>
  </si>
  <si>
    <t>Plastic conduit clip</t>
  </si>
  <si>
    <t>Powder-actuated pin</t>
  </si>
  <si>
    <t>Rod hanger clip</t>
  </si>
  <si>
    <t>Self-drilling screw</t>
  </si>
  <si>
    <t>Sleeve anchor</t>
  </si>
  <si>
    <t>Toggle bolt</t>
  </si>
  <si>
    <t>Equipment &amp; Appliances</t>
  </si>
  <si>
    <t>AC condenser whip</t>
  </si>
  <si>
    <t>Attic fan</t>
  </si>
  <si>
    <t>Attic fan thermostat</t>
  </si>
  <si>
    <t>backdraft damper</t>
  </si>
  <si>
    <t>4" backdraft damper</t>
  </si>
  <si>
    <t>6" backdraft damper</t>
  </si>
  <si>
    <t>Baseboard heater</t>
  </si>
  <si>
    <t>Baseboard heater thermostat</t>
  </si>
  <si>
    <t>Bath exhaust fan</t>
  </si>
  <si>
    <t>Bath exhaust fan, 50 CFM</t>
  </si>
  <si>
    <t>Bath exhaust fan, 80 CFM</t>
  </si>
  <si>
    <t>Bath exhaust fan, 110 CFM</t>
  </si>
  <si>
    <t>Bath exhaust fan, 150 CFM</t>
  </si>
  <si>
    <t>Bath exhaust fan, heater combo</t>
  </si>
  <si>
    <t>Bath exhaust fan, light combo</t>
  </si>
  <si>
    <t>Ceiling fan remote kit</t>
  </si>
  <si>
    <t>Dishwasher whip</t>
  </si>
  <si>
    <t>Doorbell transformer</t>
  </si>
  <si>
    <t>Dryer cord, 3-wire</t>
  </si>
  <si>
    <t>Dryer cord, 4-wire</t>
  </si>
  <si>
    <t>Duct clamp</t>
  </si>
  <si>
    <t>EV charger</t>
  </si>
  <si>
    <t>32A EV charger</t>
  </si>
  <si>
    <t>40A EV charger</t>
  </si>
  <si>
    <t>48A EV charger</t>
  </si>
  <si>
    <t>EVSE pedestal</t>
  </si>
  <si>
    <t>Fan balancing kit</t>
  </si>
  <si>
    <t>fan downrod</t>
  </si>
  <si>
    <t>12" fan downrod</t>
  </si>
  <si>
    <t>24" fan downrod</t>
  </si>
  <si>
    <t>36" fan downrod</t>
  </si>
  <si>
    <t>Foil duct tape</t>
  </si>
  <si>
    <t>Garbage disposal cord</t>
  </si>
  <si>
    <t>Generator battery charger</t>
  </si>
  <si>
    <t>generator cord</t>
  </si>
  <si>
    <t>30A generator cord</t>
  </si>
  <si>
    <t>50A generator cord</t>
  </si>
  <si>
    <t>Generator cord cap, CS6365</t>
  </si>
  <si>
    <t>Generator cord cap, L14-30</t>
  </si>
  <si>
    <t>Generator interlock kit</t>
  </si>
  <si>
    <t>Generator pad</t>
  </si>
  <si>
    <t>Humidity sensor switch</t>
  </si>
  <si>
    <t>Inline duct fan</t>
  </si>
  <si>
    <t>insulated flex duct</t>
  </si>
  <si>
    <t>4" insulated flex duct</t>
  </si>
  <si>
    <t>6" insulated flex duct</t>
  </si>
  <si>
    <t>Manual transfer switch</t>
  </si>
  <si>
    <t>power inlet box</t>
  </si>
  <si>
    <t>30A power inlet box</t>
  </si>
  <si>
    <t>50A power inlet box</t>
  </si>
  <si>
    <t>Pump control relay</t>
  </si>
  <si>
    <t>Range cord, 3-wire</t>
  </si>
  <si>
    <t>Range cord, 4-wire</t>
  </si>
  <si>
    <t>Range hood fan</t>
  </si>
  <si>
    <t>Replacement fan grille</t>
  </si>
  <si>
    <t>roof vent cap</t>
  </si>
  <si>
    <t>4" roof vent cap</t>
  </si>
  <si>
    <t>Sloped ceiling fan adapter</t>
  </si>
  <si>
    <t>Snow melt controller</t>
  </si>
  <si>
    <t>Spa bonding lug</t>
  </si>
  <si>
    <t>Submersible pump splice kit</t>
  </si>
  <si>
    <t>Sump pump alarm</t>
  </si>
  <si>
    <t>Unit heater</t>
  </si>
  <si>
    <t>wall vent cap</t>
  </si>
  <si>
    <t>4" wall vent cap</t>
  </si>
  <si>
    <t>Well pump control box</t>
  </si>
  <si>
    <t>Well pump pitless adapter</t>
  </si>
  <si>
    <t>Well pump pressure switch</t>
  </si>
  <si>
    <t>Whole-house surge protector</t>
  </si>
  <si>
    <t>Distribution Equipment</t>
  </si>
  <si>
    <t>208V 3-phase panelboard</t>
  </si>
  <si>
    <t>480V 3-phase panelboard</t>
  </si>
  <si>
    <t>Automatic transfer switch</t>
  </si>
  <si>
    <t>Busway</t>
  </si>
  <si>
    <t>Busway elbow</t>
  </si>
  <si>
    <t>Cable tray</t>
  </si>
  <si>
    <t>Cable tray elbow</t>
  </si>
  <si>
    <t>Cable tray support bracket</t>
  </si>
  <si>
    <t>Cable tray tee</t>
  </si>
  <si>
    <t>Combination motor starter</t>
  </si>
  <si>
    <t>Current transformer cabinet</t>
  </si>
  <si>
    <t>Desk grommet outlet</t>
  </si>
  <si>
    <t>dry-type transformer, 480V-208Y/120V 3-phase</t>
  </si>
  <si>
    <t>15 kVA dry-type transformer, 480V-208Y/120V 3-phase</t>
  </si>
  <si>
    <t>30 kVA dry-type transformer, 480V-208Y/120V 3-phase</t>
  </si>
  <si>
    <t>45 kVA dry-type transformer, 480V-208Y/120V 3-phase</t>
  </si>
  <si>
    <t>75 kVA dry-type transformer, 480V-208Y/120V 3-phase</t>
  </si>
  <si>
    <t>Equipment shut-off relay</t>
  </si>
  <si>
    <t>Floor monument, 2-gang</t>
  </si>
  <si>
    <t>Furniture feed connector</t>
  </si>
  <si>
    <t>fused disconnect</t>
  </si>
  <si>
    <t>400A fused disconnect</t>
  </si>
  <si>
    <t>600A fused disconnect</t>
  </si>
  <si>
    <t>Hood control interface relay</t>
  </si>
  <si>
    <t>Hood suppression micro-switch</t>
  </si>
  <si>
    <t>Lighting contactor</t>
  </si>
  <si>
    <t>Modular furniture whip</t>
  </si>
  <si>
    <t>Modular furniture whip, 6 ft</t>
  </si>
  <si>
    <t>Modular furniture whip, 10 ft</t>
  </si>
  <si>
    <t>Motor starter, size 0</t>
  </si>
  <si>
    <t>Motor starter, size 1</t>
  </si>
  <si>
    <t>Motor starter, size 2</t>
  </si>
  <si>
    <t>Poke-through device, 2-service</t>
  </si>
  <si>
    <t>Poke-through device, 4-service</t>
  </si>
  <si>
    <t>Power pole fitting kit</t>
  </si>
  <si>
    <t>Raised floor box</t>
  </si>
  <si>
    <t>Surge protective device</t>
  </si>
  <si>
    <t>Tele-power pole</t>
  </si>
  <si>
    <t>Tele-power pole, 10 ft</t>
  </si>
  <si>
    <t>Tele-power pole, 15 ft</t>
  </si>
  <si>
    <t>Time clock</t>
  </si>
  <si>
    <t>Under-carpet flat cable</t>
  </si>
  <si>
    <t>Variable frequency drive</t>
  </si>
  <si>
    <t>wireway</t>
  </si>
  <si>
    <t>4x4 wireway</t>
  </si>
  <si>
    <t>6x6 wireway</t>
  </si>
  <si>
    <t>Wireway coupling</t>
  </si>
  <si>
    <t>Wireway elbow</t>
  </si>
  <si>
    <t>Consumables</t>
  </si>
  <si>
    <t>Anti-oxidant compound</t>
  </si>
  <si>
    <t>Arc flash label</t>
  </si>
  <si>
    <t>Duct seal</t>
  </si>
  <si>
    <t>Electrical putty pad</t>
  </si>
  <si>
    <t>Electrical tape</t>
  </si>
  <si>
    <t>Expanding foam</t>
  </si>
  <si>
    <t>Firestop caulk</t>
  </si>
  <si>
    <t>Heat shrink tubing</t>
  </si>
  <si>
    <t>Panel directory label</t>
  </si>
  <si>
    <t>Pulling lube</t>
  </si>
  <si>
    <t>PVC cement</t>
  </si>
  <si>
    <t>Silicone sealant</t>
  </si>
  <si>
    <t>Thread sealant</t>
  </si>
  <si>
    <t>Underground splice kit</t>
  </si>
  <si>
    <t>Wire pulling grip</t>
  </si>
  <si>
    <t>Zip ties</t>
  </si>
  <si>
    <t>3-1/2" EMT</t>
  </si>
  <si>
    <t>new row (pricing sheet)</t>
  </si>
  <si>
    <t>New — not in catalog yet</t>
  </si>
  <si>
    <t>Add</t>
  </si>
  <si>
    <t>3-1/2" PVC Sch 40</t>
  </si>
  <si>
    <t>EMT connector</t>
  </si>
  <si>
    <t>3-1/2" EMT connector</t>
  </si>
  <si>
    <t>EMT coupling</t>
  </si>
  <si>
    <t>3-1/2" EMT coupling</t>
  </si>
  <si>
    <t>Conduit body, 3-1/2" LB</t>
  </si>
  <si>
    <t>Surface Raceway</t>
  </si>
  <si>
    <t>Raceway blank end plate</t>
  </si>
  <si>
    <t>Raceway conduit connector</t>
  </si>
  <si>
    <t>Raceway coupling</t>
  </si>
  <si>
    <t>Raceway device box, 1-gang</t>
  </si>
  <si>
    <t>Raceway device box, 2-gang</t>
  </si>
  <si>
    <t>Raceway divider clip</t>
  </si>
  <si>
    <t>Raceway end cap</t>
  </si>
  <si>
    <t>Raceway entrance end fitting</t>
  </si>
  <si>
    <t>Raceway fixture box</t>
  </si>
  <si>
    <t>Raceway flat elbow</t>
  </si>
  <si>
    <t>Raceway inside elbow</t>
  </si>
  <si>
    <t>Raceway mounting strap</t>
  </si>
  <si>
    <t>Raceway outside elbow</t>
  </si>
  <si>
    <t>Raceway tee fitting</t>
  </si>
  <si>
    <t>Surface raceway base, 500 series</t>
  </si>
  <si>
    <t>Surface raceway base, 700 series</t>
  </si>
  <si>
    <t>Surface raceway cover, 500 series</t>
  </si>
  <si>
    <t>Surface raceway cover, 700 series</t>
  </si>
  <si>
    <t>Surface raceway, 1500 series</t>
  </si>
  <si>
    <t>Surface raceway, 2400 series two-channel</t>
  </si>
  <si>
    <t>Underground</t>
  </si>
  <si>
    <t>Conduit spacer, 2"</t>
  </si>
  <si>
    <t>Conduit spacer, 4"</t>
  </si>
  <si>
    <t>Direct burial wire nut</t>
  </si>
  <si>
    <t>Duct bank spacer</t>
  </si>
  <si>
    <t>Mule tape, 1800 lb</t>
  </si>
  <si>
    <t>Pull rope, 1/4"</t>
  </si>
  <si>
    <t>PVC sweep, 2" 36" radius</t>
  </si>
  <si>
    <t>PVC sweep, 3" 36" radius</t>
  </si>
  <si>
    <t>PVC sweep, 4" 36" radius</t>
  </si>
  <si>
    <t>Tracer wire</t>
  </si>
  <si>
    <t>Tracer wire access box</t>
  </si>
  <si>
    <t>Trench marker post</t>
  </si>
  <si>
    <t>Underground warning tape</t>
  </si>
  <si>
    <t>Service Entrance</t>
  </si>
  <si>
    <t>Ground rod access well</t>
  </si>
  <si>
    <t>Main bonding jumper kit</t>
  </si>
  <si>
    <t>Mast guy wire kit</t>
  </si>
  <si>
    <t>Mast roof flashing</t>
  </si>
  <si>
    <t>Cut</t>
  </si>
  <si>
    <t>Same part as "2" mast roof flashing" (Possible duplicates tab) — anything using this moves to it.</t>
  </si>
  <si>
    <t>Meter seal</t>
  </si>
  <si>
    <t>Meter socket adapter ring</t>
  </si>
  <si>
    <t>Meter socket hub</t>
  </si>
  <si>
    <t>Riser strap, 2"</t>
  </si>
  <si>
    <t>Same part as "2" riser strap" (Possible duplicates tab) — anything using this moves to it.</t>
  </si>
  <si>
    <t>Riser strap, 3"</t>
  </si>
  <si>
    <t>Service entrance cap</t>
  </si>
  <si>
    <t>Service entrance elbow</t>
  </si>
  <si>
    <t>Service mast, 2"</t>
  </si>
  <si>
    <t>Service mast, 2-1/2"</t>
  </si>
  <si>
    <t>Service mast, 3"</t>
  </si>
  <si>
    <t>Weatherhead, 2"</t>
  </si>
  <si>
    <t>Weatherhead, 2-1/2"</t>
  </si>
  <si>
    <t>Weatherhead, 3"</t>
  </si>
  <si>
    <t>60A Single-Pole breaker</t>
  </si>
  <si>
    <t>70A Single-Pole breaker</t>
  </si>
  <si>
    <t>150A 2-Pole breaker</t>
  </si>
  <si>
    <t>175A 2-Pole breaker</t>
  </si>
  <si>
    <t>200A 2-Pole breaker</t>
  </si>
  <si>
    <t>2-Pole main breaker</t>
  </si>
  <si>
    <t>100A 2-Pole main breaker</t>
  </si>
  <si>
    <t>125A 2-Pole main breaker</t>
  </si>
  <si>
    <t>150A 2-Pole main breaker</t>
  </si>
  <si>
    <t>200A 2-Pole main breaker</t>
  </si>
  <si>
    <t>3" adjustable trim</t>
  </si>
  <si>
    <t>5" adjustable trim</t>
  </si>
  <si>
    <t>3" baffle trim</t>
  </si>
  <si>
    <t>5" baffle trim</t>
  </si>
  <si>
    <t>canless LED downlight</t>
  </si>
  <si>
    <t>2" canless LED downlight</t>
  </si>
  <si>
    <t>3" canless LED downlight</t>
  </si>
  <si>
    <t>4" canless LED downlight</t>
  </si>
  <si>
    <t>Same part as "4" wafer LED downlight" (Possible duplicates tab) — anything using this moves to it.</t>
  </si>
  <si>
    <t>5" canless LED downlight</t>
  </si>
  <si>
    <t>Owner 2026-10-07: 4" and 6" only — this new row is not added.</t>
  </si>
  <si>
    <t>6" canless LED downlight</t>
  </si>
  <si>
    <t>Same part as "5"/6" wafer LED downlight" (Possible duplicates tab) — anything using this moves to it.</t>
  </si>
  <si>
    <t>8" canless LED downlight</t>
  </si>
  <si>
    <t>3" eyeball trim</t>
  </si>
  <si>
    <t>5" eyeball trim</t>
  </si>
  <si>
    <t>3" gimbal trim</t>
  </si>
  <si>
    <t>5" gimbal trim</t>
  </si>
  <si>
    <t>LED disc light, CCT selectable</t>
  </si>
  <si>
    <t>4" LED disc light, CCT selectable</t>
  </si>
  <si>
    <t>5" LED disc light, CCT selectable</t>
  </si>
  <si>
    <t>6" LED disc light, CCT selectable</t>
  </si>
  <si>
    <t>7" LED disc light, CCT selectable</t>
  </si>
  <si>
    <t>3" open trim</t>
  </si>
  <si>
    <t>5" open trim</t>
  </si>
  <si>
    <t>3" recessed can, airtight shallow</t>
  </si>
  <si>
    <t>5" recessed can, airtight shallow</t>
  </si>
  <si>
    <t>3" recessed can, new construction IC</t>
  </si>
  <si>
    <t>5" recessed can, new construction IC</t>
  </si>
  <si>
    <t>3" recessed can, new construction non-IC</t>
  </si>
  <si>
    <t>5" recessed can, new construction non-IC</t>
  </si>
  <si>
    <t>3" recessed can, remodel IC</t>
  </si>
  <si>
    <t>5" recessed can, remodel IC</t>
  </si>
  <si>
    <t>3" recessed can, remodel non-IC</t>
  </si>
  <si>
    <t>5" recessed can, remodel non-IC</t>
  </si>
  <si>
    <t>3" recessed can, sloped ceiling</t>
  </si>
  <si>
    <t>5" recessed can, sloped ceiling</t>
  </si>
  <si>
    <t>3" reflector trim</t>
  </si>
  <si>
    <t>5" reflector trim</t>
  </si>
  <si>
    <t>3" shower wet-rated trim</t>
  </si>
  <si>
    <t>5" shower wet-rated trim</t>
  </si>
  <si>
    <t>wafer LED downlight, CCT selectable</t>
  </si>
  <si>
    <t>2" wafer LED downlight, CCT selectable</t>
  </si>
  <si>
    <t>3" wafer LED downlight, CCT selectable</t>
  </si>
  <si>
    <t>4" wafer LED downlight, CCT selectable</t>
  </si>
  <si>
    <t>5" wafer LED downlight, CCT selectable</t>
  </si>
  <si>
    <t>6" wafer LED downlight, CCT selectable</t>
  </si>
  <si>
    <t>8" wafer LED downlight, CCT selectable</t>
  </si>
  <si>
    <t>wafer LED downlight, gimbal</t>
  </si>
  <si>
    <t>2" wafer LED downlight, gimbal</t>
  </si>
  <si>
    <t>3" wafer LED downlight, gimbal</t>
  </si>
  <si>
    <t>4" wafer LED downlight, gimbal</t>
  </si>
  <si>
    <t>5" wafer LED downlight, gimbal</t>
  </si>
  <si>
    <t>6" wafer LED downlight, gimbal</t>
  </si>
  <si>
    <t>8" wafer LED downlight, gimbal</t>
  </si>
  <si>
    <t>wafer LED downlight, slim</t>
  </si>
  <si>
    <t>2" wafer LED downlight, slim</t>
  </si>
  <si>
    <t>3" wafer LED downlight, slim</t>
  </si>
  <si>
    <t>4" wafer LED downlight, slim</t>
  </si>
  <si>
    <t>5" wafer LED downlight, slim</t>
  </si>
  <si>
    <t>6" wafer LED downlight, slim</t>
  </si>
  <si>
    <t>8" wafer LED downlight, slim</t>
  </si>
  <si>
    <t>wafer LED downlight, wet rated</t>
  </si>
  <si>
    <t>2" wafer LED downlight, wet rated</t>
  </si>
  <si>
    <t>3" wafer LED downlight, wet rated</t>
  </si>
  <si>
    <t>4" wafer LED downlight, wet rated</t>
  </si>
  <si>
    <t>5" wafer LED downlight, wet rated</t>
  </si>
  <si>
    <t>6" wafer LED downlight, wet rated</t>
  </si>
  <si>
    <t>8" wafer LED downlight, wet rated</t>
  </si>
  <si>
    <t>Wire mold for low voltage</t>
  </si>
  <si>
    <t>Source</t>
  </si>
  <si>
    <t>Item</t>
  </si>
  <si>
    <t>Why it is listed</t>
  </si>
  <si>
    <t>Starter</t>
  </si>
  <si>
    <t>Surface raceway, 10 ft</t>
  </si>
  <si>
    <t>needed by "Surface raceway receptacle (block wall)" (DV34), which is held until it exists</t>
  </si>
  <si>
    <t>Skip</t>
  </si>
  <si>
    <t>Covered by the waiting Surface Raceway rows (base/cover 500 and 700 series, 1500 series). DV34's recipe must be pointed at those names when they are added.</t>
  </si>
  <si>
    <t>Surface raceway device box</t>
  </si>
  <si>
    <t>Covered by the waiting "Raceway device box, 1-gang".</t>
  </si>
  <si>
    <t>Surface raceway cover plate</t>
  </si>
  <si>
    <t>A standard wall plate fits the raceway device box.</t>
  </si>
  <si>
    <t>Surface raceway entrance fitting</t>
  </si>
  <si>
    <t>Covered by the waiting "Raceway entrance end fitting".</t>
  </si>
  <si>
    <t>Size gap</t>
  </si>
  <si>
    <t>#3 XHHW Aluminum</t>
  </si>
  <si>
    <t>XHHW AL comes in sizes either side of #3</t>
  </si>
  <si>
    <t>Owner 2026-10-07: add it back — same style as the other aluminum sizes.</t>
  </si>
  <si>
    <t>#3 bare stranded Copper</t>
  </si>
  <si>
    <t>bare CU, stranded comes in sizes either side of #3</t>
  </si>
  <si>
    <t>#4 and #2 bare are the grounding sizes used.</t>
  </si>
  <si>
    <t>#1 bare stranded Copper</t>
  </si>
  <si>
    <t>bare CU, stranded comes in sizes either side of #1</t>
  </si>
  <si>
    <t>Rare on small commercial work.</t>
  </si>
  <si>
    <t>3-1/2" EMT 90-degree elbow</t>
  </si>
  <si>
    <t>EMT 90-degree elbow comes in sizes either side of 3-1/2"</t>
  </si>
  <si>
    <t>3-1/2" EMT is being added (pricing sheet); a run needs its elbows.</t>
  </si>
  <si>
    <t>3-1/2" EMT 45-degree elbow</t>
  </si>
  <si>
    <t>EMT 45-degree elbow comes in sizes either side of 3-1/2"</t>
  </si>
  <si>
    <t>As the 90.</t>
  </si>
  <si>
    <t>3-1/2" EMT LB conduit body</t>
  </si>
  <si>
    <t>EMT LB conduit body comes in sizes either side of 3-1/2"</t>
  </si>
  <si>
    <t>The waiting "Conduit body, 3-1/2" LB" already adds it.</t>
  </si>
  <si>
    <t>3-1/2" EMT T conduit body</t>
  </si>
  <si>
    <t>EMT T conduit body comes in sizes either side of 3-1/2"</t>
  </si>
  <si>
    <t>3-1/2" in a type that is not being added (Sch 80, rigid, IMC, compression/raintight, other conduit bodies, 45 sweeps, weatherheads), a sized nail plate (not sold by trade size), or a 5" duct part (4" and 6" are the sizes used).</t>
  </si>
  <si>
    <t>3-1/2" EMT LL conduit body</t>
  </si>
  <si>
    <t>EMT LL conduit body comes in sizes either side of 3-1/2"</t>
  </si>
  <si>
    <t>3-1/2" EMT LR conduit body</t>
  </si>
  <si>
    <t>EMT LR conduit body comes in sizes either side of 3-1/2"</t>
  </si>
  <si>
    <t>3-1/2" EMT C conduit body</t>
  </si>
  <si>
    <t>EMT C conduit body comes in sizes either side of 3-1/2"</t>
  </si>
  <si>
    <t>3-1/2" EMT set-screw connector</t>
  </si>
  <si>
    <t>EMT set-screw connector comes in sizes either side of 3-1/2"</t>
  </si>
  <si>
    <t>The waiting "3-1/2" EMT connector" already adds it.</t>
  </si>
  <si>
    <t>3-1/2" EMT set-screw coupling</t>
  </si>
  <si>
    <t>EMT set-screw coupling comes in sizes either side of 3-1/2"</t>
  </si>
  <si>
    <t>The waiting "3-1/2" EMT coupling" already adds it.</t>
  </si>
  <si>
    <t>3-1/2" EMT compression connector</t>
  </si>
  <si>
    <t>EMT compression connector comes in sizes either side of 3-1/2"</t>
  </si>
  <si>
    <t>3-1/2" EMT compression coupling</t>
  </si>
  <si>
    <t>EMT compression coupling comes in sizes either side of 3-1/2"</t>
  </si>
  <si>
    <t>3-1/2" EMT raintight connector</t>
  </si>
  <si>
    <t>EMT raintight connector comes in sizes either side of 3-1/2"</t>
  </si>
  <si>
    <t>3-1/2" EMT raintight coupling</t>
  </si>
  <si>
    <t>EMT raintight coupling comes in sizes either side of 3-1/2"</t>
  </si>
  <si>
    <t>3-1/2" PVC Sch 40 connector</t>
  </si>
  <si>
    <t>PVC Sch 40 connector comes in sizes either side of 3-1/2"</t>
  </si>
  <si>
    <t>3-1/2" PVC Sch 40 is being added; a run needs its fittings.</t>
  </si>
  <si>
    <t>3-1/2" PVC Sch 40 coupling</t>
  </si>
  <si>
    <t>PVC Sch 40 coupling comes in sizes either side of 3-1/2"</t>
  </si>
  <si>
    <t>As the connector.</t>
  </si>
  <si>
    <t>3-1/2" PVC Sch 40 90-degree elbow</t>
  </si>
  <si>
    <t>PVC Sch 40 90-degree elbow comes in sizes either side of 3-1/2"</t>
  </si>
  <si>
    <t>3-1/2" PVC Sch 40 45-degree elbow</t>
  </si>
  <si>
    <t>PVC Sch 40 45-degree elbow comes in sizes either side of 3-1/2"</t>
  </si>
  <si>
    <t>3-1/2" PVC Sch 40 LB conduit body</t>
  </si>
  <si>
    <t>PVC Sch 40 LB conduit body comes in sizes either side of 3-1/2"</t>
  </si>
  <si>
    <t>The waiting "Conduit body, 3-1/2" LB" covers it.</t>
  </si>
  <si>
    <t>3-1/2" PVC Sch 40 T conduit body</t>
  </si>
  <si>
    <t>PVC Sch 40 T conduit body comes in sizes either side of 3-1/2"</t>
  </si>
  <si>
    <t>3-1/2" PVC Sch 40 LL conduit body</t>
  </si>
  <si>
    <t>PVC Sch 40 LL conduit body comes in sizes either side of 3-1/2"</t>
  </si>
  <si>
    <t>3-1/2" PVC Sch 40 LR conduit body</t>
  </si>
  <si>
    <t>PVC Sch 40 LR conduit body comes in sizes either side of 3-1/2"</t>
  </si>
  <si>
    <t>3-1/2" PVC Sch 40 C conduit body</t>
  </si>
  <si>
    <t>PVC Sch 40 C conduit body comes in sizes either side of 3-1/2"</t>
  </si>
  <si>
    <t>3-1/2" PVC Sch 80</t>
  </si>
  <si>
    <t>PVC Sch 80 comes in sizes either side of 3-1/2"</t>
  </si>
  <si>
    <t>3-1/2" PVC Sch 80 connector</t>
  </si>
  <si>
    <t>PVC Sch 80 connector comes in sizes either side of 3-1/2"</t>
  </si>
  <si>
    <t>3-1/2" PVC Sch 80 coupling</t>
  </si>
  <si>
    <t>PVC Sch 80 coupling comes in sizes either side of 3-1/2"</t>
  </si>
  <si>
    <t>3-1/2" PVC Sch 80 90-degree elbow</t>
  </si>
  <si>
    <t>PVC Sch 80 90-degree elbow comes in sizes either side of 3-1/2"</t>
  </si>
  <si>
    <t>3-1/2" PVC Sch 80 45-degree elbow</t>
  </si>
  <si>
    <t>PVC Sch 80 45-degree elbow comes in sizes either side of 3-1/2"</t>
  </si>
  <si>
    <t>3-1/2" PVC Sch 80 LB conduit body</t>
  </si>
  <si>
    <t>PVC Sch 80 LB conduit body comes in sizes either side of 3-1/2"</t>
  </si>
  <si>
    <t>3-1/2" PVC Sch 80 T conduit body</t>
  </si>
  <si>
    <t>PVC Sch 80 T conduit body comes in sizes either side of 3-1/2"</t>
  </si>
  <si>
    <t>3-1/2" PVC Sch 80 LL conduit body</t>
  </si>
  <si>
    <t>PVC Sch 80 LL conduit body comes in sizes either side of 3-1/2"</t>
  </si>
  <si>
    <t>3-1/2" PVC Sch 80 LR conduit body</t>
  </si>
  <si>
    <t>PVC Sch 80 LR conduit body comes in sizes either side of 3-1/2"</t>
  </si>
  <si>
    <t>3-1/2" PVC Sch 80 C conduit body</t>
  </si>
  <si>
    <t>PVC Sch 80 C conduit body comes in sizes either side of 3-1/2"</t>
  </si>
  <si>
    <t>3-1/2" rigid conduit</t>
  </si>
  <si>
    <t>rigid conduit comes in sizes either side of 3-1/2"</t>
  </si>
  <si>
    <t>3-1/2" rigid conduit connector</t>
  </si>
  <si>
    <t>rigid conduit connector comes in sizes either side of 3-1/2"</t>
  </si>
  <si>
    <t>3-1/2" rigid conduit coupling</t>
  </si>
  <si>
    <t>rigid conduit coupling comes in sizes either side of 3-1/2"</t>
  </si>
  <si>
    <t>3-1/2" rigid conduit 90-degree elbow</t>
  </si>
  <si>
    <t>rigid conduit 90-degree elbow comes in sizes either side of 3-1/2"</t>
  </si>
  <si>
    <t>3-1/2" rigid conduit 45-degree elbow</t>
  </si>
  <si>
    <t>rigid conduit 45-degree elbow comes in sizes either side of 3-1/2"</t>
  </si>
  <si>
    <t>3-1/2" rigid conduit LB conduit body</t>
  </si>
  <si>
    <t>rigid conduit LB conduit body comes in sizes either side of 3-1/2"</t>
  </si>
  <si>
    <t>3-1/2" rigid conduit T conduit body</t>
  </si>
  <si>
    <t>rigid conduit T conduit body comes in sizes either side of 3-1/2"</t>
  </si>
  <si>
    <t>3-1/2" rigid conduit LL conduit body</t>
  </si>
  <si>
    <t>rigid conduit LL conduit body comes in sizes either side of 3-1/2"</t>
  </si>
  <si>
    <t>3-1/2" rigid conduit LR conduit body</t>
  </si>
  <si>
    <t>rigid conduit LR conduit body comes in sizes either side of 3-1/2"</t>
  </si>
  <si>
    <t>3-1/2" rigid conduit C conduit body</t>
  </si>
  <si>
    <t>rigid conduit C conduit body comes in sizes either side of 3-1/2"</t>
  </si>
  <si>
    <t>3-1/2" IMC</t>
  </si>
  <si>
    <t>IMC comes in sizes either side of 3-1/2"</t>
  </si>
  <si>
    <t>3-1/2" IMC connector</t>
  </si>
  <si>
    <t>IMC connector comes in sizes either side of 3-1/2"</t>
  </si>
  <si>
    <t>3-1/2" IMC coupling</t>
  </si>
  <si>
    <t>IMC coupling comes in sizes either side of 3-1/2"</t>
  </si>
  <si>
    <t>3-1/2" IMC 90-degree elbow</t>
  </si>
  <si>
    <t>IMC 90-degree elbow comes in sizes either side of 3-1/2"</t>
  </si>
  <si>
    <t>3-1/2" IMC 45-degree elbow</t>
  </si>
  <si>
    <t>IMC 45-degree elbow comes in sizes either side of 3-1/2"</t>
  </si>
  <si>
    <t>3-1/2" IMC LB conduit body</t>
  </si>
  <si>
    <t>IMC LB conduit body comes in sizes either side of 3-1/2"</t>
  </si>
  <si>
    <t>3-1/2" IMC T conduit body</t>
  </si>
  <si>
    <t>IMC T conduit body comes in sizes either side of 3-1/2"</t>
  </si>
  <si>
    <t>3-1/2" IMC LL conduit body</t>
  </si>
  <si>
    <t>IMC LL conduit body comes in sizes either side of 3-1/2"</t>
  </si>
  <si>
    <t>3-1/2" IMC LR conduit body</t>
  </si>
  <si>
    <t>IMC LR conduit body comes in sizes either side of 3-1/2"</t>
  </si>
  <si>
    <t>3-1/2" IMC C conduit body</t>
  </si>
  <si>
    <t>IMC C conduit body comes in sizes either side of 3-1/2"</t>
  </si>
  <si>
    <t>3-1/2" PVC Sch 40 90-degree sweep, 24" radius</t>
  </si>
  <si>
    <t>PVC Sch 40 90-degree sweep, 24" radius comes in sizes either side of 3-1/2"</t>
  </si>
  <si>
    <t>Underground service runs at 3-1/2" turn with sweeps.</t>
  </si>
  <si>
    <t>3-1/2" PVC Sch 40 90-degree sweep, 36" radius</t>
  </si>
  <si>
    <t>PVC Sch 40 90-degree sweep, 36" radius comes in sizes either side of 3-1/2"</t>
  </si>
  <si>
    <t>As the 24" sweep.</t>
  </si>
  <si>
    <t>3-1/2" PVC Sch 40 45-degree sweep, 24" radius</t>
  </si>
  <si>
    <t>PVC Sch 40 45-degree sweep, 24" radius comes in sizes either side of 3-1/2"</t>
  </si>
  <si>
    <t>3-1/2" PVC Sch 40 45-degree sweep, 36" radius</t>
  </si>
  <si>
    <t>PVC Sch 40 45-degree sweep, 36" radius comes in sizes either side of 3-1/2"</t>
  </si>
  <si>
    <t>3-1/2" PVC Sch 80 90-degree sweep, 24" radius</t>
  </si>
  <si>
    <t>PVC Sch 80 90-degree sweep, 24" radius comes in sizes either side of 3-1/2"</t>
  </si>
  <si>
    <t>3-1/2" PVC Sch 80 90-degree sweep, 36" radius</t>
  </si>
  <si>
    <t>PVC Sch 80 90-degree sweep, 36" radius comes in sizes either side of 3-1/2"</t>
  </si>
  <si>
    <t>3-1/2" PVC Sch 80 45-degree sweep, 24" radius</t>
  </si>
  <si>
    <t>PVC Sch 80 45-degree sweep, 24" radius comes in sizes either side of 3-1/2"</t>
  </si>
  <si>
    <t>3-1/2" PVC Sch 80 45-degree sweep, 36" radius</t>
  </si>
  <si>
    <t>PVC Sch 80 45-degree sweep, 36" radius comes in sizes either side of 3-1/2"</t>
  </si>
  <si>
    <t>3-1/2" EMT one-hole strap</t>
  </si>
  <si>
    <t>EMT one-hole strap comes in sizes either side of 3-1/2"</t>
  </si>
  <si>
    <t>Supports the 3-1/2" EMT being added.</t>
  </si>
  <si>
    <t>3-1/2" PVC one-hole strap</t>
  </si>
  <si>
    <t>PVC one-hole strap comes in sizes either side of 3-1/2"</t>
  </si>
  <si>
    <t>Supports the 3-1/2" PVC being added.</t>
  </si>
  <si>
    <t>3-1/2" rigid one-hole strap</t>
  </si>
  <si>
    <t>rigid one-hole strap comes in sizes either side of 3-1/2"</t>
  </si>
  <si>
    <t>3-1/2" conduit bushing</t>
  </si>
  <si>
    <t>conduit bushing comes in sizes either side of 3-1/2"</t>
  </si>
  <si>
    <t>Goes with the 3-1/2" connectors.</t>
  </si>
  <si>
    <t>3-1/2" conduit locknut</t>
  </si>
  <si>
    <t>conduit locknut comes in sizes either side of 3-1/2"</t>
  </si>
  <si>
    <t>3-1/2" PVC weatherhead</t>
  </si>
  <si>
    <t>PVC weatherhead comes in sizes either side of 3-1/2"</t>
  </si>
  <si>
    <t>3-1/2" metal weatherhead</t>
  </si>
  <si>
    <t>metal weatherhead comes in sizes either side of 3-1/2"</t>
  </si>
  <si>
    <t>3-1/2" strut conduit strap</t>
  </si>
  <si>
    <t>strut conduit strap comes in sizes either side of 3-1/2"</t>
  </si>
  <si>
    <t>Supports 3-1/2" conduit on strut.</t>
  </si>
  <si>
    <t>2" nail plate</t>
  </si>
  <si>
    <t>nail plate comes in sizes either side of 2"</t>
  </si>
  <si>
    <t>2-1/2" nail plate</t>
  </si>
  <si>
    <t>nail plate comes in sizes either side of 2-1/2"</t>
  </si>
  <si>
    <t>3-1/2" nail plate</t>
  </si>
  <si>
    <t>nail plate comes in sizes either side of 3-1/2"</t>
  </si>
  <si>
    <t>4" nail plate</t>
  </si>
  <si>
    <t>nail plate comes in sizes either side of 4"</t>
  </si>
  <si>
    <t>#1 crimp sleeve</t>
  </si>
  <si>
    <t>crimp sleeve comes in sizes either side of #1</t>
  </si>
  <si>
    <t>Splicing service and feeder conductors in panel changes and upgrades.</t>
  </si>
  <si>
    <t>1/0 crimp sleeve</t>
  </si>
  <si>
    <t>crimp sleeve comes in sizes either side of #1/0</t>
  </si>
  <si>
    <t>As #1.</t>
  </si>
  <si>
    <t>2/0 crimp sleeve</t>
  </si>
  <si>
    <t>crimp sleeve comes in sizes either side of #2/0</t>
  </si>
  <si>
    <t>3/0 crimp sleeve</t>
  </si>
  <si>
    <t>crimp sleeve comes in sizes either side of #3/0</t>
  </si>
  <si>
    <t>5" backdraft damper</t>
  </si>
  <si>
    <t>backdraft damper comes in sizes either side of 5"</t>
  </si>
  <si>
    <t>5" insulated flex duct</t>
  </si>
  <si>
    <t>insulated flex duct comes in sizes either side of 5"</t>
  </si>
  <si>
    <t>Typical job</t>
  </si>
  <si>
    <t>12/2 MC cable with 16/2 dimming</t>
  </si>
  <si>
    <t>lighting retrofit: 0-10V fixtures are fed with MC carrying a dimming pair</t>
  </si>
  <si>
    <t>12/2 MC-AP cable</t>
  </si>
  <si>
    <t>small office TI: aluminum-armor MC with a bonding wire is the common TI cable</t>
  </si>
  <si>
    <t>18/2 shielded fire alarm cable, FPLP</t>
  </si>
  <si>
    <t>small office TI: plenum fire-alarm cable above lay-in ceilings (14-2 and 16-2 are listed, 18/2 is not)</t>
  </si>
  <si>
    <t>Cat6 plenum cable</t>
  </si>
  <si>
    <t>small office TI: data drops above a return-air ceiling must be plenum (CMP); plain Cat6 only lists "plenum" as a search word</t>
  </si>
  <si>
    <t>1/2" EMT insulated set-screw connector</t>
  </si>
  <si>
    <t>small office TI: insulated-throat connectors are spec'd on most TI jobs</t>
  </si>
  <si>
    <t>1/2" EMT to FMC transition coupling</t>
  </si>
  <si>
    <t>small office TI: EMT drops changing to flex at the fixture</t>
  </si>
  <si>
    <t>3/8" FMC (reduced wall)</t>
  </si>
  <si>
    <t>lighting retrofit: 3/8" flex is the usual fixture whip conduit</t>
  </si>
  <si>
    <t>1/2" liquidtight 90-degree connector</t>
  </si>
  <si>
    <t>service upgrade: rooftop unit and condenser whips turn 90° at the unit</t>
  </si>
  <si>
    <t>1/2" PVC female adapter</t>
  </si>
  <si>
    <t>service upgrade: PVC to a threaded fitting</t>
  </si>
  <si>
    <t>1/2" PVC expansion fitting</t>
  </si>
  <si>
    <t>service upgrade: exposed outdoor PVC runs need expansion fittings</t>
  </si>
  <si>
    <t>1/2" EMT offset connector</t>
  </si>
  <si>
    <t>Dollar Tree / retail retrofit: surface EMT into a box without bending an offset</t>
  </si>
  <si>
    <t>T-bar box hanger</t>
  </si>
  <si>
    <t>small office TI: boxes in a lay-in grid hang from the T-bar (a grid clip and a fan bar hanger are listed, a box hanger is not)</t>
  </si>
  <si>
    <t>Fixture hanging kit, aircraft cable</t>
  </si>
  <si>
    <t>Dollar Tree / retail retrofit: pendant LED strips hung from open structure</t>
  </si>
  <si>
    <t>Owner</t>
  </si>
  <si>
    <t>Concrete pole base</t>
  </si>
  <si>
    <t>Owner 2026-10-07: Track B's drafted recipe GC3 (light pole) uses it (references/top-assemblies-draft.md).</t>
  </si>
  <si>
    <t>320A meter base</t>
  </si>
  <si>
    <t>Owner 2026-10-07: Track B's drafted recipe GR3 (320A/400A residential service) — the class-320 meter base with two 200A main breakers; 400A meter base stands in until it exists.</t>
  </si>
  <si>
    <t>Your row</t>
  </si>
  <si>
    <t>A</t>
  </si>
  <si>
    <t>A is</t>
  </si>
  <si>
    <t>A used by</t>
  </si>
  <si>
    <t>B</t>
  </si>
  <si>
    <t>B is</t>
  </si>
  <si>
    <t>B used by</t>
  </si>
  <si>
    <t>Why they look the same</t>
  </si>
  <si>
    <t>same words; the new row names no size, the shipped one is 2"</t>
  </si>
  <si>
    <t>Same - keep A</t>
  </si>
  <si>
    <t>The new row is the shipped 2" part with its size left off.</t>
  </si>
  <si>
    <t>same size and the same words (2"), spelled or ordered differently</t>
  </si>
  <si>
    <t>Owner, 2026-10-07.</t>
  </si>
  <si>
    <t>same size and the same words (4"), spelled or ordered differently</t>
  </si>
  <si>
    <t>Owner 2026-10-07: 4" and 6" as separate canless wafers. The shipped 4" is renamed "4" canless wafer LED downlight" (same row, starter LT8 follows) and is this part.</t>
  </si>
  <si>
    <t>same words and size; one name also states 6"</t>
  </si>
  <si>
    <t>Not the same</t>
  </si>
  <si>
    <t>Owner 2026-10-07: do not fold. The shipped 5"/6" becomes the 6" item; a 5" is not used (this new row is not added — Review: Cut).</t>
  </si>
  <si>
    <t>same words and size; one name also states 5"</t>
  </si>
  <si>
    <t>The shipped 5"/6" is RENAMED into "6" canless wafer LED downlight" (same row, so starter LT7 keeps pricing from it) — this new row would be a second 6".</t>
  </si>
  <si>
    <t>same words and size; one name also states 3/4"</t>
  </si>
  <si>
    <t>Owner 2026-10-07: three rods. 5/8" x 8 ft is the usual one; the plain 10 ft is renamed "Ground rod, 5/8" x 10 ft"; 3/4" x 10 ft stays.</t>
  </si>
  <si>
    <t>How these were found: 6 pair(s) from 1679 rows, matched on size, type, material and key words with spellings folded (1-pole = single pole = 1P; set screw = SS; CU = copper) and search words — and kept apart when a key word differs (set screw vs compression, 1-pole vs 2-pole, copper vs aluminum, EMT vs PVC, a different size or amperage).</t>
  </si>
  <si>
    <t>Recommended</t>
  </si>
  <si>
    <t>Your answer</t>
  </si>
  <si>
    <t>Q2</t>
  </si>
  <si>
    <t>SER cable: keep the full conductor set (e.g. 4/0-4/0-4/0-2/0) in the description and as a search word, with a check that no two SER rows share size + metal? And keep the two 3-conductor rows' full names?</t>
  </si>
  <si>
    <t>Yes</t>
  </si>
  <si>
    <t>Q2d</t>
  </si>
  <si>
    <t>"3/4 MC cable Copper" (a #3 four-wire) reads like 3/4 inch. Write it "#3/4 MC cable Copper" instead?</t>
  </si>
  <si>
    <t>Yes, #3/4</t>
  </si>
  <si>
    <t>Use "#3/4" (owner).</t>
  </si>
  <si>
    <t>Q3</t>
  </si>
  <si>
    <t>Once shipped prices are no longer $0: should a bid line priced from an example price SAY so on the bid and the quote, until you change that material's price?</t>
  </si>
  <si>
    <t>Yes on my bid screen, not on the customer quote. Warn me before printing instead.</t>
  </si>
  <si>
    <t>Recorded: the tag shows on the bid screen only; the customer quote never shows it; printing warns first.</t>
  </si>
  <si>
    <t>Q4</t>
  </si>
  <si>
    <t>Add "Copper" to the end of low-voltage cable names (not fiber)? Copper-clad (CCA) rows only if wanted.</t>
  </si>
  <si>
    <t>Q5</t>
  </si>
  <si>
    <t>Hide the supplier-import button until its review screen (with undo) exists? Today an import writes at once and cannot be undone except by hand.</t>
  </si>
  <si>
    <t>Rename</t>
  </si>
  <si>
    <t>Your call</t>
  </si>
  <si>
    <t>Total</t>
  </si>
  <si>
    <t>Rows with the same final name (must be 0)</t>
  </si>
  <si>
    <t>Cuts a starter still uses, no replacement named (must be 0)</t>
  </si>
  <si>
    <t>Rows still 'Your call' (must be 0)</t>
  </si>
  <si>
    <t>Possible duplicates not decided (must be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</si>
</sst>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  <font>
      <color rgb="FF6B6B6B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FFF2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2" borderId="0" xfId="0" applyFont="1" applyFill="1" applyAlignment="1">
      <alignment vertical="center" wrapText="1"/>
    </xf>
    <xf numFmtId="0" fontId="0" fillId="3" borderId="0" xfId="0" applyFill="1"/>
    <xf numFmtId="0" fontId="4" fillId="0" borderId="0" xfId="0" applyFont="1"/>
    <xf numFmtId="0" fontId="0" fillId="0" borderId="0" xfId="0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5">
    <dxf>
      <fill>
        <patternFill patternType="solid">
          <bgColor rgb="FFF8B4B4"/>
        </patternFill>
      </fill>
    </dxf>
    <dxf>
      <fill>
        <patternFill patternType="solid">
          <bgColor rgb="FFF8B4B4"/>
        </patternFill>
      </fill>
    </dxf>
    <dxf>
      <fill>
        <patternFill patternType="solid">
          <bgColor rgb="FFF8B4B4"/>
        </patternFill>
      </fill>
    </dxf>
    <dxf>
      <fill>
        <patternFill patternType="solid">
          <bgColor rgb="FFF8B4B4"/>
        </patternFill>
      </fill>
    </dxf>
    <dxf>
      <fill>
        <patternFill patternType="solid">
          <bgColor rgb="FFF8B4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3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2</v>
      </c>
    </row>
    <row r="14" spans="1:1" x14ac:dyDescent="0.25">
      <c r="A14" s="3" t="s">
        <v>12</v>
      </c>
    </row>
    <row r="15" spans="1:1" x14ac:dyDescent="0.25">
      <c r="A15" s="2" t="s">
        <v>13</v>
      </c>
    </row>
    <row r="16" spans="1:1" x14ac:dyDescent="0.25">
      <c r="A16" s="2" t="s">
        <v>14</v>
      </c>
    </row>
    <row r="17" spans="1:1" x14ac:dyDescent="0.25">
      <c r="A17" s="2" t="s">
        <v>2</v>
      </c>
    </row>
    <row r="18" spans="1:1" x14ac:dyDescent="0.25">
      <c r="A18" s="2" t="s">
        <v>15</v>
      </c>
    </row>
    <row r="19" spans="1:1" x14ac:dyDescent="0.25">
      <c r="A19" s="2" t="s">
        <v>16</v>
      </c>
    </row>
    <row r="20" spans="1:1" x14ac:dyDescent="0.25">
      <c r="A20" s="2" t="s">
        <v>2</v>
      </c>
    </row>
    <row r="21" spans="1:1" x14ac:dyDescent="0.25">
      <c r="A21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0" customWidth="1"/>
    <col min="3" max="3" width="24" customWidth="1"/>
    <col min="4" max="4" width="36" customWidth="1"/>
    <col min="5" max="5" width="38" customWidth="1"/>
    <col min="6" max="6" width="52" customWidth="1"/>
    <col min="7" max="7" width="20" customWidth="1"/>
    <col min="8" max="8" width="22" customWidth="1"/>
    <col min="9" max="9" width="15" customWidth="1"/>
    <col min="10" max="11" width="30" customWidth="1"/>
    <col min="12" max="12" width="38" customWidth="1"/>
    <col min="13" max="13" width="34" customWidth="1"/>
    <col min="14" max="14" width="6" customWidth="1"/>
  </cols>
  <sheetData>
    <row r="1" ht="30" customHeight="1" spans="1:15" s="4" customFormat="1" x14ac:dyDescent="0.2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  <c r="M1" s="4" t="s">
        <v>30</v>
      </c>
      <c r="N1" s="4" t="s">
        <v>31</v>
      </c>
      <c r="O1" s="4" t="s">
        <v>32</v>
      </c>
    </row>
    <row r="2" spans="1:15" x14ac:dyDescent="0.25">
      <c r="A2">
        <v>1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s="5" t="s">
        <v>40</v>
      </c>
      <c r="J2" s="5" t="s">
        <v>2</v>
      </c>
      <c r="K2" s="5" t="s">
        <v>2</v>
      </c>
      <c r="L2" s="6">
        <f>IF(I2="Cut","",IF(I2="Your call","(decide)",IF(I2="Rename",J2,IF(I2="Keep",IF(D2="",E2,D2),IF(E2="(unchanged)",D2,E2)))))</f>
      </c>
      <c r="M2" s="6">
        <f>IF(AND(I2="Cut",N2&gt;0,K2=""),"USED: say what replaces it (Note)",IF(AND(I2="Rename",J2=""),"type the new name",IF(AND(L2&lt;&gt;"",L2&lt;&gt;"(decide)",COUNTIF($L$2:$L$1680,L2)&gt;1),"SAME FINAL NAME AS ANOTHER ROW","")))</f>
      </c>
      <c r="N2" s="6">
        <v>0</v>
      </c>
      <c r="O2" s="6" t="s">
        <v>2</v>
      </c>
    </row>
    <row r="3" spans="1:15" x14ac:dyDescent="0.25">
      <c r="A3">
        <v>2</v>
      </c>
      <c r="B3" t="s">
        <v>33</v>
      </c>
      <c r="C3" t="s">
        <v>34</v>
      </c>
      <c r="D3" t="s">
        <v>41</v>
      </c>
      <c r="E3" t="s">
        <v>42</v>
      </c>
      <c r="F3" t="s">
        <v>37</v>
      </c>
      <c r="G3" t="s">
        <v>43</v>
      </c>
      <c r="H3" t="s">
        <v>39</v>
      </c>
      <c r="I3" s="5" t="s">
        <v>40</v>
      </c>
      <c r="J3" s="5" t="s">
        <v>2</v>
      </c>
      <c r="K3" s="5" t="s">
        <v>2</v>
      </c>
      <c r="L3" s="6">
        <f>IF(I3="Cut","",IF(I3="Your call","(decide)",IF(I3="Rename",J3,IF(I3="Keep",IF(D3="",E3,D3),IF(E3="(unchanged)",D3,E3)))))</f>
      </c>
      <c r="M3" s="6">
        <f>IF(AND(I3="Cut",N3&gt;0,K3=""),"USED: say what replaces it (Note)",IF(AND(I3="Rename",J3=""),"type the new name",IF(AND(L3&lt;&gt;"",L3&lt;&gt;"(decide)",COUNTIF($L$2:$L$1680,L3)&gt;1),"SAME FINAL NAME AS ANOTHER ROW","")))</f>
      </c>
      <c r="N3" s="6">
        <v>2</v>
      </c>
      <c r="O3" s="6" t="s">
        <v>2</v>
      </c>
    </row>
    <row r="4" spans="1:15" x14ac:dyDescent="0.25">
      <c r="A4">
        <v>3</v>
      </c>
      <c r="B4" t="s">
        <v>33</v>
      </c>
      <c r="C4" t="s">
        <v>34</v>
      </c>
      <c r="D4" t="s">
        <v>44</v>
      </c>
      <c r="E4" t="s">
        <v>45</v>
      </c>
      <c r="F4" t="s">
        <v>37</v>
      </c>
      <c r="G4" t="s">
        <v>38</v>
      </c>
      <c r="H4" t="s">
        <v>39</v>
      </c>
      <c r="I4" s="5" t="s">
        <v>40</v>
      </c>
      <c r="J4" s="5" t="s">
        <v>2</v>
      </c>
      <c r="K4" s="5" t="s">
        <v>2</v>
      </c>
      <c r="L4" s="6">
        <f>IF(I4="Cut","",IF(I4="Your call","(decide)",IF(I4="Rename",J4,IF(I4="Keep",IF(D4="",E4,D4),IF(E4="(unchanged)",D4,E4)))))</f>
      </c>
      <c r="M4" s="6">
        <f>IF(AND(I4="Cut",N4&gt;0,K4=""),"USED: say what replaces it (Note)",IF(AND(I4="Rename",J4=""),"type the new name",IF(AND(L4&lt;&gt;"",L4&lt;&gt;"(decide)",COUNTIF($L$2:$L$1680,L4)&gt;1),"SAME FINAL NAME AS ANOTHER ROW","")))</f>
      </c>
      <c r="N4" s="6">
        <v>0</v>
      </c>
      <c r="O4" s="6" t="s">
        <v>2</v>
      </c>
    </row>
    <row r="5" spans="1:15" x14ac:dyDescent="0.25">
      <c r="A5">
        <v>4</v>
      </c>
      <c r="B5" t="s">
        <v>33</v>
      </c>
      <c r="C5" t="s">
        <v>34</v>
      </c>
      <c r="D5" t="s">
        <v>46</v>
      </c>
      <c r="E5" t="s">
        <v>47</v>
      </c>
      <c r="F5" t="s">
        <v>37</v>
      </c>
      <c r="G5" t="s">
        <v>48</v>
      </c>
      <c r="H5" t="s">
        <v>39</v>
      </c>
      <c r="I5" s="5" t="s">
        <v>40</v>
      </c>
      <c r="J5" s="5" t="s">
        <v>2</v>
      </c>
      <c r="K5" s="5" t="s">
        <v>2</v>
      </c>
      <c r="L5" s="6">
        <f>IF(I5="Cut","",IF(I5="Your call","(decide)",IF(I5="Rename",J5,IF(I5="Keep",IF(D5="",E5,D5),IF(E5="(unchanged)",D5,E5)))))</f>
      </c>
      <c r="M5" s="6">
        <f>IF(AND(I5="Cut",N5&gt;0,K5=""),"USED: say what replaces it (Note)",IF(AND(I5="Rename",J5=""),"type the new name",IF(AND(L5&lt;&gt;"",L5&lt;&gt;"(decide)",COUNTIF($L$2:$L$1680,L5)&gt;1),"SAME FINAL NAME AS ANOTHER ROW","")))</f>
      </c>
      <c r="N5" s="6">
        <v>2</v>
      </c>
      <c r="O5" s="6" t="s">
        <v>2</v>
      </c>
    </row>
    <row r="6" spans="1:15" x14ac:dyDescent="0.25">
      <c r="A6">
        <v>5</v>
      </c>
      <c r="B6" t="s">
        <v>33</v>
      </c>
      <c r="C6" t="s">
        <v>49</v>
      </c>
      <c r="D6" t="s">
        <v>50</v>
      </c>
      <c r="E6" t="s">
        <v>51</v>
      </c>
      <c r="F6" t="s">
        <v>37</v>
      </c>
      <c r="G6" t="s">
        <v>38</v>
      </c>
      <c r="H6" t="s">
        <v>39</v>
      </c>
      <c r="I6" s="5" t="s">
        <v>40</v>
      </c>
      <c r="J6" s="5" t="s">
        <v>2</v>
      </c>
      <c r="K6" s="5" t="s">
        <v>2</v>
      </c>
      <c r="L6" s="6">
        <f>IF(I6="Cut","",IF(I6="Your call","(decide)",IF(I6="Rename",J6,IF(I6="Keep",IF(D6="",E6,D6),IF(E6="(unchanged)",D6,E6)))))</f>
      </c>
      <c r="M6" s="6">
        <f>IF(AND(I6="Cut",N6&gt;0,K6=""),"USED: say what replaces it (Note)",IF(AND(I6="Rename",J6=""),"type the new name",IF(AND(L6&lt;&gt;"",L6&lt;&gt;"(decide)",COUNTIF($L$2:$L$1680,L6)&gt;1),"SAME FINAL NAME AS ANOTHER ROW","")))</f>
      </c>
      <c r="N6" s="6">
        <v>0</v>
      </c>
      <c r="O6" s="6" t="s">
        <v>2</v>
      </c>
    </row>
    <row r="7" spans="1:15" x14ac:dyDescent="0.25">
      <c r="A7">
        <v>6</v>
      </c>
      <c r="B7" t="s">
        <v>33</v>
      </c>
      <c r="C7" t="s">
        <v>49</v>
      </c>
      <c r="D7" t="s">
        <v>52</v>
      </c>
      <c r="E7" t="s">
        <v>53</v>
      </c>
      <c r="F7" t="s">
        <v>37</v>
      </c>
      <c r="G7" t="s">
        <v>38</v>
      </c>
      <c r="H7" t="s">
        <v>39</v>
      </c>
      <c r="I7" s="5" t="s">
        <v>40</v>
      </c>
      <c r="J7" s="5" t="s">
        <v>2</v>
      </c>
      <c r="K7" s="5" t="s">
        <v>2</v>
      </c>
      <c r="L7" s="6">
        <f>IF(I7="Cut","",IF(I7="Your call","(decide)",IF(I7="Rename",J7,IF(I7="Keep",IF(D7="",E7,D7),IF(E7="(unchanged)",D7,E7)))))</f>
      </c>
      <c r="M7" s="6">
        <f>IF(AND(I7="Cut",N7&gt;0,K7=""),"USED: say what replaces it (Note)",IF(AND(I7="Rename",J7=""),"type the new name",IF(AND(L7&lt;&gt;"",L7&lt;&gt;"(decide)",COUNTIF($L$2:$L$1680,L7)&gt;1),"SAME FINAL NAME AS ANOTHER ROW","")))</f>
      </c>
      <c r="N7" s="6">
        <v>0</v>
      </c>
      <c r="O7" s="6" t="s">
        <v>2</v>
      </c>
    </row>
    <row r="8" spans="1:15" x14ac:dyDescent="0.25">
      <c r="A8">
        <v>7</v>
      </c>
      <c r="B8" t="s">
        <v>33</v>
      </c>
      <c r="C8" t="s">
        <v>49</v>
      </c>
      <c r="D8" t="s">
        <v>54</v>
      </c>
      <c r="E8" t="s">
        <v>55</v>
      </c>
      <c r="F8" t="s">
        <v>37</v>
      </c>
      <c r="G8" t="s">
        <v>48</v>
      </c>
      <c r="H8" t="s">
        <v>39</v>
      </c>
      <c r="I8" s="5" t="s">
        <v>40</v>
      </c>
      <c r="J8" s="5" t="s">
        <v>2</v>
      </c>
      <c r="K8" s="5" t="s">
        <v>2</v>
      </c>
      <c r="L8" s="6">
        <f>IF(I8="Cut","",IF(I8="Your call","(decide)",IF(I8="Rename",J8,IF(I8="Keep",IF(D8="",E8,D8),IF(E8="(unchanged)",D8,E8)))))</f>
      </c>
      <c r="M8" s="6">
        <f>IF(AND(I8="Cut",N8&gt;0,K8=""),"USED: say what replaces it (Note)",IF(AND(I8="Rename",J8=""),"type the new name",IF(AND(L8&lt;&gt;"",L8&lt;&gt;"(decide)",COUNTIF($L$2:$L$1680,L8)&gt;1),"SAME FINAL NAME AS ANOTHER ROW","")))</f>
      </c>
      <c r="N8" s="6">
        <v>2</v>
      </c>
      <c r="O8" s="6" t="s">
        <v>2</v>
      </c>
    </row>
    <row r="9" spans="1:15" x14ac:dyDescent="0.25">
      <c r="A9">
        <v>8</v>
      </c>
      <c r="B9" t="s">
        <v>33</v>
      </c>
      <c r="C9" t="s">
        <v>49</v>
      </c>
      <c r="D9" t="s">
        <v>56</v>
      </c>
      <c r="E9" t="s">
        <v>57</v>
      </c>
      <c r="F9" t="s">
        <v>37</v>
      </c>
      <c r="G9" t="s">
        <v>58</v>
      </c>
      <c r="H9" t="s">
        <v>39</v>
      </c>
      <c r="I9" s="5" t="s">
        <v>40</v>
      </c>
      <c r="J9" s="5" t="s">
        <v>2</v>
      </c>
      <c r="K9" s="5" t="s">
        <v>2</v>
      </c>
      <c r="L9" s="6">
        <f>IF(I9="Cut","",IF(I9="Your call","(decide)",IF(I9="Rename",J9,IF(I9="Keep",IF(D9="",E9,D9),IF(E9="(unchanged)",D9,E9)))))</f>
      </c>
      <c r="M9" s="6">
        <f>IF(AND(I9="Cut",N9&gt;0,K9=""),"USED: say what replaces it (Note)",IF(AND(I9="Rename",J9=""),"type the new name",IF(AND(L9&lt;&gt;"",L9&lt;&gt;"(decide)",COUNTIF($L$2:$L$1680,L9)&gt;1),"SAME FINAL NAME AS ANOTHER ROW","")))</f>
      </c>
      <c r="N9" s="6">
        <v>3</v>
      </c>
      <c r="O9" s="6" t="s">
        <v>2</v>
      </c>
    </row>
    <row r="10" spans="1:15" x14ac:dyDescent="0.25">
      <c r="A10">
        <v>9</v>
      </c>
      <c r="B10" t="s">
        <v>33</v>
      </c>
      <c r="C10" t="s">
        <v>49</v>
      </c>
      <c r="D10" t="s">
        <v>59</v>
      </c>
      <c r="E10" t="s">
        <v>60</v>
      </c>
      <c r="F10" t="s">
        <v>37</v>
      </c>
      <c r="G10" t="s">
        <v>38</v>
      </c>
      <c r="H10" t="s">
        <v>39</v>
      </c>
      <c r="I10" s="5" t="s">
        <v>40</v>
      </c>
      <c r="J10" s="5" t="s">
        <v>2</v>
      </c>
      <c r="K10" s="5" t="s">
        <v>2</v>
      </c>
      <c r="L10" s="6">
        <f>IF(I10="Cut","",IF(I10="Your call","(decide)",IF(I10="Rename",J10,IF(I10="Keep",IF(D10="",E10,D10),IF(E10="(unchanged)",D10,E10)))))</f>
      </c>
      <c r="M10" s="6">
        <f>IF(AND(I10="Cut",N10&gt;0,K10=""),"USED: say what replaces it (Note)",IF(AND(I10="Rename",J10=""),"type the new name",IF(AND(L10&lt;&gt;"",L10&lt;&gt;"(decide)",COUNTIF($L$2:$L$1680,L10)&gt;1),"SAME FINAL NAME AS ANOTHER ROW","")))</f>
      </c>
      <c r="N10" s="6">
        <v>0</v>
      </c>
      <c r="O10" s="6" t="s">
        <v>2</v>
      </c>
    </row>
    <row r="11" spans="1:15" x14ac:dyDescent="0.25">
      <c r="A11">
        <v>10</v>
      </c>
      <c r="B11" t="s">
        <v>33</v>
      </c>
      <c r="C11" t="s">
        <v>49</v>
      </c>
      <c r="D11" t="s">
        <v>61</v>
      </c>
      <c r="E11" t="s">
        <v>62</v>
      </c>
      <c r="F11" t="s">
        <v>63</v>
      </c>
      <c r="G11" t="s">
        <v>38</v>
      </c>
      <c r="H11" t="s">
        <v>39</v>
      </c>
      <c r="I11" s="5" t="s">
        <v>40</v>
      </c>
      <c r="J11" s="5" t="s">
        <v>2</v>
      </c>
      <c r="K11" s="5" t="s">
        <v>2</v>
      </c>
      <c r="L11" s="6">
        <f>IF(I11="Cut","",IF(I11="Your call","(decide)",IF(I11="Rename",J11,IF(I11="Keep",IF(D11="",E11,D11),IF(E11="(unchanged)",D11,E11)))))</f>
      </c>
      <c r="M11" s="6">
        <f>IF(AND(I11="Cut",N11&gt;0,K11=""),"USED: say what replaces it (Note)",IF(AND(I11="Rename",J11=""),"type the new name",IF(AND(L11&lt;&gt;"",L11&lt;&gt;"(decide)",COUNTIF($L$2:$L$1680,L11)&gt;1),"SAME FINAL NAME AS ANOTHER ROW","")))</f>
      </c>
      <c r="N11" s="6">
        <v>0</v>
      </c>
      <c r="O11" s="6" t="s">
        <v>2</v>
      </c>
    </row>
    <row r="12" spans="1:15" x14ac:dyDescent="0.25">
      <c r="A12">
        <v>11</v>
      </c>
      <c r="B12" t="s">
        <v>33</v>
      </c>
      <c r="C12" t="s">
        <v>49</v>
      </c>
      <c r="D12" t="s">
        <v>64</v>
      </c>
      <c r="E12" t="s">
        <v>65</v>
      </c>
      <c r="F12" t="s">
        <v>63</v>
      </c>
      <c r="G12" t="s">
        <v>38</v>
      </c>
      <c r="H12" t="s">
        <v>39</v>
      </c>
      <c r="I12" s="5" t="s">
        <v>40</v>
      </c>
      <c r="J12" s="5" t="s">
        <v>2</v>
      </c>
      <c r="K12" s="5" t="s">
        <v>2</v>
      </c>
      <c r="L12" s="6">
        <f>IF(I12="Cut","",IF(I12="Your call","(decide)",IF(I12="Rename",J12,IF(I12="Keep",IF(D12="",E12,D12),IF(E12="(unchanged)",D12,E12)))))</f>
      </c>
      <c r="M12" s="6">
        <f>IF(AND(I12="Cut",N12&gt;0,K12=""),"USED: say what replaces it (Note)",IF(AND(I12="Rename",J12=""),"type the new name",IF(AND(L12&lt;&gt;"",L12&lt;&gt;"(decide)",COUNTIF($L$2:$L$1680,L12)&gt;1),"SAME FINAL NAME AS ANOTHER ROW","")))</f>
      </c>
      <c r="N12" s="6">
        <v>0</v>
      </c>
      <c r="O12" s="6" t="s">
        <v>2</v>
      </c>
    </row>
    <row r="13" spans="1:15" x14ac:dyDescent="0.25">
      <c r="A13">
        <v>12</v>
      </c>
      <c r="B13" t="s">
        <v>33</v>
      </c>
      <c r="C13" t="s">
        <v>66</v>
      </c>
      <c r="D13" t="s">
        <v>67</v>
      </c>
      <c r="E13" t="s">
        <v>68</v>
      </c>
      <c r="F13" t="s">
        <v>37</v>
      </c>
      <c r="G13" t="s">
        <v>38</v>
      </c>
      <c r="H13" t="s">
        <v>39</v>
      </c>
      <c r="I13" s="5" t="s">
        <v>40</v>
      </c>
      <c r="J13" s="5" t="s">
        <v>2</v>
      </c>
      <c r="K13" s="5" t="s">
        <v>2</v>
      </c>
      <c r="L13" s="6">
        <f>IF(I13="Cut","",IF(I13="Your call","(decide)",IF(I13="Rename",J13,IF(I13="Keep",IF(D13="",E13,D13),IF(E13="(unchanged)",D13,E13)))))</f>
      </c>
      <c r="M13" s="6">
        <f>IF(AND(I13="Cut",N13&gt;0,K13=""),"USED: say what replaces it (Note)",IF(AND(I13="Rename",J13=""),"type the new name",IF(AND(L13&lt;&gt;"",L13&lt;&gt;"(decide)",COUNTIF($L$2:$L$1680,L13)&gt;1),"SAME FINAL NAME AS ANOTHER ROW","")))</f>
      </c>
      <c r="N13" s="6">
        <v>0</v>
      </c>
      <c r="O13" s="6" t="s">
        <v>2</v>
      </c>
    </row>
    <row r="14" spans="1:15" x14ac:dyDescent="0.25">
      <c r="A14">
        <v>13</v>
      </c>
      <c r="B14" t="s">
        <v>33</v>
      </c>
      <c r="C14" t="s">
        <v>66</v>
      </c>
      <c r="D14" t="s">
        <v>69</v>
      </c>
      <c r="E14" t="s">
        <v>70</v>
      </c>
      <c r="F14" t="s">
        <v>37</v>
      </c>
      <c r="G14" t="s">
        <v>71</v>
      </c>
      <c r="H14" t="s">
        <v>39</v>
      </c>
      <c r="I14" s="5" t="s">
        <v>40</v>
      </c>
      <c r="J14" s="5" t="s">
        <v>2</v>
      </c>
      <c r="K14" s="5" t="s">
        <v>2</v>
      </c>
      <c r="L14" s="6">
        <f>IF(I14="Cut","",IF(I14="Your call","(decide)",IF(I14="Rename",J14,IF(I14="Keep",IF(D14="",E14,D14),IF(E14="(unchanged)",D14,E14)))))</f>
      </c>
      <c r="M14" s="6">
        <f>IF(AND(I14="Cut",N14&gt;0,K14=""),"USED: say what replaces it (Note)",IF(AND(I14="Rename",J14=""),"type the new name",IF(AND(L14&lt;&gt;"",L14&lt;&gt;"(decide)",COUNTIF($L$2:$L$1680,L14)&gt;1),"SAME FINAL NAME AS ANOTHER ROW","")))</f>
      </c>
      <c r="N14" s="6">
        <v>4</v>
      </c>
      <c r="O14" s="6" t="s">
        <v>2</v>
      </c>
    </row>
    <row r="15" spans="1:15" x14ac:dyDescent="0.25">
      <c r="A15">
        <v>14</v>
      </c>
      <c r="B15" t="s">
        <v>33</v>
      </c>
      <c r="C15" t="s">
        <v>72</v>
      </c>
      <c r="D15" t="s">
        <v>73</v>
      </c>
      <c r="E15" t="s">
        <v>74</v>
      </c>
      <c r="F15" t="s">
        <v>37</v>
      </c>
      <c r="G15" t="s">
        <v>38</v>
      </c>
      <c r="H15" t="s">
        <v>39</v>
      </c>
      <c r="I15" s="5" t="s">
        <v>40</v>
      </c>
      <c r="J15" s="5" t="s">
        <v>2</v>
      </c>
      <c r="K15" s="5" t="s">
        <v>2</v>
      </c>
      <c r="L15" s="6">
        <f>IF(I15="Cut","",IF(I15="Your call","(decide)",IF(I15="Rename",J15,IF(I15="Keep",IF(D15="",E15,D15),IF(E15="(unchanged)",D15,E15)))))</f>
      </c>
      <c r="M15" s="6">
        <f>IF(AND(I15="Cut",N15&gt;0,K15=""),"USED: say what replaces it (Note)",IF(AND(I15="Rename",J15=""),"type the new name",IF(AND(L15&lt;&gt;"",L15&lt;&gt;"(decide)",COUNTIF($L$2:$L$1680,L15)&gt;1),"SAME FINAL NAME AS ANOTHER ROW","")))</f>
      </c>
      <c r="N15" s="6">
        <v>0</v>
      </c>
      <c r="O15" s="6" t="s">
        <v>2</v>
      </c>
    </row>
    <row r="16" spans="1:15" x14ac:dyDescent="0.25">
      <c r="A16">
        <v>15</v>
      </c>
      <c r="B16" t="s">
        <v>33</v>
      </c>
      <c r="C16" t="s">
        <v>72</v>
      </c>
      <c r="D16" t="s">
        <v>75</v>
      </c>
      <c r="E16" t="s">
        <v>76</v>
      </c>
      <c r="F16" t="s">
        <v>37</v>
      </c>
      <c r="G16" t="s">
        <v>38</v>
      </c>
      <c r="H16" t="s">
        <v>39</v>
      </c>
      <c r="I16" s="5" t="s">
        <v>40</v>
      </c>
      <c r="J16" s="5" t="s">
        <v>2</v>
      </c>
      <c r="K16" s="5" t="s">
        <v>2</v>
      </c>
      <c r="L16" s="6">
        <f>IF(I16="Cut","",IF(I16="Your call","(decide)",IF(I16="Rename",J16,IF(I16="Keep",IF(D16="",E16,D16),IF(E16="(unchanged)",D16,E16)))))</f>
      </c>
      <c r="M16" s="6">
        <f>IF(AND(I16="Cut",N16&gt;0,K16=""),"USED: say what replaces it (Note)",IF(AND(I16="Rename",J16=""),"type the new name",IF(AND(L16&lt;&gt;"",L16&lt;&gt;"(decide)",COUNTIF($L$2:$L$1680,L16)&gt;1),"SAME FINAL NAME AS ANOTHER ROW","")))</f>
      </c>
      <c r="N16" s="6">
        <v>0</v>
      </c>
      <c r="O16" s="6" t="s">
        <v>2</v>
      </c>
    </row>
    <row r="17" spans="1:15" x14ac:dyDescent="0.25">
      <c r="A17">
        <v>16</v>
      </c>
      <c r="B17" t="s">
        <v>33</v>
      </c>
      <c r="C17" t="s">
        <v>77</v>
      </c>
      <c r="D17" t="s">
        <v>78</v>
      </c>
      <c r="E17" t="s">
        <v>79</v>
      </c>
      <c r="F17" t="s">
        <v>37</v>
      </c>
      <c r="G17" t="s">
        <v>38</v>
      </c>
      <c r="H17" t="s">
        <v>39</v>
      </c>
      <c r="I17" s="5" t="s">
        <v>40</v>
      </c>
      <c r="J17" s="5" t="s">
        <v>2</v>
      </c>
      <c r="K17" s="5" t="s">
        <v>2</v>
      </c>
      <c r="L17" s="6">
        <f>IF(I17="Cut","",IF(I17="Your call","(decide)",IF(I17="Rename",J17,IF(I17="Keep",IF(D17="",E17,D17),IF(E17="(unchanged)",D17,E17)))))</f>
      </c>
      <c r="M17" s="6">
        <f>IF(AND(I17="Cut",N17&gt;0,K17=""),"USED: say what replaces it (Note)",IF(AND(I17="Rename",J17=""),"type the new name",IF(AND(L17&lt;&gt;"",L17&lt;&gt;"(decide)",COUNTIF($L$2:$L$1680,L17)&gt;1),"SAME FINAL NAME AS ANOTHER ROW","")))</f>
      </c>
      <c r="N17" s="6">
        <v>0</v>
      </c>
      <c r="O17" s="6" t="s">
        <v>2</v>
      </c>
    </row>
    <row r="18" spans="1:15" x14ac:dyDescent="0.25">
      <c r="A18">
        <v>17</v>
      </c>
      <c r="B18" t="s">
        <v>33</v>
      </c>
      <c r="C18" t="s">
        <v>77</v>
      </c>
      <c r="D18" t="s">
        <v>80</v>
      </c>
      <c r="E18" t="s">
        <v>81</v>
      </c>
      <c r="F18" t="s">
        <v>37</v>
      </c>
      <c r="G18" t="s">
        <v>38</v>
      </c>
      <c r="H18" t="s">
        <v>39</v>
      </c>
      <c r="I18" s="5" t="s">
        <v>40</v>
      </c>
      <c r="J18" s="5" t="s">
        <v>2</v>
      </c>
      <c r="K18" s="5" t="s">
        <v>2</v>
      </c>
      <c r="L18" s="6">
        <f>IF(I18="Cut","",IF(I18="Your call","(decide)",IF(I18="Rename",J18,IF(I18="Keep",IF(D18="",E18,D18),IF(E18="(unchanged)",D18,E18)))))</f>
      </c>
      <c r="M18" s="6">
        <f>IF(AND(I18="Cut",N18&gt;0,K18=""),"USED: say what replaces it (Note)",IF(AND(I18="Rename",J18=""),"type the new name",IF(AND(L18&lt;&gt;"",L18&lt;&gt;"(decide)",COUNTIF($L$2:$L$1680,L18)&gt;1),"SAME FINAL NAME AS ANOTHER ROW","")))</f>
      </c>
      <c r="N18" s="6">
        <v>0</v>
      </c>
      <c r="O18" s="6" t="s">
        <v>2</v>
      </c>
    </row>
    <row r="19" spans="1:15" x14ac:dyDescent="0.25">
      <c r="A19">
        <v>18</v>
      </c>
      <c r="B19" t="s">
        <v>33</v>
      </c>
      <c r="C19" t="s">
        <v>77</v>
      </c>
      <c r="D19" t="s">
        <v>82</v>
      </c>
      <c r="E19" t="s">
        <v>83</v>
      </c>
      <c r="F19" t="s">
        <v>37</v>
      </c>
      <c r="G19" t="s">
        <v>38</v>
      </c>
      <c r="H19" t="s">
        <v>39</v>
      </c>
      <c r="I19" s="5" t="s">
        <v>40</v>
      </c>
      <c r="J19" s="5" t="s">
        <v>2</v>
      </c>
      <c r="K19" s="5" t="s">
        <v>2</v>
      </c>
      <c r="L19" s="6">
        <f>IF(I19="Cut","",IF(I19="Your call","(decide)",IF(I19="Rename",J19,IF(I19="Keep",IF(D19="",E19,D19),IF(E19="(unchanged)",D19,E19)))))</f>
      </c>
      <c r="M19" s="6">
        <f>IF(AND(I19="Cut",N19&gt;0,K19=""),"USED: say what replaces it (Note)",IF(AND(I19="Rename",J19=""),"type the new name",IF(AND(L19&lt;&gt;"",L19&lt;&gt;"(decide)",COUNTIF($L$2:$L$1680,L19)&gt;1),"SAME FINAL NAME AS ANOTHER ROW","")))</f>
      </c>
      <c r="N19" s="6">
        <v>0</v>
      </c>
      <c r="O19" s="6" t="s">
        <v>2</v>
      </c>
    </row>
    <row r="20" spans="1:15" x14ac:dyDescent="0.25">
      <c r="A20">
        <v>19</v>
      </c>
      <c r="B20" t="s">
        <v>33</v>
      </c>
      <c r="C20" t="s">
        <v>77</v>
      </c>
      <c r="D20" t="s">
        <v>84</v>
      </c>
      <c r="E20" t="s">
        <v>85</v>
      </c>
      <c r="F20" t="s">
        <v>37</v>
      </c>
      <c r="G20" t="s">
        <v>86</v>
      </c>
      <c r="H20" t="s">
        <v>39</v>
      </c>
      <c r="I20" s="5" t="s">
        <v>40</v>
      </c>
      <c r="J20" s="5" t="s">
        <v>2</v>
      </c>
      <c r="K20" s="5" t="s">
        <v>2</v>
      </c>
      <c r="L20" s="6">
        <f>IF(I20="Cut","",IF(I20="Your call","(decide)",IF(I20="Rename",J20,IF(I20="Keep",IF(D20="",E20,D20),IF(E20="(unchanged)",D20,E20)))))</f>
      </c>
      <c r="M20" s="6">
        <f>IF(AND(I20="Cut",N20&gt;0,K20=""),"USED: say what replaces it (Note)",IF(AND(I20="Rename",J20=""),"type the new name",IF(AND(L20&lt;&gt;"",L20&lt;&gt;"(decide)",COUNTIF($L$2:$L$1680,L20)&gt;1),"SAME FINAL NAME AS ANOTHER ROW","")))</f>
      </c>
      <c r="N20" s="6">
        <v>18</v>
      </c>
      <c r="O20" s="6" t="s">
        <v>2</v>
      </c>
    </row>
    <row r="21" spans="1:15" x14ac:dyDescent="0.25">
      <c r="A21">
        <v>20</v>
      </c>
      <c r="B21" t="s">
        <v>33</v>
      </c>
      <c r="C21" t="s">
        <v>77</v>
      </c>
      <c r="D21" t="s">
        <v>87</v>
      </c>
      <c r="E21" t="s">
        <v>88</v>
      </c>
      <c r="F21" t="s">
        <v>37</v>
      </c>
      <c r="G21" t="s">
        <v>89</v>
      </c>
      <c r="H21" t="s">
        <v>39</v>
      </c>
      <c r="I21" s="5" t="s">
        <v>40</v>
      </c>
      <c r="J21" s="5" t="s">
        <v>2</v>
      </c>
      <c r="K21" s="5" t="s">
        <v>2</v>
      </c>
      <c r="L21" s="6">
        <f>IF(I21="Cut","",IF(I21="Your call","(decide)",IF(I21="Rename",J21,IF(I21="Keep",IF(D21="",E21,D21),IF(E21="(unchanged)",D21,E21)))))</f>
      </c>
      <c r="M21" s="6">
        <f>IF(AND(I21="Cut",N21&gt;0,K21=""),"USED: say what replaces it (Note)",IF(AND(I21="Rename",J21=""),"type the new name",IF(AND(L21&lt;&gt;"",L21&lt;&gt;"(decide)",COUNTIF($L$2:$L$1680,L21)&gt;1),"SAME FINAL NAME AS ANOTHER ROW","")))</f>
      </c>
      <c r="N21" s="6">
        <v>4</v>
      </c>
      <c r="O21" s="6" t="s">
        <v>2</v>
      </c>
    </row>
    <row r="22" spans="1:15" x14ac:dyDescent="0.25">
      <c r="A22">
        <v>21</v>
      </c>
      <c r="B22" t="s">
        <v>33</v>
      </c>
      <c r="C22" t="s">
        <v>77</v>
      </c>
      <c r="D22" t="s">
        <v>90</v>
      </c>
      <c r="E22" t="s">
        <v>91</v>
      </c>
      <c r="F22" t="s">
        <v>37</v>
      </c>
      <c r="G22" t="s">
        <v>38</v>
      </c>
      <c r="H22" t="s">
        <v>39</v>
      </c>
      <c r="I22" s="5" t="s">
        <v>40</v>
      </c>
      <c r="J22" s="5" t="s">
        <v>2</v>
      </c>
      <c r="K22" s="5" t="s">
        <v>2</v>
      </c>
      <c r="L22" s="6">
        <f>IF(I22="Cut","",IF(I22="Your call","(decide)",IF(I22="Rename",J22,IF(I22="Keep",IF(D22="",E22,D22),IF(E22="(unchanged)",D22,E22)))))</f>
      </c>
      <c r="M22" s="6">
        <f>IF(AND(I22="Cut",N22&gt;0,K22=""),"USED: say what replaces it (Note)",IF(AND(I22="Rename",J22=""),"type the new name",IF(AND(L22&lt;&gt;"",L22&lt;&gt;"(decide)",COUNTIF($L$2:$L$1680,L22)&gt;1),"SAME FINAL NAME AS ANOTHER ROW","")))</f>
      </c>
      <c r="N22" s="6">
        <v>0</v>
      </c>
      <c r="O22" s="6" t="s">
        <v>2</v>
      </c>
    </row>
    <row r="23" spans="1:15" x14ac:dyDescent="0.25">
      <c r="A23">
        <v>22</v>
      </c>
      <c r="B23" t="s">
        <v>33</v>
      </c>
      <c r="C23" t="s">
        <v>77</v>
      </c>
      <c r="D23" t="s">
        <v>92</v>
      </c>
      <c r="E23" t="s">
        <v>93</v>
      </c>
      <c r="F23" t="s">
        <v>37</v>
      </c>
      <c r="G23" t="s">
        <v>94</v>
      </c>
      <c r="H23" t="s">
        <v>39</v>
      </c>
      <c r="I23" s="5" t="s">
        <v>40</v>
      </c>
      <c r="J23" s="5" t="s">
        <v>2</v>
      </c>
      <c r="K23" s="5" t="s">
        <v>2</v>
      </c>
      <c r="L23" s="6">
        <f>IF(I23="Cut","",IF(I23="Your call","(decide)",IF(I23="Rename",J23,IF(I23="Keep",IF(D23="",E23,D23),IF(E23="(unchanged)",D23,E23)))))</f>
      </c>
      <c r="M23" s="6">
        <f>IF(AND(I23="Cut",N23&gt;0,K23=""),"USED: say what replaces it (Note)",IF(AND(I23="Rename",J23=""),"type the new name",IF(AND(L23&lt;&gt;"",L23&lt;&gt;"(decide)",COUNTIF($L$2:$L$1680,L23)&gt;1),"SAME FINAL NAME AS ANOTHER ROW","")))</f>
      </c>
      <c r="N23" s="6">
        <v>1</v>
      </c>
      <c r="O23" s="6" t="s">
        <v>2</v>
      </c>
    </row>
    <row r="24" spans="1:15" x14ac:dyDescent="0.25">
      <c r="A24">
        <v>23</v>
      </c>
      <c r="B24" t="s">
        <v>33</v>
      </c>
      <c r="C24" t="s">
        <v>77</v>
      </c>
      <c r="D24" t="s">
        <v>95</v>
      </c>
      <c r="E24" t="s">
        <v>96</v>
      </c>
      <c r="F24" t="s">
        <v>37</v>
      </c>
      <c r="G24" t="s">
        <v>94</v>
      </c>
      <c r="H24" t="s">
        <v>39</v>
      </c>
      <c r="I24" s="5" t="s">
        <v>40</v>
      </c>
      <c r="J24" s="5" t="s">
        <v>2</v>
      </c>
      <c r="K24" s="5" t="s">
        <v>2</v>
      </c>
      <c r="L24" s="6">
        <f>IF(I24="Cut","",IF(I24="Your call","(decide)",IF(I24="Rename",J24,IF(I24="Keep",IF(D24="",E24,D24),IF(E24="(unchanged)",D24,E24)))))</f>
      </c>
      <c r="M24" s="6">
        <f>IF(AND(I24="Cut",N24&gt;0,K24=""),"USED: say what replaces it (Note)",IF(AND(I24="Rename",J24=""),"type the new name",IF(AND(L24&lt;&gt;"",L24&lt;&gt;"(decide)",COUNTIF($L$2:$L$1680,L24)&gt;1),"SAME FINAL NAME AS ANOTHER ROW","")))</f>
      </c>
      <c r="N24" s="6">
        <v>1</v>
      </c>
      <c r="O24" s="6" t="s">
        <v>2</v>
      </c>
    </row>
    <row r="25" spans="1:15" x14ac:dyDescent="0.25">
      <c r="A25">
        <v>24</v>
      </c>
      <c r="B25" t="s">
        <v>33</v>
      </c>
      <c r="C25" t="s">
        <v>77</v>
      </c>
      <c r="D25" t="s">
        <v>97</v>
      </c>
      <c r="E25" t="s">
        <v>98</v>
      </c>
      <c r="F25" t="s">
        <v>37</v>
      </c>
      <c r="G25" t="s">
        <v>38</v>
      </c>
      <c r="H25" t="s">
        <v>39</v>
      </c>
      <c r="I25" s="5" t="s">
        <v>40</v>
      </c>
      <c r="J25" s="5" t="s">
        <v>2</v>
      </c>
      <c r="K25" s="5" t="s">
        <v>2</v>
      </c>
      <c r="L25" s="6">
        <f>IF(I25="Cut","",IF(I25="Your call","(decide)",IF(I25="Rename",J25,IF(I25="Keep",IF(D25="",E25,D25),IF(E25="(unchanged)",D25,E25)))))</f>
      </c>
      <c r="M25" s="6">
        <f>IF(AND(I25="Cut",N25&gt;0,K25=""),"USED: say what replaces it (Note)",IF(AND(I25="Rename",J25=""),"type the new name",IF(AND(L25&lt;&gt;"",L25&lt;&gt;"(decide)",COUNTIF($L$2:$L$1680,L25)&gt;1),"SAME FINAL NAME AS ANOTHER ROW","")))</f>
      </c>
      <c r="N25" s="6">
        <v>0</v>
      </c>
      <c r="O25" s="6" t="s">
        <v>2</v>
      </c>
    </row>
    <row r="26" spans="1:15" x14ac:dyDescent="0.25">
      <c r="A26">
        <v>25</v>
      </c>
      <c r="B26" t="s">
        <v>33</v>
      </c>
      <c r="C26" t="s">
        <v>77</v>
      </c>
      <c r="D26" t="s">
        <v>99</v>
      </c>
      <c r="E26" t="s">
        <v>100</v>
      </c>
      <c r="F26" t="s">
        <v>37</v>
      </c>
      <c r="G26" t="s">
        <v>38</v>
      </c>
      <c r="H26" t="s">
        <v>39</v>
      </c>
      <c r="I26" s="5" t="s">
        <v>40</v>
      </c>
      <c r="J26" s="5" t="s">
        <v>2</v>
      </c>
      <c r="K26" s="5" t="s">
        <v>2</v>
      </c>
      <c r="L26" s="6">
        <f>IF(I26="Cut","",IF(I26="Your call","(decide)",IF(I26="Rename",J26,IF(I26="Keep",IF(D26="",E26,D26),IF(E26="(unchanged)",D26,E26)))))</f>
      </c>
      <c r="M26" s="6">
        <f>IF(AND(I26="Cut",N26&gt;0,K26=""),"USED: say what replaces it (Note)",IF(AND(I26="Rename",J26=""),"type the new name",IF(AND(L26&lt;&gt;"",L26&lt;&gt;"(decide)",COUNTIF($L$2:$L$1680,L26)&gt;1),"SAME FINAL NAME AS ANOTHER ROW","")))</f>
      </c>
      <c r="N26" s="6">
        <v>0</v>
      </c>
      <c r="O26" s="6" t="s">
        <v>2</v>
      </c>
    </row>
    <row r="27" spans="1:15" x14ac:dyDescent="0.25">
      <c r="A27">
        <v>26</v>
      </c>
      <c r="B27" t="s">
        <v>33</v>
      </c>
      <c r="C27" t="s">
        <v>77</v>
      </c>
      <c r="D27" t="s">
        <v>101</v>
      </c>
      <c r="E27" t="s">
        <v>102</v>
      </c>
      <c r="F27" t="s">
        <v>37</v>
      </c>
      <c r="G27" t="s">
        <v>38</v>
      </c>
      <c r="H27" t="s">
        <v>39</v>
      </c>
      <c r="I27" s="5" t="s">
        <v>40</v>
      </c>
      <c r="J27" s="5" t="s">
        <v>2</v>
      </c>
      <c r="K27" s="5" t="s">
        <v>2</v>
      </c>
      <c r="L27" s="6">
        <f>IF(I27="Cut","",IF(I27="Your call","(decide)",IF(I27="Rename",J27,IF(I27="Keep",IF(D27="",E27,D27),IF(E27="(unchanged)",D27,E27)))))</f>
      </c>
      <c r="M27" s="6">
        <f>IF(AND(I27="Cut",N27&gt;0,K27=""),"USED: say what replaces it (Note)",IF(AND(I27="Rename",J27=""),"type the new name",IF(AND(L27&lt;&gt;"",L27&lt;&gt;"(decide)",COUNTIF($L$2:$L$1680,L27)&gt;1),"SAME FINAL NAME AS ANOTHER ROW","")))</f>
      </c>
      <c r="N27" s="6">
        <v>0</v>
      </c>
      <c r="O27" s="6" t="s">
        <v>2</v>
      </c>
    </row>
    <row r="28" spans="1:15" x14ac:dyDescent="0.25">
      <c r="A28">
        <v>27</v>
      </c>
      <c r="B28" t="s">
        <v>33</v>
      </c>
      <c r="C28" t="s">
        <v>77</v>
      </c>
      <c r="D28" t="s">
        <v>103</v>
      </c>
      <c r="E28" t="s">
        <v>104</v>
      </c>
      <c r="F28" t="s">
        <v>37</v>
      </c>
      <c r="G28" t="s">
        <v>38</v>
      </c>
      <c r="H28" t="s">
        <v>39</v>
      </c>
      <c r="I28" s="5" t="s">
        <v>40</v>
      </c>
      <c r="J28" s="5" t="s">
        <v>2</v>
      </c>
      <c r="K28" s="5" t="s">
        <v>2</v>
      </c>
      <c r="L28" s="6">
        <f>IF(I28="Cut","",IF(I28="Your call","(decide)",IF(I28="Rename",J28,IF(I28="Keep",IF(D28="",E28,D28),IF(E28="(unchanged)",D28,E28)))))</f>
      </c>
      <c r="M28" s="6">
        <f>IF(AND(I28="Cut",N28&gt;0,K28=""),"USED: say what replaces it (Note)",IF(AND(I28="Rename",J28=""),"type the new name",IF(AND(L28&lt;&gt;"",L28&lt;&gt;"(decide)",COUNTIF($L$2:$L$1680,L28)&gt;1),"SAME FINAL NAME AS ANOTHER ROW","")))</f>
      </c>
      <c r="N28" s="6">
        <v>0</v>
      </c>
      <c r="O28" s="6" t="s">
        <v>2</v>
      </c>
    </row>
    <row r="29" spans="1:15" x14ac:dyDescent="0.25">
      <c r="A29">
        <v>28</v>
      </c>
      <c r="B29" t="s">
        <v>33</v>
      </c>
      <c r="C29" t="s">
        <v>77</v>
      </c>
      <c r="D29" t="s">
        <v>105</v>
      </c>
      <c r="E29" t="s">
        <v>106</v>
      </c>
      <c r="F29" t="s">
        <v>37</v>
      </c>
      <c r="G29" t="s">
        <v>38</v>
      </c>
      <c r="H29" t="s">
        <v>39</v>
      </c>
      <c r="I29" s="5" t="s">
        <v>40</v>
      </c>
      <c r="J29" s="5" t="s">
        <v>2</v>
      </c>
      <c r="K29" s="5" t="s">
        <v>2</v>
      </c>
      <c r="L29" s="6">
        <f>IF(I29="Cut","",IF(I29="Your call","(decide)",IF(I29="Rename",J29,IF(I29="Keep",IF(D29="",E29,D29),IF(E29="(unchanged)",D29,E29)))))</f>
      </c>
      <c r="M29" s="6">
        <f>IF(AND(I29="Cut",N29&gt;0,K29=""),"USED: say what replaces it (Note)",IF(AND(I29="Rename",J29=""),"type the new name",IF(AND(L29&lt;&gt;"",L29&lt;&gt;"(decide)",COUNTIF($L$2:$L$1680,L29)&gt;1),"SAME FINAL NAME AS ANOTHER ROW","")))</f>
      </c>
      <c r="N29" s="6">
        <v>0</v>
      </c>
      <c r="O29" s="6" t="s">
        <v>2</v>
      </c>
    </row>
    <row r="30" spans="1:15" x14ac:dyDescent="0.25">
      <c r="A30">
        <v>29</v>
      </c>
      <c r="B30" t="s">
        <v>33</v>
      </c>
      <c r="C30" t="s">
        <v>77</v>
      </c>
      <c r="D30" t="s">
        <v>107</v>
      </c>
      <c r="E30" t="s">
        <v>108</v>
      </c>
      <c r="F30" t="s">
        <v>37</v>
      </c>
      <c r="G30" t="s">
        <v>38</v>
      </c>
      <c r="H30" t="s">
        <v>39</v>
      </c>
      <c r="I30" s="5" t="s">
        <v>40</v>
      </c>
      <c r="J30" s="5" t="s">
        <v>2</v>
      </c>
      <c r="K30" s="5" t="s">
        <v>2</v>
      </c>
      <c r="L30" s="6">
        <f>IF(I30="Cut","",IF(I30="Your call","(decide)",IF(I30="Rename",J30,IF(I30="Keep",IF(D30="",E30,D30),IF(E30="(unchanged)",D30,E30)))))</f>
      </c>
      <c r="M30" s="6">
        <f>IF(AND(I30="Cut",N30&gt;0,K30=""),"USED: say what replaces it (Note)",IF(AND(I30="Rename",J30=""),"type the new name",IF(AND(L30&lt;&gt;"",L30&lt;&gt;"(decide)",COUNTIF($L$2:$L$1680,L30)&gt;1),"SAME FINAL NAME AS ANOTHER ROW","")))</f>
      </c>
      <c r="N30" s="6">
        <v>0</v>
      </c>
      <c r="O30" s="6" t="s">
        <v>2</v>
      </c>
    </row>
    <row r="31" spans="1:15" x14ac:dyDescent="0.25">
      <c r="A31">
        <v>30</v>
      </c>
      <c r="B31" t="s">
        <v>33</v>
      </c>
      <c r="C31" t="s">
        <v>77</v>
      </c>
      <c r="D31" t="s">
        <v>109</v>
      </c>
      <c r="E31" t="s">
        <v>110</v>
      </c>
      <c r="F31" t="s">
        <v>37</v>
      </c>
      <c r="G31" t="s">
        <v>38</v>
      </c>
      <c r="H31" t="s">
        <v>39</v>
      </c>
      <c r="I31" s="5" t="s">
        <v>40</v>
      </c>
      <c r="J31" s="5" t="s">
        <v>2</v>
      </c>
      <c r="K31" s="5" t="s">
        <v>2</v>
      </c>
      <c r="L31" s="6">
        <f>IF(I31="Cut","",IF(I31="Your call","(decide)",IF(I31="Rename",J31,IF(I31="Keep",IF(D31="",E31,D31),IF(E31="(unchanged)",D31,E31)))))</f>
      </c>
      <c r="M31" s="6">
        <f>IF(AND(I31="Cut",N31&gt;0,K31=""),"USED: say what replaces it (Note)",IF(AND(I31="Rename",J31=""),"type the new name",IF(AND(L31&lt;&gt;"",L31&lt;&gt;"(decide)",COUNTIF($L$2:$L$1680,L31)&gt;1),"SAME FINAL NAME AS ANOTHER ROW","")))</f>
      </c>
      <c r="N31" s="6">
        <v>0</v>
      </c>
      <c r="O31" s="6" t="s">
        <v>2</v>
      </c>
    </row>
    <row r="32" spans="1:15" x14ac:dyDescent="0.25">
      <c r="A32">
        <v>31</v>
      </c>
      <c r="B32" t="s">
        <v>33</v>
      </c>
      <c r="C32" t="s">
        <v>77</v>
      </c>
      <c r="D32" t="s">
        <v>111</v>
      </c>
      <c r="E32" t="s">
        <v>112</v>
      </c>
      <c r="F32" t="s">
        <v>37</v>
      </c>
      <c r="G32" t="s">
        <v>38</v>
      </c>
      <c r="H32" t="s">
        <v>39</v>
      </c>
      <c r="I32" s="5" t="s">
        <v>40</v>
      </c>
      <c r="J32" s="5" t="s">
        <v>2</v>
      </c>
      <c r="K32" s="5" t="s">
        <v>2</v>
      </c>
      <c r="L32" s="6">
        <f>IF(I32="Cut","",IF(I32="Your call","(decide)",IF(I32="Rename",J32,IF(I32="Keep",IF(D32="",E32,D32),IF(E32="(unchanged)",D32,E32)))))</f>
      </c>
      <c r="M32" s="6">
        <f>IF(AND(I32="Cut",N32&gt;0,K32=""),"USED: say what replaces it (Note)",IF(AND(I32="Rename",J32=""),"type the new name",IF(AND(L32&lt;&gt;"",L32&lt;&gt;"(decide)",COUNTIF($L$2:$L$1680,L32)&gt;1),"SAME FINAL NAME AS ANOTHER ROW","")))</f>
      </c>
      <c r="N32" s="6">
        <v>0</v>
      </c>
      <c r="O32" s="6" t="s">
        <v>2</v>
      </c>
    </row>
    <row r="33" spans="1:15" x14ac:dyDescent="0.25">
      <c r="A33">
        <v>32</v>
      </c>
      <c r="B33" t="s">
        <v>33</v>
      </c>
      <c r="C33" t="s">
        <v>77</v>
      </c>
      <c r="D33" t="s">
        <v>113</v>
      </c>
      <c r="E33" t="s">
        <v>114</v>
      </c>
      <c r="F33" t="s">
        <v>37</v>
      </c>
      <c r="G33" t="s">
        <v>38</v>
      </c>
      <c r="H33" t="s">
        <v>39</v>
      </c>
      <c r="I33" s="5" t="s">
        <v>40</v>
      </c>
      <c r="J33" s="5" t="s">
        <v>2</v>
      </c>
      <c r="K33" s="5" t="s">
        <v>2</v>
      </c>
      <c r="L33" s="6">
        <f>IF(I33="Cut","",IF(I33="Your call","(decide)",IF(I33="Rename",J33,IF(I33="Keep",IF(D33="",E33,D33),IF(E33="(unchanged)",D33,E33)))))</f>
      </c>
      <c r="M33" s="6">
        <f>IF(AND(I33="Cut",N33&gt;0,K33=""),"USED: say what replaces it (Note)",IF(AND(I33="Rename",J33=""),"type the new name",IF(AND(L33&lt;&gt;"",L33&lt;&gt;"(decide)",COUNTIF($L$2:$L$1680,L33)&gt;1),"SAME FINAL NAME AS ANOTHER ROW","")))</f>
      </c>
      <c r="N33" s="6">
        <v>0</v>
      </c>
      <c r="O33" s="6" t="s">
        <v>2</v>
      </c>
    </row>
    <row r="34" spans="1:15" x14ac:dyDescent="0.25">
      <c r="A34">
        <v>33</v>
      </c>
      <c r="B34" t="s">
        <v>33</v>
      </c>
      <c r="C34" t="s">
        <v>77</v>
      </c>
      <c r="D34" t="s">
        <v>115</v>
      </c>
      <c r="E34" t="s">
        <v>116</v>
      </c>
      <c r="F34" t="s">
        <v>37</v>
      </c>
      <c r="G34" t="s">
        <v>38</v>
      </c>
      <c r="H34" t="s">
        <v>39</v>
      </c>
      <c r="I34" s="5" t="s">
        <v>40</v>
      </c>
      <c r="J34" s="5" t="s">
        <v>2</v>
      </c>
      <c r="K34" s="5" t="s">
        <v>2</v>
      </c>
      <c r="L34" s="6">
        <f>IF(I34="Cut","",IF(I34="Your call","(decide)",IF(I34="Rename",J34,IF(I34="Keep",IF(D34="",E34,D34),IF(E34="(unchanged)",D34,E34)))))</f>
      </c>
      <c r="M34" s="6">
        <f>IF(AND(I34="Cut",N34&gt;0,K34=""),"USED: say what replaces it (Note)",IF(AND(I34="Rename",J34=""),"type the new name",IF(AND(L34&lt;&gt;"",L34&lt;&gt;"(decide)",COUNTIF($L$2:$L$1680,L34)&gt;1),"SAME FINAL NAME AS ANOTHER ROW","")))</f>
      </c>
      <c r="N34" s="6">
        <v>0</v>
      </c>
      <c r="O34" s="6" t="s">
        <v>2</v>
      </c>
    </row>
    <row r="35" spans="1:15" x14ac:dyDescent="0.25">
      <c r="A35">
        <v>34</v>
      </c>
      <c r="B35" t="s">
        <v>33</v>
      </c>
      <c r="C35" t="s">
        <v>77</v>
      </c>
      <c r="D35" t="s">
        <v>117</v>
      </c>
      <c r="E35" t="s">
        <v>118</v>
      </c>
      <c r="F35" t="s">
        <v>37</v>
      </c>
      <c r="G35" t="s">
        <v>38</v>
      </c>
      <c r="H35" t="s">
        <v>39</v>
      </c>
      <c r="I35" s="5" t="s">
        <v>40</v>
      </c>
      <c r="J35" s="5" t="s">
        <v>2</v>
      </c>
      <c r="K35" s="5" t="s">
        <v>2</v>
      </c>
      <c r="L35" s="6">
        <f>IF(I35="Cut","",IF(I35="Your call","(decide)",IF(I35="Rename",J35,IF(I35="Keep",IF(D35="",E35,D35),IF(E35="(unchanged)",D35,E35)))))</f>
      </c>
      <c r="M35" s="6">
        <f>IF(AND(I35="Cut",N35&gt;0,K35=""),"USED: say what replaces it (Note)",IF(AND(I35="Rename",J35=""),"type the new name",IF(AND(L35&lt;&gt;"",L35&lt;&gt;"(decide)",COUNTIF($L$2:$L$1680,L35)&gt;1),"SAME FINAL NAME AS ANOTHER ROW","")))</f>
      </c>
      <c r="N35" s="6">
        <v>0</v>
      </c>
      <c r="O35" s="6" t="s">
        <v>2</v>
      </c>
    </row>
    <row r="36" spans="1:15" x14ac:dyDescent="0.25">
      <c r="A36">
        <v>35</v>
      </c>
      <c r="B36" t="s">
        <v>33</v>
      </c>
      <c r="C36" t="s">
        <v>77</v>
      </c>
      <c r="D36" t="s">
        <v>119</v>
      </c>
      <c r="E36" t="s">
        <v>120</v>
      </c>
      <c r="F36" t="s">
        <v>37</v>
      </c>
      <c r="G36" t="s">
        <v>38</v>
      </c>
      <c r="H36" t="s">
        <v>39</v>
      </c>
      <c r="I36" s="5" t="s">
        <v>40</v>
      </c>
      <c r="J36" s="5" t="s">
        <v>2</v>
      </c>
      <c r="K36" s="5" t="s">
        <v>2</v>
      </c>
      <c r="L36" s="6">
        <f>IF(I36="Cut","",IF(I36="Your call","(decide)",IF(I36="Rename",J36,IF(I36="Keep",IF(D36="",E36,D36),IF(E36="(unchanged)",D36,E36)))))</f>
      </c>
      <c r="M36" s="6">
        <f>IF(AND(I36="Cut",N36&gt;0,K36=""),"USED: say what replaces it (Note)",IF(AND(I36="Rename",J36=""),"type the new name",IF(AND(L36&lt;&gt;"",L36&lt;&gt;"(decide)",COUNTIF($L$2:$L$1680,L36)&gt;1),"SAME FINAL NAME AS ANOTHER ROW","")))</f>
      </c>
      <c r="N36" s="6">
        <v>0</v>
      </c>
      <c r="O36" s="6" t="s">
        <v>2</v>
      </c>
    </row>
    <row r="37" spans="1:15" x14ac:dyDescent="0.25">
      <c r="A37">
        <v>36</v>
      </c>
      <c r="B37" t="s">
        <v>33</v>
      </c>
      <c r="C37" t="s">
        <v>77</v>
      </c>
      <c r="D37" t="s">
        <v>121</v>
      </c>
      <c r="E37" t="s">
        <v>122</v>
      </c>
      <c r="F37" t="s">
        <v>37</v>
      </c>
      <c r="G37" t="s">
        <v>38</v>
      </c>
      <c r="H37" t="s">
        <v>39</v>
      </c>
      <c r="I37" s="5" t="s">
        <v>40</v>
      </c>
      <c r="J37" s="5" t="s">
        <v>2</v>
      </c>
      <c r="K37" s="5" t="s">
        <v>2</v>
      </c>
      <c r="L37" s="6">
        <f>IF(I37="Cut","",IF(I37="Your call","(decide)",IF(I37="Rename",J37,IF(I37="Keep",IF(D37="",E37,D37),IF(E37="(unchanged)",D37,E37)))))</f>
      </c>
      <c r="M37" s="6">
        <f>IF(AND(I37="Cut",N37&gt;0,K37=""),"USED: say what replaces it (Note)",IF(AND(I37="Rename",J37=""),"type the new name",IF(AND(L37&lt;&gt;"",L37&lt;&gt;"(decide)",COUNTIF($L$2:$L$1680,L37)&gt;1),"SAME FINAL NAME AS ANOTHER ROW","")))</f>
      </c>
      <c r="N37" s="6">
        <v>0</v>
      </c>
      <c r="O37" s="6" t="s">
        <v>2</v>
      </c>
    </row>
    <row r="38" spans="1:15" x14ac:dyDescent="0.25">
      <c r="A38">
        <v>37</v>
      </c>
      <c r="B38" t="s">
        <v>33</v>
      </c>
      <c r="C38" t="s">
        <v>123</v>
      </c>
      <c r="D38" t="s">
        <v>124</v>
      </c>
      <c r="E38" t="s">
        <v>125</v>
      </c>
      <c r="F38" t="s">
        <v>37</v>
      </c>
      <c r="G38" t="s">
        <v>94</v>
      </c>
      <c r="H38" t="s">
        <v>39</v>
      </c>
      <c r="I38" s="5" t="s">
        <v>40</v>
      </c>
      <c r="J38" s="5" t="s">
        <v>2</v>
      </c>
      <c r="K38" s="5" t="s">
        <v>2</v>
      </c>
      <c r="L38" s="6">
        <f>IF(I38="Cut","",IF(I38="Your call","(decide)",IF(I38="Rename",J38,IF(I38="Keep",IF(D38="",E38,D38),IF(E38="(unchanged)",D38,E38)))))</f>
      </c>
      <c r="M38" s="6">
        <f>IF(AND(I38="Cut",N38&gt;0,K38=""),"USED: say what replaces it (Note)",IF(AND(I38="Rename",J38=""),"type the new name",IF(AND(L38&lt;&gt;"",L38&lt;&gt;"(decide)",COUNTIF($L$2:$L$1680,L38)&gt;1),"SAME FINAL NAME AS ANOTHER ROW","")))</f>
      </c>
      <c r="N38" s="6">
        <v>1</v>
      </c>
      <c r="O38" s="6" t="s">
        <v>2</v>
      </c>
    </row>
    <row r="39" spans="1:15" x14ac:dyDescent="0.25">
      <c r="A39">
        <v>38</v>
      </c>
      <c r="B39" t="s">
        <v>33</v>
      </c>
      <c r="C39" t="s">
        <v>126</v>
      </c>
      <c r="D39" t="s">
        <v>127</v>
      </c>
      <c r="E39" t="s">
        <v>128</v>
      </c>
      <c r="F39" t="s">
        <v>37</v>
      </c>
      <c r="G39" t="s">
        <v>94</v>
      </c>
      <c r="H39" t="s">
        <v>39</v>
      </c>
      <c r="I39" s="5" t="s">
        <v>40</v>
      </c>
      <c r="J39" s="5" t="s">
        <v>2</v>
      </c>
      <c r="K39" s="5" t="s">
        <v>2</v>
      </c>
      <c r="L39" s="6">
        <f>IF(I39="Cut","",IF(I39="Your call","(decide)",IF(I39="Rename",J39,IF(I39="Keep",IF(D39="",E39,D39),IF(E39="(unchanged)",D39,E39)))))</f>
      </c>
      <c r="M39" s="6">
        <f>IF(AND(I39="Cut",N39&gt;0,K39=""),"USED: say what replaces it (Note)",IF(AND(I39="Rename",J39=""),"type the new name",IF(AND(L39&lt;&gt;"",L39&lt;&gt;"(decide)",COUNTIF($L$2:$L$1680,L39)&gt;1),"SAME FINAL NAME AS ANOTHER ROW","")))</f>
      </c>
      <c r="N39" s="6">
        <v>1</v>
      </c>
      <c r="O39" s="6" t="s">
        <v>2</v>
      </c>
    </row>
    <row r="40" spans="1:15" x14ac:dyDescent="0.25">
      <c r="A40">
        <v>39</v>
      </c>
      <c r="B40" t="s">
        <v>33</v>
      </c>
      <c r="C40" t="s">
        <v>129</v>
      </c>
      <c r="D40" t="s">
        <v>130</v>
      </c>
      <c r="E40" t="s">
        <v>131</v>
      </c>
      <c r="F40" t="s">
        <v>37</v>
      </c>
      <c r="G40" t="s">
        <v>132</v>
      </c>
      <c r="H40" t="s">
        <v>39</v>
      </c>
      <c r="I40" s="5" t="s">
        <v>40</v>
      </c>
      <c r="J40" s="5" t="s">
        <v>2</v>
      </c>
      <c r="K40" s="5" t="s">
        <v>2</v>
      </c>
      <c r="L40" s="6">
        <f>IF(I40="Cut","",IF(I40="Your call","(decide)",IF(I40="Rename",J40,IF(I40="Keep",IF(D40="",E40,D40),IF(E40="(unchanged)",D40,E40)))))</f>
      </c>
      <c r="M40" s="6">
        <f>IF(AND(I40="Cut",N40&gt;0,K40=""),"USED: say what replaces it (Note)",IF(AND(I40="Rename",J40=""),"type the new name",IF(AND(L40&lt;&gt;"",L40&lt;&gt;"(decide)",COUNTIF($L$2:$L$1680,L40)&gt;1),"SAME FINAL NAME AS ANOTHER ROW","")))</f>
      </c>
      <c r="N40" s="6">
        <v>24</v>
      </c>
      <c r="O40" s="6" t="s">
        <v>2</v>
      </c>
    </row>
    <row r="41" spans="1:15" x14ac:dyDescent="0.25">
      <c r="A41">
        <v>40</v>
      </c>
      <c r="B41" t="s">
        <v>33</v>
      </c>
      <c r="C41" t="s">
        <v>129</v>
      </c>
      <c r="D41" t="s">
        <v>133</v>
      </c>
      <c r="E41" t="s">
        <v>134</v>
      </c>
      <c r="F41" t="s">
        <v>37</v>
      </c>
      <c r="G41" t="s">
        <v>135</v>
      </c>
      <c r="H41" t="s">
        <v>39</v>
      </c>
      <c r="I41" s="5" t="s">
        <v>40</v>
      </c>
      <c r="J41" s="5" t="s">
        <v>2</v>
      </c>
      <c r="K41" s="5" t="s">
        <v>2</v>
      </c>
      <c r="L41" s="6">
        <f>IF(I41="Cut","",IF(I41="Your call","(decide)",IF(I41="Rename",J41,IF(I41="Keep",IF(D41="",E41,D41),IF(E41="(unchanged)",D41,E41)))))</f>
      </c>
      <c r="M41" s="6">
        <f>IF(AND(I41="Cut",N41&gt;0,K41=""),"USED: say what replaces it (Note)",IF(AND(I41="Rename",J41=""),"type the new name",IF(AND(L41&lt;&gt;"",L41&lt;&gt;"(decide)",COUNTIF($L$2:$L$1680,L41)&gt;1),"SAME FINAL NAME AS ANOTHER ROW","")))</f>
      </c>
      <c r="N41" s="6">
        <v>8</v>
      </c>
      <c r="O41" s="6" t="s">
        <v>2</v>
      </c>
    </row>
    <row r="42" spans="1:15" x14ac:dyDescent="0.25">
      <c r="A42">
        <v>41</v>
      </c>
      <c r="B42" t="s">
        <v>33</v>
      </c>
      <c r="C42" t="s">
        <v>129</v>
      </c>
      <c r="D42" t="s">
        <v>136</v>
      </c>
      <c r="E42" t="s">
        <v>137</v>
      </c>
      <c r="F42" t="s">
        <v>37</v>
      </c>
      <c r="G42" t="s">
        <v>138</v>
      </c>
      <c r="H42" t="s">
        <v>39</v>
      </c>
      <c r="I42" s="5" t="s">
        <v>40</v>
      </c>
      <c r="J42" s="5" t="s">
        <v>2</v>
      </c>
      <c r="K42" s="5" t="s">
        <v>2</v>
      </c>
      <c r="L42" s="6">
        <f>IF(I42="Cut","",IF(I42="Your call","(decide)",IF(I42="Rename",J42,IF(I42="Keep",IF(D42="",E42,D42),IF(E42="(unchanged)",D42,E42)))))</f>
      </c>
      <c r="M42" s="6">
        <f>IF(AND(I42="Cut",N42&gt;0,K42=""),"USED: say what replaces it (Note)",IF(AND(I42="Rename",J42=""),"type the new name",IF(AND(L42&lt;&gt;"",L42&lt;&gt;"(decide)",COUNTIF($L$2:$L$1680,L42)&gt;1),"SAME FINAL NAME AS ANOTHER ROW","")))</f>
      </c>
      <c r="N42" s="6">
        <v>15</v>
      </c>
      <c r="O42" s="6" t="s">
        <v>2</v>
      </c>
    </row>
    <row r="43" spans="1:15" x14ac:dyDescent="0.25">
      <c r="A43">
        <v>42</v>
      </c>
      <c r="B43" t="s">
        <v>33</v>
      </c>
      <c r="C43" t="s">
        <v>129</v>
      </c>
      <c r="D43" t="s">
        <v>139</v>
      </c>
      <c r="E43" t="s">
        <v>140</v>
      </c>
      <c r="F43" t="s">
        <v>37</v>
      </c>
      <c r="G43" t="s">
        <v>94</v>
      </c>
      <c r="H43" t="s">
        <v>39</v>
      </c>
      <c r="I43" s="5" t="s">
        <v>40</v>
      </c>
      <c r="J43" s="5" t="s">
        <v>2</v>
      </c>
      <c r="K43" s="5" t="s">
        <v>2</v>
      </c>
      <c r="L43" s="6">
        <f>IF(I43="Cut","",IF(I43="Your call","(decide)",IF(I43="Rename",J43,IF(I43="Keep",IF(D43="",E43,D43),IF(E43="(unchanged)",D43,E43)))))</f>
      </c>
      <c r="M43" s="6">
        <f>IF(AND(I43="Cut",N43&gt;0,K43=""),"USED: say what replaces it (Note)",IF(AND(I43="Rename",J43=""),"type the new name",IF(AND(L43&lt;&gt;"",L43&lt;&gt;"(decide)",COUNTIF($L$2:$L$1680,L43)&gt;1),"SAME FINAL NAME AS ANOTHER ROW","")))</f>
      </c>
      <c r="N43" s="6">
        <v>1</v>
      </c>
      <c r="O43" s="6" t="s">
        <v>2</v>
      </c>
    </row>
    <row r="44" spans="1:15" x14ac:dyDescent="0.25">
      <c r="A44">
        <v>43</v>
      </c>
      <c r="B44" t="s">
        <v>33</v>
      </c>
      <c r="C44" t="s">
        <v>129</v>
      </c>
      <c r="D44" t="s">
        <v>141</v>
      </c>
      <c r="E44" t="s">
        <v>142</v>
      </c>
      <c r="F44" t="s">
        <v>37</v>
      </c>
      <c r="G44" t="s">
        <v>58</v>
      </c>
      <c r="H44" t="s">
        <v>39</v>
      </c>
      <c r="I44" s="5" t="s">
        <v>40</v>
      </c>
      <c r="J44" s="5" t="s">
        <v>2</v>
      </c>
      <c r="K44" s="5" t="s">
        <v>2</v>
      </c>
      <c r="L44" s="6">
        <f>IF(I44="Cut","",IF(I44="Your call","(decide)",IF(I44="Rename",J44,IF(I44="Keep",IF(D44="",E44,D44),IF(E44="(unchanged)",D44,E44)))))</f>
      </c>
      <c r="M44" s="6">
        <f>IF(AND(I44="Cut",N44&gt;0,K44=""),"USED: say what replaces it (Note)",IF(AND(I44="Rename",J44=""),"type the new name",IF(AND(L44&lt;&gt;"",L44&lt;&gt;"(decide)",COUNTIF($L$2:$L$1680,L44)&gt;1),"SAME FINAL NAME AS ANOTHER ROW","")))</f>
      </c>
      <c r="N44" s="6">
        <v>3</v>
      </c>
      <c r="O44" s="6" t="s">
        <v>2</v>
      </c>
    </row>
    <row r="45" spans="1:15" x14ac:dyDescent="0.25">
      <c r="A45">
        <v>44</v>
      </c>
      <c r="B45" t="s">
        <v>33</v>
      </c>
      <c r="C45" t="s">
        <v>129</v>
      </c>
      <c r="D45" t="s">
        <v>143</v>
      </c>
      <c r="E45" t="s">
        <v>144</v>
      </c>
      <c r="F45" t="s">
        <v>37</v>
      </c>
      <c r="G45" t="s">
        <v>48</v>
      </c>
      <c r="H45" t="s">
        <v>39</v>
      </c>
      <c r="I45" s="5" t="s">
        <v>40</v>
      </c>
      <c r="J45" s="5" t="s">
        <v>2</v>
      </c>
      <c r="K45" s="5" t="s">
        <v>2</v>
      </c>
      <c r="L45" s="6">
        <f>IF(I45="Cut","",IF(I45="Your call","(decide)",IF(I45="Rename",J45,IF(I45="Keep",IF(D45="",E45,D45),IF(E45="(unchanged)",D45,E45)))))</f>
      </c>
      <c r="M45" s="6">
        <f>IF(AND(I45="Cut",N45&gt;0,K45=""),"USED: say what replaces it (Note)",IF(AND(I45="Rename",J45=""),"type the new name",IF(AND(L45&lt;&gt;"",L45&lt;&gt;"(decide)",COUNTIF($L$2:$L$1680,L45)&gt;1),"SAME FINAL NAME AS ANOTHER ROW","")))</f>
      </c>
      <c r="N45" s="6">
        <v>2</v>
      </c>
      <c r="O45" s="6" t="s">
        <v>2</v>
      </c>
    </row>
    <row r="46" spans="1:15" x14ac:dyDescent="0.25">
      <c r="A46">
        <v>45</v>
      </c>
      <c r="B46" t="s">
        <v>33</v>
      </c>
      <c r="C46" t="s">
        <v>129</v>
      </c>
      <c r="D46" t="s">
        <v>145</v>
      </c>
      <c r="E46" t="s">
        <v>146</v>
      </c>
      <c r="F46" t="s">
        <v>37</v>
      </c>
      <c r="G46" t="s">
        <v>94</v>
      </c>
      <c r="H46" t="s">
        <v>39</v>
      </c>
      <c r="I46" s="5" t="s">
        <v>40</v>
      </c>
      <c r="J46" s="5" t="s">
        <v>2</v>
      </c>
      <c r="K46" s="5" t="s">
        <v>2</v>
      </c>
      <c r="L46" s="6">
        <f>IF(I46="Cut","",IF(I46="Your call","(decide)",IF(I46="Rename",J46,IF(I46="Keep",IF(D46="",E46,D46),IF(E46="(unchanged)",D46,E46)))))</f>
      </c>
      <c r="M46" s="6">
        <f>IF(AND(I46="Cut",N46&gt;0,K46=""),"USED: say what replaces it (Note)",IF(AND(I46="Rename",J46=""),"type the new name",IF(AND(L46&lt;&gt;"",L46&lt;&gt;"(decide)",COUNTIF($L$2:$L$1680,L46)&gt;1),"SAME FINAL NAME AS ANOTHER ROW","")))</f>
      </c>
      <c r="N46" s="6">
        <v>1</v>
      </c>
      <c r="O46" s="6" t="s">
        <v>2</v>
      </c>
    </row>
    <row r="47" spans="1:15" x14ac:dyDescent="0.25">
      <c r="A47">
        <v>46</v>
      </c>
      <c r="B47" t="s">
        <v>33</v>
      </c>
      <c r="C47" t="s">
        <v>129</v>
      </c>
      <c r="D47" t="s">
        <v>147</v>
      </c>
      <c r="E47" t="s">
        <v>148</v>
      </c>
      <c r="F47" t="s">
        <v>37</v>
      </c>
      <c r="G47" t="s">
        <v>38</v>
      </c>
      <c r="H47" t="s">
        <v>39</v>
      </c>
      <c r="I47" s="5" t="s">
        <v>40</v>
      </c>
      <c r="J47" s="5" t="s">
        <v>2</v>
      </c>
      <c r="K47" s="5" t="s">
        <v>2</v>
      </c>
      <c r="L47" s="6">
        <f>IF(I47="Cut","",IF(I47="Your call","(decide)",IF(I47="Rename",J47,IF(I47="Keep",IF(D47="",E47,D47),IF(E47="(unchanged)",D47,E47)))))</f>
      </c>
      <c r="M47" s="6">
        <f>IF(AND(I47="Cut",N47&gt;0,K47=""),"USED: say what replaces it (Note)",IF(AND(I47="Rename",J47=""),"type the new name",IF(AND(L47&lt;&gt;"",L47&lt;&gt;"(decide)",COUNTIF($L$2:$L$1680,L47)&gt;1),"SAME FINAL NAME AS ANOTHER ROW","")))</f>
      </c>
      <c r="N47" s="6">
        <v>0</v>
      </c>
      <c r="O47" s="6" t="s">
        <v>2</v>
      </c>
    </row>
    <row r="48" spans="1:15" x14ac:dyDescent="0.25">
      <c r="A48">
        <v>47</v>
      </c>
      <c r="B48" t="s">
        <v>33</v>
      </c>
      <c r="C48" t="s">
        <v>129</v>
      </c>
      <c r="D48" t="s">
        <v>149</v>
      </c>
      <c r="E48" t="s">
        <v>150</v>
      </c>
      <c r="F48" t="s">
        <v>37</v>
      </c>
      <c r="G48" t="s">
        <v>151</v>
      </c>
      <c r="H48" t="s">
        <v>39</v>
      </c>
      <c r="I48" s="5" t="s">
        <v>40</v>
      </c>
      <c r="J48" s="5" t="s">
        <v>2</v>
      </c>
      <c r="K48" s="5" t="s">
        <v>2</v>
      </c>
      <c r="L48" s="6">
        <f>IF(I48="Cut","",IF(I48="Your call","(decide)",IF(I48="Rename",J48,IF(I48="Keep",IF(D48="",E48,D48),IF(E48="(unchanged)",D48,E48)))))</f>
      </c>
      <c r="M48" s="6">
        <f>IF(AND(I48="Cut",N48&gt;0,K48=""),"USED: say what replaces it (Note)",IF(AND(I48="Rename",J48=""),"type the new name",IF(AND(L48&lt;&gt;"",L48&lt;&gt;"(decide)",COUNTIF($L$2:$L$1680,L48)&gt;1),"SAME FINAL NAME AS ANOTHER ROW","")))</f>
      </c>
      <c r="N48" s="6">
        <v>5</v>
      </c>
      <c r="O48" s="6" t="s">
        <v>2</v>
      </c>
    </row>
    <row r="49" spans="1:15" x14ac:dyDescent="0.25">
      <c r="A49">
        <v>48</v>
      </c>
      <c r="B49" t="s">
        <v>33</v>
      </c>
      <c r="C49" t="s">
        <v>152</v>
      </c>
      <c r="D49" t="s">
        <v>153</v>
      </c>
      <c r="E49" t="s">
        <v>154</v>
      </c>
      <c r="F49" t="s">
        <v>37</v>
      </c>
      <c r="G49" t="s">
        <v>38</v>
      </c>
      <c r="H49" t="s">
        <v>39</v>
      </c>
      <c r="I49" s="5" t="s">
        <v>40</v>
      </c>
      <c r="J49" s="5" t="s">
        <v>2</v>
      </c>
      <c r="K49" s="5" t="s">
        <v>2</v>
      </c>
      <c r="L49" s="6">
        <f>IF(I49="Cut","",IF(I49="Your call","(decide)",IF(I49="Rename",J49,IF(I49="Keep",IF(D49="",E49,D49),IF(E49="(unchanged)",D49,E49)))))</f>
      </c>
      <c r="M49" s="6">
        <f>IF(AND(I49="Cut",N49&gt;0,K49=""),"USED: say what replaces it (Note)",IF(AND(I49="Rename",J49=""),"type the new name",IF(AND(L49&lt;&gt;"",L49&lt;&gt;"(decide)",COUNTIF($L$2:$L$1680,L49)&gt;1),"SAME FINAL NAME AS ANOTHER ROW","")))</f>
      </c>
      <c r="N49" s="6">
        <v>0</v>
      </c>
      <c r="O49" s="6" t="s">
        <v>2</v>
      </c>
    </row>
    <row r="50" spans="1:15" x14ac:dyDescent="0.25">
      <c r="A50">
        <v>49</v>
      </c>
      <c r="B50" t="s">
        <v>33</v>
      </c>
      <c r="C50" t="s">
        <v>152</v>
      </c>
      <c r="D50" t="s">
        <v>155</v>
      </c>
      <c r="E50" t="s">
        <v>156</v>
      </c>
      <c r="F50" t="s">
        <v>37</v>
      </c>
      <c r="G50" t="s">
        <v>38</v>
      </c>
      <c r="H50" t="s">
        <v>39</v>
      </c>
      <c r="I50" s="5" t="s">
        <v>40</v>
      </c>
      <c r="J50" s="5" t="s">
        <v>2</v>
      </c>
      <c r="K50" s="5" t="s">
        <v>2</v>
      </c>
      <c r="L50" s="6">
        <f>IF(I50="Cut","",IF(I50="Your call","(decide)",IF(I50="Rename",J50,IF(I50="Keep",IF(D50="",E50,D50),IF(E50="(unchanged)",D50,E50)))))</f>
      </c>
      <c r="M50" s="6">
        <f>IF(AND(I50="Cut",N50&gt;0,K50=""),"USED: say what replaces it (Note)",IF(AND(I50="Rename",J50=""),"type the new name",IF(AND(L50&lt;&gt;"",L50&lt;&gt;"(decide)",COUNTIF($L$2:$L$1680,L50)&gt;1),"SAME FINAL NAME AS ANOTHER ROW","")))</f>
      </c>
      <c r="N50" s="6">
        <v>0</v>
      </c>
      <c r="O50" s="6" t="s">
        <v>2</v>
      </c>
    </row>
    <row r="51" spans="1:15" x14ac:dyDescent="0.25">
      <c r="A51">
        <v>50</v>
      </c>
      <c r="B51" t="s">
        <v>33</v>
      </c>
      <c r="C51" t="s">
        <v>152</v>
      </c>
      <c r="D51" t="s">
        <v>157</v>
      </c>
      <c r="E51" t="s">
        <v>158</v>
      </c>
      <c r="F51" t="s">
        <v>37</v>
      </c>
      <c r="G51" t="s">
        <v>38</v>
      </c>
      <c r="H51" t="s">
        <v>39</v>
      </c>
      <c r="I51" s="5" t="s">
        <v>40</v>
      </c>
      <c r="J51" s="5" t="s">
        <v>2</v>
      </c>
      <c r="K51" s="5" t="s">
        <v>2</v>
      </c>
      <c r="L51" s="6">
        <f>IF(I51="Cut","",IF(I51="Your call","(decide)",IF(I51="Rename",J51,IF(I51="Keep",IF(D51="",E51,D51),IF(E51="(unchanged)",D51,E51)))))</f>
      </c>
      <c r="M51" s="6">
        <f>IF(AND(I51="Cut",N51&gt;0,K51=""),"USED: say what replaces it (Note)",IF(AND(I51="Rename",J51=""),"type the new name",IF(AND(L51&lt;&gt;"",L51&lt;&gt;"(decide)",COUNTIF($L$2:$L$1680,L51)&gt;1),"SAME FINAL NAME AS ANOTHER ROW","")))</f>
      </c>
      <c r="N51" s="6">
        <v>0</v>
      </c>
      <c r="O51" s="6" t="s">
        <v>2</v>
      </c>
    </row>
    <row r="52" spans="1:15" x14ac:dyDescent="0.25">
      <c r="A52">
        <v>51</v>
      </c>
      <c r="B52" t="s">
        <v>33</v>
      </c>
      <c r="C52" t="s">
        <v>152</v>
      </c>
      <c r="D52" t="s">
        <v>159</v>
      </c>
      <c r="E52" t="s">
        <v>160</v>
      </c>
      <c r="F52" t="s">
        <v>37</v>
      </c>
      <c r="G52" t="s">
        <v>38</v>
      </c>
      <c r="H52" t="s">
        <v>39</v>
      </c>
      <c r="I52" s="5" t="s">
        <v>40</v>
      </c>
      <c r="J52" s="5" t="s">
        <v>2</v>
      </c>
      <c r="K52" s="5" t="s">
        <v>2</v>
      </c>
      <c r="L52" s="6">
        <f>IF(I52="Cut","",IF(I52="Your call","(decide)",IF(I52="Rename",J52,IF(I52="Keep",IF(D52="",E52,D52),IF(E52="(unchanged)",D52,E52)))))</f>
      </c>
      <c r="M52" s="6">
        <f>IF(AND(I52="Cut",N52&gt;0,K52=""),"USED: say what replaces it (Note)",IF(AND(I52="Rename",J52=""),"type the new name",IF(AND(L52&lt;&gt;"",L52&lt;&gt;"(decide)",COUNTIF($L$2:$L$1680,L52)&gt;1),"SAME FINAL NAME AS ANOTHER ROW","")))</f>
      </c>
      <c r="N52" s="6">
        <v>0</v>
      </c>
      <c r="O52" s="6" t="s">
        <v>2</v>
      </c>
    </row>
    <row r="53" spans="1:15" x14ac:dyDescent="0.25">
      <c r="A53">
        <v>52</v>
      </c>
      <c r="B53" t="s">
        <v>33</v>
      </c>
      <c r="C53" t="s">
        <v>152</v>
      </c>
      <c r="D53" t="s">
        <v>161</v>
      </c>
      <c r="E53" t="s">
        <v>162</v>
      </c>
      <c r="F53" t="s">
        <v>37</v>
      </c>
      <c r="G53" t="s">
        <v>38</v>
      </c>
      <c r="H53" t="s">
        <v>39</v>
      </c>
      <c r="I53" s="5" t="s">
        <v>40</v>
      </c>
      <c r="J53" s="5" t="s">
        <v>2</v>
      </c>
      <c r="K53" s="5" t="s">
        <v>2</v>
      </c>
      <c r="L53" s="6">
        <f>IF(I53="Cut","",IF(I53="Your call","(decide)",IF(I53="Rename",J53,IF(I53="Keep",IF(D53="",E53,D53),IF(E53="(unchanged)",D53,E53)))))</f>
      </c>
      <c r="M53" s="6">
        <f>IF(AND(I53="Cut",N53&gt;0,K53=""),"USED: say what replaces it (Note)",IF(AND(I53="Rename",J53=""),"type the new name",IF(AND(L53&lt;&gt;"",L53&lt;&gt;"(decide)",COUNTIF($L$2:$L$1680,L53)&gt;1),"SAME FINAL NAME AS ANOTHER ROW","")))</f>
      </c>
      <c r="N53" s="6">
        <v>0</v>
      </c>
      <c r="O53" s="6" t="s">
        <v>2</v>
      </c>
    </row>
    <row r="54" spans="1:15" x14ac:dyDescent="0.25">
      <c r="A54">
        <v>53</v>
      </c>
      <c r="B54" t="s">
        <v>33</v>
      </c>
      <c r="C54" t="s">
        <v>152</v>
      </c>
      <c r="D54" t="s">
        <v>163</v>
      </c>
      <c r="E54" t="s">
        <v>164</v>
      </c>
      <c r="F54" t="s">
        <v>37</v>
      </c>
      <c r="G54" t="s">
        <v>38</v>
      </c>
      <c r="H54" t="s">
        <v>39</v>
      </c>
      <c r="I54" s="5" t="s">
        <v>40</v>
      </c>
      <c r="J54" s="5" t="s">
        <v>2</v>
      </c>
      <c r="K54" s="5" t="s">
        <v>2</v>
      </c>
      <c r="L54" s="6">
        <f>IF(I54="Cut","",IF(I54="Your call","(decide)",IF(I54="Rename",J54,IF(I54="Keep",IF(D54="",E54,D54),IF(E54="(unchanged)",D54,E54)))))</f>
      </c>
      <c r="M54" s="6">
        <f>IF(AND(I54="Cut",N54&gt;0,K54=""),"USED: say what replaces it (Note)",IF(AND(I54="Rename",J54=""),"type the new name",IF(AND(L54&lt;&gt;"",L54&lt;&gt;"(decide)",COUNTIF($L$2:$L$1680,L54)&gt;1),"SAME FINAL NAME AS ANOTHER ROW","")))</f>
      </c>
      <c r="N54" s="6">
        <v>0</v>
      </c>
      <c r="O54" s="6" t="s">
        <v>2</v>
      </c>
    </row>
    <row r="55" spans="1:15" x14ac:dyDescent="0.25">
      <c r="A55">
        <v>54</v>
      </c>
      <c r="B55" t="s">
        <v>33</v>
      </c>
      <c r="C55" t="s">
        <v>152</v>
      </c>
      <c r="D55" t="s">
        <v>165</v>
      </c>
      <c r="E55" t="s">
        <v>166</v>
      </c>
      <c r="F55" t="s">
        <v>37</v>
      </c>
      <c r="G55" t="s">
        <v>94</v>
      </c>
      <c r="H55" t="s">
        <v>39</v>
      </c>
      <c r="I55" s="5" t="s">
        <v>40</v>
      </c>
      <c r="J55" s="5" t="s">
        <v>2</v>
      </c>
      <c r="K55" s="5" t="s">
        <v>2</v>
      </c>
      <c r="L55" s="6">
        <f>IF(I55="Cut","",IF(I55="Your call","(decide)",IF(I55="Rename",J55,IF(I55="Keep",IF(D55="",E55,D55),IF(E55="(unchanged)",D55,E55)))))</f>
      </c>
      <c r="M55" s="6">
        <f>IF(AND(I55="Cut",N55&gt;0,K55=""),"USED: say what replaces it (Note)",IF(AND(I55="Rename",J55=""),"type the new name",IF(AND(L55&lt;&gt;"",L55&lt;&gt;"(decide)",COUNTIF($L$2:$L$1680,L55)&gt;1),"SAME FINAL NAME AS ANOTHER ROW","")))</f>
      </c>
      <c r="N55" s="6">
        <v>1</v>
      </c>
      <c r="O55" s="6" t="s">
        <v>2</v>
      </c>
    </row>
    <row r="56" spans="1:15" x14ac:dyDescent="0.25">
      <c r="A56">
        <v>55</v>
      </c>
      <c r="B56" t="s">
        <v>33</v>
      </c>
      <c r="C56" t="s">
        <v>152</v>
      </c>
      <c r="D56" t="s">
        <v>167</v>
      </c>
      <c r="E56" t="s">
        <v>168</v>
      </c>
      <c r="F56" t="s">
        <v>37</v>
      </c>
      <c r="G56" t="s">
        <v>38</v>
      </c>
      <c r="H56" t="s">
        <v>39</v>
      </c>
      <c r="I56" s="5" t="s">
        <v>40</v>
      </c>
      <c r="J56" s="5" t="s">
        <v>2</v>
      </c>
      <c r="K56" s="5" t="s">
        <v>2</v>
      </c>
      <c r="L56" s="6">
        <f>IF(I56="Cut","",IF(I56="Your call","(decide)",IF(I56="Rename",J56,IF(I56="Keep",IF(D56="",E56,D56),IF(E56="(unchanged)",D56,E56)))))</f>
      </c>
      <c r="M56" s="6">
        <f>IF(AND(I56="Cut",N56&gt;0,K56=""),"USED: say what replaces it (Note)",IF(AND(I56="Rename",J56=""),"type the new name",IF(AND(L56&lt;&gt;"",L56&lt;&gt;"(decide)",COUNTIF($L$2:$L$1680,L56)&gt;1),"SAME FINAL NAME AS ANOTHER ROW","")))</f>
      </c>
      <c r="N56" s="6">
        <v>0</v>
      </c>
      <c r="O56" s="6" t="s">
        <v>2</v>
      </c>
    </row>
    <row r="57" spans="1:15" x14ac:dyDescent="0.25">
      <c r="A57">
        <v>56</v>
      </c>
      <c r="B57" t="s">
        <v>33</v>
      </c>
      <c r="C57" t="s">
        <v>169</v>
      </c>
      <c r="D57" t="s">
        <v>170</v>
      </c>
      <c r="E57" t="s">
        <v>171</v>
      </c>
      <c r="F57" t="s">
        <v>37</v>
      </c>
      <c r="G57" t="s">
        <v>38</v>
      </c>
      <c r="H57" t="s">
        <v>39</v>
      </c>
      <c r="I57" s="5" t="s">
        <v>40</v>
      </c>
      <c r="J57" s="5" t="s">
        <v>2</v>
      </c>
      <c r="K57" s="5" t="s">
        <v>2</v>
      </c>
      <c r="L57" s="6">
        <f>IF(I57="Cut","",IF(I57="Your call","(decide)",IF(I57="Rename",J57,IF(I57="Keep",IF(D57="",E57,D57),IF(E57="(unchanged)",D57,E57)))))</f>
      </c>
      <c r="M57" s="6">
        <f>IF(AND(I57="Cut",N57&gt;0,K57=""),"USED: say what replaces it (Note)",IF(AND(I57="Rename",J57=""),"type the new name",IF(AND(L57&lt;&gt;"",L57&lt;&gt;"(decide)",COUNTIF($L$2:$L$1680,L57)&gt;1),"SAME FINAL NAME AS ANOTHER ROW","")))</f>
      </c>
      <c r="N57" s="6">
        <v>0</v>
      </c>
      <c r="O57" s="6" t="s">
        <v>2</v>
      </c>
    </row>
    <row r="58" spans="1:15" x14ac:dyDescent="0.25">
      <c r="A58">
        <v>57</v>
      </c>
      <c r="B58" t="s">
        <v>33</v>
      </c>
      <c r="C58" t="s">
        <v>169</v>
      </c>
      <c r="D58" t="s">
        <v>172</v>
      </c>
      <c r="E58" t="s">
        <v>173</v>
      </c>
      <c r="F58" t="s">
        <v>37</v>
      </c>
      <c r="G58" t="s">
        <v>38</v>
      </c>
      <c r="H58" t="s">
        <v>39</v>
      </c>
      <c r="I58" s="5" t="s">
        <v>40</v>
      </c>
      <c r="J58" s="5" t="s">
        <v>2</v>
      </c>
      <c r="K58" s="5" t="s">
        <v>2</v>
      </c>
      <c r="L58" s="6">
        <f>IF(I58="Cut","",IF(I58="Your call","(decide)",IF(I58="Rename",J58,IF(I58="Keep",IF(D58="",E58,D58),IF(E58="(unchanged)",D58,E58)))))</f>
      </c>
      <c r="M58" s="6">
        <f>IF(AND(I58="Cut",N58&gt;0,K58=""),"USED: say what replaces it (Note)",IF(AND(I58="Rename",J58=""),"type the new name",IF(AND(L58&lt;&gt;"",L58&lt;&gt;"(decide)",COUNTIF($L$2:$L$1680,L58)&gt;1),"SAME FINAL NAME AS ANOTHER ROW","")))</f>
      </c>
      <c r="N58" s="6">
        <v>0</v>
      </c>
      <c r="O58" s="6" t="s">
        <v>2</v>
      </c>
    </row>
    <row r="59" spans="1:15" x14ac:dyDescent="0.25">
      <c r="A59">
        <v>58</v>
      </c>
      <c r="B59" t="s">
        <v>33</v>
      </c>
      <c r="C59" t="s">
        <v>169</v>
      </c>
      <c r="D59" t="s">
        <v>174</v>
      </c>
      <c r="E59" t="s">
        <v>175</v>
      </c>
      <c r="F59" t="s">
        <v>37</v>
      </c>
      <c r="G59" t="s">
        <v>38</v>
      </c>
      <c r="H59" t="s">
        <v>39</v>
      </c>
      <c r="I59" s="5" t="s">
        <v>40</v>
      </c>
      <c r="J59" s="5" t="s">
        <v>2</v>
      </c>
      <c r="K59" s="5" t="s">
        <v>2</v>
      </c>
      <c r="L59" s="6">
        <f>IF(I59="Cut","",IF(I59="Your call","(decide)",IF(I59="Rename",J59,IF(I59="Keep",IF(D59="",E59,D59),IF(E59="(unchanged)",D59,E59)))))</f>
      </c>
      <c r="M59" s="6">
        <f>IF(AND(I59="Cut",N59&gt;0,K59=""),"USED: say what replaces it (Note)",IF(AND(I59="Rename",J59=""),"type the new name",IF(AND(L59&lt;&gt;"",L59&lt;&gt;"(decide)",COUNTIF($L$2:$L$1680,L59)&gt;1),"SAME FINAL NAME AS ANOTHER ROW","")))</f>
      </c>
      <c r="N59" s="6">
        <v>0</v>
      </c>
      <c r="O59" s="6" t="s">
        <v>2</v>
      </c>
    </row>
    <row r="60" spans="1:15" x14ac:dyDescent="0.25">
      <c r="A60">
        <v>59</v>
      </c>
      <c r="B60" t="s">
        <v>33</v>
      </c>
      <c r="C60" t="s">
        <v>169</v>
      </c>
      <c r="D60" t="s">
        <v>176</v>
      </c>
      <c r="E60" t="s">
        <v>177</v>
      </c>
      <c r="F60" t="s">
        <v>37</v>
      </c>
      <c r="G60" t="s">
        <v>38</v>
      </c>
      <c r="H60" t="s">
        <v>39</v>
      </c>
      <c r="I60" s="5" t="s">
        <v>40</v>
      </c>
      <c r="J60" s="5" t="s">
        <v>2</v>
      </c>
      <c r="K60" s="5" t="s">
        <v>2</v>
      </c>
      <c r="L60" s="6">
        <f>IF(I60="Cut","",IF(I60="Your call","(decide)",IF(I60="Rename",J60,IF(I60="Keep",IF(D60="",E60,D60),IF(E60="(unchanged)",D60,E60)))))</f>
      </c>
      <c r="M60" s="6">
        <f>IF(AND(I60="Cut",N60&gt;0,K60=""),"USED: say what replaces it (Note)",IF(AND(I60="Rename",J60=""),"type the new name",IF(AND(L60&lt;&gt;"",L60&lt;&gt;"(decide)",COUNTIF($L$2:$L$1680,L60)&gt;1),"SAME FINAL NAME AS ANOTHER ROW","")))</f>
      </c>
      <c r="N60" s="6">
        <v>0</v>
      </c>
      <c r="O60" s="6" t="s">
        <v>2</v>
      </c>
    </row>
    <row r="61" spans="1:15" x14ac:dyDescent="0.25">
      <c r="A61">
        <v>60</v>
      </c>
      <c r="B61" t="s">
        <v>33</v>
      </c>
      <c r="C61" t="s">
        <v>169</v>
      </c>
      <c r="D61" t="s">
        <v>178</v>
      </c>
      <c r="E61" t="s">
        <v>179</v>
      </c>
      <c r="F61" t="s">
        <v>37</v>
      </c>
      <c r="G61" t="s">
        <v>38</v>
      </c>
      <c r="H61" t="s">
        <v>39</v>
      </c>
      <c r="I61" s="5" t="s">
        <v>40</v>
      </c>
      <c r="J61" s="5" t="s">
        <v>2</v>
      </c>
      <c r="K61" s="5" t="s">
        <v>2</v>
      </c>
      <c r="L61" s="6">
        <f>IF(I61="Cut","",IF(I61="Your call","(decide)",IF(I61="Rename",J61,IF(I61="Keep",IF(D61="",E61,D61),IF(E61="(unchanged)",D61,E61)))))</f>
      </c>
      <c r="M61" s="6">
        <f>IF(AND(I61="Cut",N61&gt;0,K61=""),"USED: say what replaces it (Note)",IF(AND(I61="Rename",J61=""),"type the new name",IF(AND(L61&lt;&gt;"",L61&lt;&gt;"(decide)",COUNTIF($L$2:$L$1680,L61)&gt;1),"SAME FINAL NAME AS ANOTHER ROW","")))</f>
      </c>
      <c r="N61" s="6">
        <v>0</v>
      </c>
      <c r="O61" s="6" t="s">
        <v>2</v>
      </c>
    </row>
    <row r="62" spans="1:15" x14ac:dyDescent="0.25">
      <c r="A62">
        <v>61</v>
      </c>
      <c r="B62" t="s">
        <v>33</v>
      </c>
      <c r="C62" t="s">
        <v>180</v>
      </c>
      <c r="D62" t="s">
        <v>181</v>
      </c>
      <c r="E62" t="s">
        <v>182</v>
      </c>
      <c r="F62" t="s">
        <v>37</v>
      </c>
      <c r="G62" t="s">
        <v>38</v>
      </c>
      <c r="H62" t="s">
        <v>39</v>
      </c>
      <c r="I62" s="5" t="s">
        <v>40</v>
      </c>
      <c r="J62" s="5" t="s">
        <v>2</v>
      </c>
      <c r="K62" s="5" t="s">
        <v>2</v>
      </c>
      <c r="L62" s="6">
        <f>IF(I62="Cut","",IF(I62="Your call","(decide)",IF(I62="Rename",J62,IF(I62="Keep",IF(D62="",E62,D62),IF(E62="(unchanged)",D62,E62)))))</f>
      </c>
      <c r="M62" s="6">
        <f>IF(AND(I62="Cut",N62&gt;0,K62=""),"USED: say what replaces it (Note)",IF(AND(I62="Rename",J62=""),"type the new name",IF(AND(L62&lt;&gt;"",L62&lt;&gt;"(decide)",COUNTIF($L$2:$L$1680,L62)&gt;1),"SAME FINAL NAME AS ANOTHER ROW","")))</f>
      </c>
      <c r="N62" s="6">
        <v>0</v>
      </c>
      <c r="O62" s="6" t="s">
        <v>2</v>
      </c>
    </row>
    <row r="63" spans="1:15" x14ac:dyDescent="0.25">
      <c r="A63">
        <v>62</v>
      </c>
      <c r="B63" t="s">
        <v>33</v>
      </c>
      <c r="C63" t="s">
        <v>180</v>
      </c>
      <c r="D63" t="s">
        <v>183</v>
      </c>
      <c r="E63" t="s">
        <v>184</v>
      </c>
      <c r="F63" t="s">
        <v>37</v>
      </c>
      <c r="G63" t="s">
        <v>38</v>
      </c>
      <c r="H63" t="s">
        <v>39</v>
      </c>
      <c r="I63" s="5" t="s">
        <v>40</v>
      </c>
      <c r="J63" s="5" t="s">
        <v>2</v>
      </c>
      <c r="K63" s="5" t="s">
        <v>2</v>
      </c>
      <c r="L63" s="6">
        <f>IF(I63="Cut","",IF(I63="Your call","(decide)",IF(I63="Rename",J63,IF(I63="Keep",IF(D63="",E63,D63),IF(E63="(unchanged)",D63,E63)))))</f>
      </c>
      <c r="M63" s="6">
        <f>IF(AND(I63="Cut",N63&gt;0,K63=""),"USED: say what replaces it (Note)",IF(AND(I63="Rename",J63=""),"type the new name",IF(AND(L63&lt;&gt;"",L63&lt;&gt;"(decide)",COUNTIF($L$2:$L$1680,L63)&gt;1),"SAME FINAL NAME AS ANOTHER ROW","")))</f>
      </c>
      <c r="N63" s="6">
        <v>0</v>
      </c>
      <c r="O63" s="6" t="s">
        <v>2</v>
      </c>
    </row>
    <row r="64" spans="1:15" x14ac:dyDescent="0.25">
      <c r="A64">
        <v>63</v>
      </c>
      <c r="B64" t="s">
        <v>33</v>
      </c>
      <c r="C64" t="s">
        <v>185</v>
      </c>
      <c r="D64" t="s">
        <v>186</v>
      </c>
      <c r="E64" t="s">
        <v>187</v>
      </c>
      <c r="F64" t="s">
        <v>37</v>
      </c>
      <c r="G64" t="s">
        <v>38</v>
      </c>
      <c r="H64" t="s">
        <v>39</v>
      </c>
      <c r="I64" s="5" t="s">
        <v>40</v>
      </c>
      <c r="J64" s="5" t="s">
        <v>2</v>
      </c>
      <c r="K64" s="5" t="s">
        <v>2</v>
      </c>
      <c r="L64" s="6">
        <f>IF(I64="Cut","",IF(I64="Your call","(decide)",IF(I64="Rename",J64,IF(I64="Keep",IF(D64="",E64,D64),IF(E64="(unchanged)",D64,E64)))))</f>
      </c>
      <c r="M64" s="6">
        <f>IF(AND(I64="Cut",N64&gt;0,K64=""),"USED: say what replaces it (Note)",IF(AND(I64="Rename",J64=""),"type the new name",IF(AND(L64&lt;&gt;"",L64&lt;&gt;"(decide)",COUNTIF($L$2:$L$1680,L64)&gt;1),"SAME FINAL NAME AS ANOTHER ROW","")))</f>
      </c>
      <c r="N64" s="6">
        <v>0</v>
      </c>
      <c r="O64" s="6" t="s">
        <v>2</v>
      </c>
    </row>
    <row r="65" spans="1:15" x14ac:dyDescent="0.25">
      <c r="A65">
        <v>64</v>
      </c>
      <c r="B65" t="s">
        <v>33</v>
      </c>
      <c r="C65" t="s">
        <v>188</v>
      </c>
      <c r="D65" t="s">
        <v>189</v>
      </c>
      <c r="E65" t="s">
        <v>190</v>
      </c>
      <c r="F65" t="s">
        <v>37</v>
      </c>
      <c r="G65" t="s">
        <v>38</v>
      </c>
      <c r="H65" t="s">
        <v>39</v>
      </c>
      <c r="I65" s="5" t="s">
        <v>40</v>
      </c>
      <c r="J65" s="5" t="s">
        <v>2</v>
      </c>
      <c r="K65" s="5" t="s">
        <v>2</v>
      </c>
      <c r="L65" s="6">
        <f>IF(I65="Cut","",IF(I65="Your call","(decide)",IF(I65="Rename",J65,IF(I65="Keep",IF(D65="",E65,D65),IF(E65="(unchanged)",D65,E65)))))</f>
      </c>
      <c r="M65" s="6">
        <f>IF(AND(I65="Cut",N65&gt;0,K65=""),"USED: say what replaces it (Note)",IF(AND(I65="Rename",J65=""),"type the new name",IF(AND(L65&lt;&gt;"",L65&lt;&gt;"(decide)",COUNTIF($L$2:$L$1680,L65)&gt;1),"SAME FINAL NAME AS ANOTHER ROW","")))</f>
      </c>
      <c r="N65" s="6">
        <v>0</v>
      </c>
      <c r="O65" s="6" t="s">
        <v>2</v>
      </c>
    </row>
    <row r="66" spans="1:15" x14ac:dyDescent="0.25">
      <c r="A66">
        <v>65</v>
      </c>
      <c r="B66" t="s">
        <v>33</v>
      </c>
      <c r="C66" t="s">
        <v>188</v>
      </c>
      <c r="D66" t="s">
        <v>191</v>
      </c>
      <c r="E66" t="s">
        <v>192</v>
      </c>
      <c r="F66" t="s">
        <v>37</v>
      </c>
      <c r="G66" t="s">
        <v>38</v>
      </c>
      <c r="H66" t="s">
        <v>39</v>
      </c>
      <c r="I66" s="5" t="s">
        <v>40</v>
      </c>
      <c r="J66" s="5" t="s">
        <v>2</v>
      </c>
      <c r="K66" s="5" t="s">
        <v>2</v>
      </c>
      <c r="L66" s="6">
        <f>IF(I66="Cut","",IF(I66="Your call","(decide)",IF(I66="Rename",J66,IF(I66="Keep",IF(D66="",E66,D66),IF(E66="(unchanged)",D66,E66)))))</f>
      </c>
      <c r="M66" s="6">
        <f>IF(AND(I66="Cut",N66&gt;0,K66=""),"USED: say what replaces it (Note)",IF(AND(I66="Rename",J66=""),"type the new name",IF(AND(L66&lt;&gt;"",L66&lt;&gt;"(decide)",COUNTIF($L$2:$L$1680,L66)&gt;1),"SAME FINAL NAME AS ANOTHER ROW","")))</f>
      </c>
      <c r="N66" s="6">
        <v>0</v>
      </c>
      <c r="O66" s="6" t="s">
        <v>2</v>
      </c>
    </row>
    <row r="67" spans="1:15" x14ac:dyDescent="0.25">
      <c r="A67">
        <v>66</v>
      </c>
      <c r="B67" t="s">
        <v>33</v>
      </c>
      <c r="C67" t="s">
        <v>193</v>
      </c>
      <c r="D67" t="s">
        <v>194</v>
      </c>
      <c r="E67" t="s">
        <v>195</v>
      </c>
      <c r="F67" t="s">
        <v>37</v>
      </c>
      <c r="G67" t="s">
        <v>94</v>
      </c>
      <c r="H67" t="s">
        <v>39</v>
      </c>
      <c r="I67" s="5" t="s">
        <v>40</v>
      </c>
      <c r="J67" s="5" t="s">
        <v>2</v>
      </c>
      <c r="K67" s="5" t="s">
        <v>2</v>
      </c>
      <c r="L67" s="6">
        <f>IF(I67="Cut","",IF(I67="Your call","(decide)",IF(I67="Rename",J67,IF(I67="Keep",IF(D67="",E67,D67),IF(E67="(unchanged)",D67,E67)))))</f>
      </c>
      <c r="M67" s="6">
        <f>IF(AND(I67="Cut",N67&gt;0,K67=""),"USED: say what replaces it (Note)",IF(AND(I67="Rename",J67=""),"type the new name",IF(AND(L67&lt;&gt;"",L67&lt;&gt;"(decide)",COUNTIF($L$2:$L$1680,L67)&gt;1),"SAME FINAL NAME AS ANOTHER ROW","")))</f>
      </c>
      <c r="N67" s="6">
        <v>1</v>
      </c>
      <c r="O67" s="6" t="s">
        <v>2</v>
      </c>
    </row>
    <row r="68" spans="1:15" x14ac:dyDescent="0.25">
      <c r="A68">
        <v>67</v>
      </c>
      <c r="B68" t="s">
        <v>33</v>
      </c>
      <c r="C68" t="s">
        <v>196</v>
      </c>
      <c r="D68" t="s">
        <v>197</v>
      </c>
      <c r="E68" t="s">
        <v>198</v>
      </c>
      <c r="F68" t="s">
        <v>37</v>
      </c>
      <c r="G68" t="s">
        <v>94</v>
      </c>
      <c r="H68" t="s">
        <v>39</v>
      </c>
      <c r="I68" s="5" t="s">
        <v>40</v>
      </c>
      <c r="J68" s="5" t="s">
        <v>2</v>
      </c>
      <c r="K68" s="5" t="s">
        <v>2</v>
      </c>
      <c r="L68" s="6">
        <f>IF(I68="Cut","",IF(I68="Your call","(decide)",IF(I68="Rename",J68,IF(I68="Keep",IF(D68="",E68,D68),IF(E68="(unchanged)",D68,E68)))))</f>
      </c>
      <c r="M68" s="6">
        <f>IF(AND(I68="Cut",N68&gt;0,K68=""),"USED: say what replaces it (Note)",IF(AND(I68="Rename",J68=""),"type the new name",IF(AND(L68&lt;&gt;"",L68&lt;&gt;"(decide)",COUNTIF($L$2:$L$1680,L68)&gt;1),"SAME FINAL NAME AS ANOTHER ROW","")))</f>
      </c>
      <c r="N68" s="6">
        <v>1</v>
      </c>
      <c r="O68" s="6" t="s">
        <v>2</v>
      </c>
    </row>
    <row r="69" spans="1:15" x14ac:dyDescent="0.25">
      <c r="A69">
        <v>68</v>
      </c>
      <c r="B69" t="s">
        <v>33</v>
      </c>
      <c r="C69" t="s">
        <v>196</v>
      </c>
      <c r="D69" t="s">
        <v>199</v>
      </c>
      <c r="E69" t="s">
        <v>200</v>
      </c>
      <c r="F69" t="s">
        <v>37</v>
      </c>
      <c r="G69" t="s">
        <v>201</v>
      </c>
      <c r="H69" t="s">
        <v>39</v>
      </c>
      <c r="I69" s="5" t="s">
        <v>40</v>
      </c>
      <c r="J69" s="5" t="s">
        <v>2</v>
      </c>
      <c r="K69" s="5" t="s">
        <v>2</v>
      </c>
      <c r="L69" s="6">
        <f>IF(I69="Cut","",IF(I69="Your call","(decide)",IF(I69="Rename",J69,IF(I69="Keep",IF(D69="",E69,D69),IF(E69="(unchanged)",D69,E69)))))</f>
      </c>
      <c r="M69" s="6">
        <f>IF(AND(I69="Cut",N69&gt;0,K69=""),"USED: say what replaces it (Note)",IF(AND(I69="Rename",J69=""),"type the new name",IF(AND(L69&lt;&gt;"",L69&lt;&gt;"(decide)",COUNTIF($L$2:$L$1680,L69)&gt;1),"SAME FINAL NAME AS ANOTHER ROW","")))</f>
      </c>
      <c r="N69" s="6">
        <v>8</v>
      </c>
      <c r="O69" s="6" t="s">
        <v>2</v>
      </c>
    </row>
    <row r="70" spans="1:15" x14ac:dyDescent="0.25">
      <c r="A70">
        <v>69</v>
      </c>
      <c r="B70" t="s">
        <v>33</v>
      </c>
      <c r="C70" t="s">
        <v>196</v>
      </c>
      <c r="D70" t="s">
        <v>202</v>
      </c>
      <c r="E70" t="s">
        <v>203</v>
      </c>
      <c r="F70" t="s">
        <v>37</v>
      </c>
      <c r="G70" t="s">
        <v>204</v>
      </c>
      <c r="H70" t="s">
        <v>39</v>
      </c>
      <c r="I70" s="5" t="s">
        <v>40</v>
      </c>
      <c r="J70" s="5" t="s">
        <v>2</v>
      </c>
      <c r="K70" s="5" t="s">
        <v>2</v>
      </c>
      <c r="L70" s="6">
        <f>IF(I70="Cut","",IF(I70="Your call","(decide)",IF(I70="Rename",J70,IF(I70="Keep",IF(D70="",E70,D70),IF(E70="(unchanged)",D70,E70)))))</f>
      </c>
      <c r="M70" s="6">
        <f>IF(AND(I70="Cut",N70&gt;0,K70=""),"USED: say what replaces it (Note)",IF(AND(I70="Rename",J70=""),"type the new name",IF(AND(L70&lt;&gt;"",L70&lt;&gt;"(decide)",COUNTIF($L$2:$L$1680,L70)&gt;1),"SAME FINAL NAME AS ANOTHER ROW","")))</f>
      </c>
      <c r="N70" s="6">
        <v>7</v>
      </c>
      <c r="O70" s="6" t="s">
        <v>2</v>
      </c>
    </row>
    <row r="71" spans="1:15" x14ac:dyDescent="0.25">
      <c r="A71">
        <v>70</v>
      </c>
      <c r="B71" t="s">
        <v>33</v>
      </c>
      <c r="C71" t="s">
        <v>196</v>
      </c>
      <c r="D71" t="s">
        <v>205</v>
      </c>
      <c r="E71" t="s">
        <v>206</v>
      </c>
      <c r="F71" t="s">
        <v>37</v>
      </c>
      <c r="G71" t="s">
        <v>94</v>
      </c>
      <c r="H71" t="s">
        <v>39</v>
      </c>
      <c r="I71" s="5" t="s">
        <v>40</v>
      </c>
      <c r="J71" s="5" t="s">
        <v>2</v>
      </c>
      <c r="K71" s="5" t="s">
        <v>2</v>
      </c>
      <c r="L71" s="6">
        <f>IF(I71="Cut","",IF(I71="Your call","(decide)",IF(I71="Rename",J71,IF(I71="Keep",IF(D71="",E71,D71),IF(E71="(unchanged)",D71,E71)))))</f>
      </c>
      <c r="M71" s="6">
        <f>IF(AND(I71="Cut",N71&gt;0,K71=""),"USED: say what replaces it (Note)",IF(AND(I71="Rename",J71=""),"type the new name",IF(AND(L71&lt;&gt;"",L71&lt;&gt;"(decide)",COUNTIF($L$2:$L$1680,L71)&gt;1),"SAME FINAL NAME AS ANOTHER ROW","")))</f>
      </c>
      <c r="N71" s="6">
        <v>1</v>
      </c>
      <c r="O71" s="6" t="s">
        <v>2</v>
      </c>
    </row>
    <row r="72" spans="1:15" x14ac:dyDescent="0.25">
      <c r="A72">
        <v>71</v>
      </c>
      <c r="B72" t="s">
        <v>33</v>
      </c>
      <c r="C72" t="s">
        <v>196</v>
      </c>
      <c r="D72" t="s">
        <v>207</v>
      </c>
      <c r="E72" t="s">
        <v>208</v>
      </c>
      <c r="F72" t="s">
        <v>37</v>
      </c>
      <c r="G72" t="s">
        <v>48</v>
      </c>
      <c r="H72" t="s">
        <v>39</v>
      </c>
      <c r="I72" s="5" t="s">
        <v>40</v>
      </c>
      <c r="J72" s="5" t="s">
        <v>2</v>
      </c>
      <c r="K72" s="5" t="s">
        <v>2</v>
      </c>
      <c r="L72" s="6">
        <f>IF(I72="Cut","",IF(I72="Your call","(decide)",IF(I72="Rename",J72,IF(I72="Keep",IF(D72="",E72,D72),IF(E72="(unchanged)",D72,E72)))))</f>
      </c>
      <c r="M72" s="6">
        <f>IF(AND(I72="Cut",N72&gt;0,K72=""),"USED: say what replaces it (Note)",IF(AND(I72="Rename",J72=""),"type the new name",IF(AND(L72&lt;&gt;"",L72&lt;&gt;"(decide)",COUNTIF($L$2:$L$1680,L72)&gt;1),"SAME FINAL NAME AS ANOTHER ROW","")))</f>
      </c>
      <c r="N72" s="6">
        <v>2</v>
      </c>
      <c r="O72" s="6" t="s">
        <v>2</v>
      </c>
    </row>
    <row r="73" spans="1:15" x14ac:dyDescent="0.25">
      <c r="A73">
        <v>72</v>
      </c>
      <c r="B73" t="s">
        <v>33</v>
      </c>
      <c r="C73" t="s">
        <v>196</v>
      </c>
      <c r="D73" t="s">
        <v>209</v>
      </c>
      <c r="E73" t="s">
        <v>210</v>
      </c>
      <c r="F73" t="s">
        <v>37</v>
      </c>
      <c r="G73" t="s">
        <v>38</v>
      </c>
      <c r="H73" t="s">
        <v>39</v>
      </c>
      <c r="I73" s="5" t="s">
        <v>40</v>
      </c>
      <c r="J73" s="5" t="s">
        <v>2</v>
      </c>
      <c r="K73" s="5" t="s">
        <v>2</v>
      </c>
      <c r="L73" s="6">
        <f>IF(I73="Cut","",IF(I73="Your call","(decide)",IF(I73="Rename",J73,IF(I73="Keep",IF(D73="",E73,D73),IF(E73="(unchanged)",D73,E73)))))</f>
      </c>
      <c r="M73" s="6">
        <f>IF(AND(I73="Cut",N73&gt;0,K73=""),"USED: say what replaces it (Note)",IF(AND(I73="Rename",J73=""),"type the new name",IF(AND(L73&lt;&gt;"",L73&lt;&gt;"(decide)",COUNTIF($L$2:$L$1680,L73)&gt;1),"SAME FINAL NAME AS ANOTHER ROW","")))</f>
      </c>
      <c r="N73" s="6">
        <v>0</v>
      </c>
      <c r="O73" s="6" t="s">
        <v>2</v>
      </c>
    </row>
    <row r="74" spans="1:15" x14ac:dyDescent="0.25">
      <c r="A74">
        <v>73</v>
      </c>
      <c r="B74" t="s">
        <v>33</v>
      </c>
      <c r="C74" t="s">
        <v>196</v>
      </c>
      <c r="D74" t="s">
        <v>211</v>
      </c>
      <c r="E74" t="s">
        <v>212</v>
      </c>
      <c r="F74" t="s">
        <v>37</v>
      </c>
      <c r="G74" t="s">
        <v>38</v>
      </c>
      <c r="H74" t="s">
        <v>39</v>
      </c>
      <c r="I74" s="5" t="s">
        <v>40</v>
      </c>
      <c r="J74" s="5" t="s">
        <v>2</v>
      </c>
      <c r="K74" s="5" t="s">
        <v>2</v>
      </c>
      <c r="L74" s="6">
        <f>IF(I74="Cut","",IF(I74="Your call","(decide)",IF(I74="Rename",J74,IF(I74="Keep",IF(D74="",E74,D74),IF(E74="(unchanged)",D74,E74)))))</f>
      </c>
      <c r="M74" s="6">
        <f>IF(AND(I74="Cut",N74&gt;0,K74=""),"USED: say what replaces it (Note)",IF(AND(I74="Rename",J74=""),"type the new name",IF(AND(L74&lt;&gt;"",L74&lt;&gt;"(decide)",COUNTIF($L$2:$L$1680,L74)&gt;1),"SAME FINAL NAME AS ANOTHER ROW","")))</f>
      </c>
      <c r="N74" s="6">
        <v>0</v>
      </c>
      <c r="O74" s="6" t="s">
        <v>2</v>
      </c>
    </row>
    <row r="75" spans="1:15" x14ac:dyDescent="0.25">
      <c r="A75">
        <v>74</v>
      </c>
      <c r="B75" t="s">
        <v>33</v>
      </c>
      <c r="C75" t="s">
        <v>196</v>
      </c>
      <c r="D75" t="s">
        <v>213</v>
      </c>
      <c r="E75" t="s">
        <v>214</v>
      </c>
      <c r="F75" t="s">
        <v>37</v>
      </c>
      <c r="G75" t="s">
        <v>38</v>
      </c>
      <c r="H75" t="s">
        <v>39</v>
      </c>
      <c r="I75" s="5" t="s">
        <v>40</v>
      </c>
      <c r="J75" s="5" t="s">
        <v>2</v>
      </c>
      <c r="K75" s="5" t="s">
        <v>2</v>
      </c>
      <c r="L75" s="6">
        <f>IF(I75="Cut","",IF(I75="Your call","(decide)",IF(I75="Rename",J75,IF(I75="Keep",IF(D75="",E75,D75),IF(E75="(unchanged)",D75,E75)))))</f>
      </c>
      <c r="M75" s="6">
        <f>IF(AND(I75="Cut",N75&gt;0,K75=""),"USED: say what replaces it (Note)",IF(AND(I75="Rename",J75=""),"type the new name",IF(AND(L75&lt;&gt;"",L75&lt;&gt;"(decide)",COUNTIF($L$2:$L$1680,L75)&gt;1),"SAME FINAL NAME AS ANOTHER ROW","")))</f>
      </c>
      <c r="N75" s="6">
        <v>0</v>
      </c>
      <c r="O75" s="6" t="s">
        <v>2</v>
      </c>
    </row>
    <row r="76" spans="1:15" x14ac:dyDescent="0.25">
      <c r="A76">
        <v>75</v>
      </c>
      <c r="B76" t="s">
        <v>33</v>
      </c>
      <c r="C76" t="s">
        <v>196</v>
      </c>
      <c r="D76" t="s">
        <v>215</v>
      </c>
      <c r="E76" t="s">
        <v>216</v>
      </c>
      <c r="F76" t="s">
        <v>37</v>
      </c>
      <c r="G76" t="s">
        <v>38</v>
      </c>
      <c r="H76" t="s">
        <v>39</v>
      </c>
      <c r="I76" s="5" t="s">
        <v>40</v>
      </c>
      <c r="J76" s="5" t="s">
        <v>2</v>
      </c>
      <c r="K76" s="5" t="s">
        <v>2</v>
      </c>
      <c r="L76" s="6">
        <f>IF(I76="Cut","",IF(I76="Your call","(decide)",IF(I76="Rename",J76,IF(I76="Keep",IF(D76="",E76,D76),IF(E76="(unchanged)",D76,E76)))))</f>
      </c>
      <c r="M76" s="6">
        <f>IF(AND(I76="Cut",N76&gt;0,K76=""),"USED: say what replaces it (Note)",IF(AND(I76="Rename",J76=""),"type the new name",IF(AND(L76&lt;&gt;"",L76&lt;&gt;"(decide)",COUNTIF($L$2:$L$1680,L76)&gt;1),"SAME FINAL NAME AS ANOTHER ROW","")))</f>
      </c>
      <c r="N76" s="6">
        <v>0</v>
      </c>
      <c r="O76" s="6" t="s">
        <v>2</v>
      </c>
    </row>
    <row r="77" spans="1:15" x14ac:dyDescent="0.25">
      <c r="A77">
        <v>76</v>
      </c>
      <c r="B77" t="s">
        <v>33</v>
      </c>
      <c r="C77" t="s">
        <v>196</v>
      </c>
      <c r="D77" t="s">
        <v>217</v>
      </c>
      <c r="E77" t="s">
        <v>218</v>
      </c>
      <c r="F77" t="s">
        <v>63</v>
      </c>
      <c r="G77" t="s">
        <v>38</v>
      </c>
      <c r="H77" t="s">
        <v>39</v>
      </c>
      <c r="I77" s="5" t="s">
        <v>40</v>
      </c>
      <c r="J77" s="5" t="s">
        <v>2</v>
      </c>
      <c r="K77" s="5" t="s">
        <v>2</v>
      </c>
      <c r="L77" s="6">
        <f>IF(I77="Cut","",IF(I77="Your call","(decide)",IF(I77="Rename",J77,IF(I77="Keep",IF(D77="",E77,D77),IF(E77="(unchanged)",D77,E77)))))</f>
      </c>
      <c r="M77" s="6">
        <f>IF(AND(I77="Cut",N77&gt;0,K77=""),"USED: say what replaces it (Note)",IF(AND(I77="Rename",J77=""),"type the new name",IF(AND(L77&lt;&gt;"",L77&lt;&gt;"(decide)",COUNTIF($L$2:$L$1680,L77)&gt;1),"SAME FINAL NAME AS ANOTHER ROW","")))</f>
      </c>
      <c r="N77" s="6">
        <v>0</v>
      </c>
      <c r="O77" s="6" t="s">
        <v>2</v>
      </c>
    </row>
    <row r="78" spans="1:15" x14ac:dyDescent="0.25">
      <c r="A78">
        <v>77</v>
      </c>
      <c r="B78" t="s">
        <v>33</v>
      </c>
      <c r="C78" t="s">
        <v>196</v>
      </c>
      <c r="D78" t="s">
        <v>219</v>
      </c>
      <c r="E78" t="s">
        <v>220</v>
      </c>
      <c r="F78" t="s">
        <v>63</v>
      </c>
      <c r="G78" t="s">
        <v>38</v>
      </c>
      <c r="H78" t="s">
        <v>39</v>
      </c>
      <c r="I78" s="5" t="s">
        <v>40</v>
      </c>
      <c r="J78" s="5" t="s">
        <v>2</v>
      </c>
      <c r="K78" s="5" t="s">
        <v>2</v>
      </c>
      <c r="L78" s="6">
        <f>IF(I78="Cut","",IF(I78="Your call","(decide)",IF(I78="Rename",J78,IF(I78="Keep",IF(D78="",E78,D78),IF(E78="(unchanged)",D78,E78)))))</f>
      </c>
      <c r="M78" s="6">
        <f>IF(AND(I78="Cut",N78&gt;0,K78=""),"USED: say what replaces it (Note)",IF(AND(I78="Rename",J78=""),"type the new name",IF(AND(L78&lt;&gt;"",L78&lt;&gt;"(decide)",COUNTIF($L$2:$L$1680,L78)&gt;1),"SAME FINAL NAME AS ANOTHER ROW","")))</f>
      </c>
      <c r="N78" s="6">
        <v>0</v>
      </c>
      <c r="O78" s="6" t="s">
        <v>2</v>
      </c>
    </row>
    <row r="79" spans="1:15" x14ac:dyDescent="0.25">
      <c r="A79">
        <v>78</v>
      </c>
      <c r="B79" t="s">
        <v>33</v>
      </c>
      <c r="C79" t="s">
        <v>196</v>
      </c>
      <c r="D79" t="s">
        <v>221</v>
      </c>
      <c r="E79" t="s">
        <v>222</v>
      </c>
      <c r="F79" t="s">
        <v>63</v>
      </c>
      <c r="G79" t="s">
        <v>38</v>
      </c>
      <c r="H79" t="s">
        <v>39</v>
      </c>
      <c r="I79" s="5" t="s">
        <v>40</v>
      </c>
      <c r="J79" s="5" t="s">
        <v>2</v>
      </c>
      <c r="K79" s="5" t="s">
        <v>2</v>
      </c>
      <c r="L79" s="6">
        <f>IF(I79="Cut","",IF(I79="Your call","(decide)",IF(I79="Rename",J79,IF(I79="Keep",IF(D79="",E79,D79),IF(E79="(unchanged)",D79,E79)))))</f>
      </c>
      <c r="M79" s="6">
        <f>IF(AND(I79="Cut",N79&gt;0,K79=""),"USED: say what replaces it (Note)",IF(AND(I79="Rename",J79=""),"type the new name",IF(AND(L79&lt;&gt;"",L79&lt;&gt;"(decide)",COUNTIF($L$2:$L$1680,L79)&gt;1),"SAME FINAL NAME AS ANOTHER ROW","")))</f>
      </c>
      <c r="N79" s="6">
        <v>0</v>
      </c>
      <c r="O79" s="6" t="s">
        <v>2</v>
      </c>
    </row>
    <row r="80" spans="1:15" x14ac:dyDescent="0.25">
      <c r="A80">
        <v>79</v>
      </c>
      <c r="B80" t="s">
        <v>33</v>
      </c>
      <c r="C80" t="s">
        <v>196</v>
      </c>
      <c r="D80" t="s">
        <v>223</v>
      </c>
      <c r="E80" t="s">
        <v>224</v>
      </c>
      <c r="F80" t="s">
        <v>63</v>
      </c>
      <c r="G80" t="s">
        <v>38</v>
      </c>
      <c r="H80" t="s">
        <v>39</v>
      </c>
      <c r="I80" s="5" t="s">
        <v>40</v>
      </c>
      <c r="J80" s="5" t="s">
        <v>2</v>
      </c>
      <c r="K80" s="5" t="s">
        <v>2</v>
      </c>
      <c r="L80" s="6">
        <f>IF(I80="Cut","",IF(I80="Your call","(decide)",IF(I80="Rename",J80,IF(I80="Keep",IF(D80="",E80,D80),IF(E80="(unchanged)",D80,E80)))))</f>
      </c>
      <c r="M80" s="6">
        <f>IF(AND(I80="Cut",N80&gt;0,K80=""),"USED: say what replaces it (Note)",IF(AND(I80="Rename",J80=""),"type the new name",IF(AND(L80&lt;&gt;"",L80&lt;&gt;"(decide)",COUNTIF($L$2:$L$1680,L80)&gt;1),"SAME FINAL NAME AS ANOTHER ROW","")))</f>
      </c>
      <c r="N80" s="6">
        <v>0</v>
      </c>
      <c r="O80" s="6" t="s">
        <v>2</v>
      </c>
    </row>
    <row r="81" spans="1:15" x14ac:dyDescent="0.25">
      <c r="A81">
        <v>80</v>
      </c>
      <c r="B81" t="s">
        <v>33</v>
      </c>
      <c r="C81" t="s">
        <v>196</v>
      </c>
      <c r="D81" t="s">
        <v>225</v>
      </c>
      <c r="E81" t="s">
        <v>226</v>
      </c>
      <c r="F81" t="s">
        <v>37</v>
      </c>
      <c r="G81" t="s">
        <v>38</v>
      </c>
      <c r="H81" t="s">
        <v>39</v>
      </c>
      <c r="I81" s="5" t="s">
        <v>40</v>
      </c>
      <c r="J81" s="5" t="s">
        <v>2</v>
      </c>
      <c r="K81" s="5" t="s">
        <v>2</v>
      </c>
      <c r="L81" s="6">
        <f>IF(I81="Cut","",IF(I81="Your call","(decide)",IF(I81="Rename",J81,IF(I81="Keep",IF(D81="",E81,D81),IF(E81="(unchanged)",D81,E81)))))</f>
      </c>
      <c r="M81" s="6">
        <f>IF(AND(I81="Cut",N81&gt;0,K81=""),"USED: say what replaces it (Note)",IF(AND(I81="Rename",J81=""),"type the new name",IF(AND(L81&lt;&gt;"",L81&lt;&gt;"(decide)",COUNTIF($L$2:$L$1680,L81)&gt;1),"SAME FINAL NAME AS ANOTHER ROW","")))</f>
      </c>
      <c r="N81" s="6">
        <v>0</v>
      </c>
      <c r="O81" s="6" t="s">
        <v>2</v>
      </c>
    </row>
    <row r="82" spans="1:15" x14ac:dyDescent="0.25">
      <c r="A82">
        <v>81</v>
      </c>
      <c r="B82" t="s">
        <v>33</v>
      </c>
      <c r="C82" t="s">
        <v>196</v>
      </c>
      <c r="D82" t="s">
        <v>227</v>
      </c>
      <c r="E82" t="s">
        <v>228</v>
      </c>
      <c r="F82" t="s">
        <v>37</v>
      </c>
      <c r="G82" t="s">
        <v>38</v>
      </c>
      <c r="H82" t="s">
        <v>39</v>
      </c>
      <c r="I82" s="5" t="s">
        <v>40</v>
      </c>
      <c r="J82" s="5" t="s">
        <v>2</v>
      </c>
      <c r="K82" s="5" t="s">
        <v>2</v>
      </c>
      <c r="L82" s="6">
        <f>IF(I82="Cut","",IF(I82="Your call","(decide)",IF(I82="Rename",J82,IF(I82="Keep",IF(D82="",E82,D82),IF(E82="(unchanged)",D82,E82)))))</f>
      </c>
      <c r="M82" s="6">
        <f>IF(AND(I82="Cut",N82&gt;0,K82=""),"USED: say what replaces it (Note)",IF(AND(I82="Rename",J82=""),"type the new name",IF(AND(L82&lt;&gt;"",L82&lt;&gt;"(decide)",COUNTIF($L$2:$L$1680,L82)&gt;1),"SAME FINAL NAME AS ANOTHER ROW","")))</f>
      </c>
      <c r="N82" s="6">
        <v>0</v>
      </c>
      <c r="O82" s="6" t="s">
        <v>2</v>
      </c>
    </row>
    <row r="83" spans="1:15" x14ac:dyDescent="0.25">
      <c r="A83">
        <v>82</v>
      </c>
      <c r="B83" t="s">
        <v>33</v>
      </c>
      <c r="C83" t="s">
        <v>196</v>
      </c>
      <c r="D83" t="s">
        <v>229</v>
      </c>
      <c r="E83" t="s">
        <v>230</v>
      </c>
      <c r="F83" t="s">
        <v>37</v>
      </c>
      <c r="G83" t="s">
        <v>38</v>
      </c>
      <c r="H83" t="s">
        <v>39</v>
      </c>
      <c r="I83" s="5" t="s">
        <v>40</v>
      </c>
      <c r="J83" s="5" t="s">
        <v>2</v>
      </c>
      <c r="K83" s="5" t="s">
        <v>2</v>
      </c>
      <c r="L83" s="6">
        <f>IF(I83="Cut","",IF(I83="Your call","(decide)",IF(I83="Rename",J83,IF(I83="Keep",IF(D83="",E83,D83),IF(E83="(unchanged)",D83,E83)))))</f>
      </c>
      <c r="M83" s="6">
        <f>IF(AND(I83="Cut",N83&gt;0,K83=""),"USED: say what replaces it (Note)",IF(AND(I83="Rename",J83=""),"type the new name",IF(AND(L83&lt;&gt;"",L83&lt;&gt;"(decide)",COUNTIF($L$2:$L$1680,L83)&gt;1),"SAME FINAL NAME AS ANOTHER ROW","")))</f>
      </c>
      <c r="N83" s="6">
        <v>0</v>
      </c>
      <c r="O83" s="6" t="s">
        <v>2</v>
      </c>
    </row>
    <row r="84" spans="1:15" x14ac:dyDescent="0.25">
      <c r="A84">
        <v>83</v>
      </c>
      <c r="B84" t="s">
        <v>33</v>
      </c>
      <c r="C84" t="s">
        <v>196</v>
      </c>
      <c r="D84" t="s">
        <v>231</v>
      </c>
      <c r="E84" t="s">
        <v>232</v>
      </c>
      <c r="F84" t="s">
        <v>37</v>
      </c>
      <c r="G84" t="s">
        <v>38</v>
      </c>
      <c r="H84" t="s">
        <v>39</v>
      </c>
      <c r="I84" s="5" t="s">
        <v>40</v>
      </c>
      <c r="J84" s="5" t="s">
        <v>2</v>
      </c>
      <c r="K84" s="5" t="s">
        <v>2</v>
      </c>
      <c r="L84" s="6">
        <f>IF(I84="Cut","",IF(I84="Your call","(decide)",IF(I84="Rename",J84,IF(I84="Keep",IF(D84="",E84,D84),IF(E84="(unchanged)",D84,E84)))))</f>
      </c>
      <c r="M84" s="6">
        <f>IF(AND(I84="Cut",N84&gt;0,K84=""),"USED: say what replaces it (Note)",IF(AND(I84="Rename",J84=""),"type the new name",IF(AND(L84&lt;&gt;"",L84&lt;&gt;"(decide)",COUNTIF($L$2:$L$1680,L84)&gt;1),"SAME FINAL NAME AS ANOTHER ROW","")))</f>
      </c>
      <c r="N84" s="6">
        <v>0</v>
      </c>
      <c r="O84" s="6" t="s">
        <v>2</v>
      </c>
    </row>
    <row r="85" spans="1:15" x14ac:dyDescent="0.25">
      <c r="A85">
        <v>84</v>
      </c>
      <c r="B85" t="s">
        <v>33</v>
      </c>
      <c r="C85" t="s">
        <v>196</v>
      </c>
      <c r="D85" t="s">
        <v>233</v>
      </c>
      <c r="E85" t="s">
        <v>234</v>
      </c>
      <c r="F85" t="s">
        <v>37</v>
      </c>
      <c r="G85" t="s">
        <v>38</v>
      </c>
      <c r="H85" t="s">
        <v>39</v>
      </c>
      <c r="I85" s="5" t="s">
        <v>40</v>
      </c>
      <c r="J85" s="5" t="s">
        <v>2</v>
      </c>
      <c r="K85" s="5" t="s">
        <v>2</v>
      </c>
      <c r="L85" s="6">
        <f>IF(I85="Cut","",IF(I85="Your call","(decide)",IF(I85="Rename",J85,IF(I85="Keep",IF(D85="",E85,D85),IF(E85="(unchanged)",D85,E85)))))</f>
      </c>
      <c r="M85" s="6">
        <f>IF(AND(I85="Cut",N85&gt;0,K85=""),"USED: say what replaces it (Note)",IF(AND(I85="Rename",J85=""),"type the new name",IF(AND(L85&lt;&gt;"",L85&lt;&gt;"(decide)",COUNTIF($L$2:$L$1680,L85)&gt;1),"SAME FINAL NAME AS ANOTHER ROW","")))</f>
      </c>
      <c r="N85" s="6">
        <v>0</v>
      </c>
      <c r="O85" s="6" t="s">
        <v>2</v>
      </c>
    </row>
    <row r="86" spans="1:15" x14ac:dyDescent="0.25">
      <c r="A86">
        <v>85</v>
      </c>
      <c r="B86" t="s">
        <v>33</v>
      </c>
      <c r="C86" t="s">
        <v>235</v>
      </c>
      <c r="D86" t="s">
        <v>236</v>
      </c>
      <c r="E86" t="s">
        <v>237</v>
      </c>
      <c r="F86" t="s">
        <v>37</v>
      </c>
      <c r="G86" t="s">
        <v>38</v>
      </c>
      <c r="H86" t="s">
        <v>39</v>
      </c>
      <c r="I86" s="5" t="s">
        <v>40</v>
      </c>
      <c r="J86" s="5" t="s">
        <v>2</v>
      </c>
      <c r="K86" s="5" t="s">
        <v>2</v>
      </c>
      <c r="L86" s="6">
        <f>IF(I86="Cut","",IF(I86="Your call","(decide)",IF(I86="Rename",J86,IF(I86="Keep",IF(D86="",E86,D86),IF(E86="(unchanged)",D86,E86)))))</f>
      </c>
      <c r="M86" s="6">
        <f>IF(AND(I86="Cut",N86&gt;0,K86=""),"USED: say what replaces it (Note)",IF(AND(I86="Rename",J86=""),"type the new name",IF(AND(L86&lt;&gt;"",L86&lt;&gt;"(decide)",COUNTIF($L$2:$L$1680,L86)&gt;1),"SAME FINAL NAME AS ANOTHER ROW","")))</f>
      </c>
      <c r="N86" s="6">
        <v>0</v>
      </c>
      <c r="O86" s="6" t="s">
        <v>2</v>
      </c>
    </row>
    <row r="87" spans="1:15" x14ac:dyDescent="0.25">
      <c r="A87">
        <v>86</v>
      </c>
      <c r="B87" t="s">
        <v>33</v>
      </c>
      <c r="C87" t="s">
        <v>235</v>
      </c>
      <c r="D87" t="s">
        <v>238</v>
      </c>
      <c r="E87" t="s">
        <v>239</v>
      </c>
      <c r="F87" t="s">
        <v>37</v>
      </c>
      <c r="G87" t="s">
        <v>38</v>
      </c>
      <c r="H87" t="s">
        <v>39</v>
      </c>
      <c r="I87" s="5" t="s">
        <v>40</v>
      </c>
      <c r="J87" s="5" t="s">
        <v>2</v>
      </c>
      <c r="K87" s="5" t="s">
        <v>2</v>
      </c>
      <c r="L87" s="6">
        <f>IF(I87="Cut","",IF(I87="Your call","(decide)",IF(I87="Rename",J87,IF(I87="Keep",IF(D87="",E87,D87),IF(E87="(unchanged)",D87,E87)))))</f>
      </c>
      <c r="M87" s="6">
        <f>IF(AND(I87="Cut",N87&gt;0,K87=""),"USED: say what replaces it (Note)",IF(AND(I87="Rename",J87=""),"type the new name",IF(AND(L87&lt;&gt;"",L87&lt;&gt;"(decide)",COUNTIF($L$2:$L$1680,L87)&gt;1),"SAME FINAL NAME AS ANOTHER ROW","")))</f>
      </c>
      <c r="N87" s="6">
        <v>0</v>
      </c>
      <c r="O87" s="6" t="s">
        <v>2</v>
      </c>
    </row>
    <row r="88" spans="1:15" x14ac:dyDescent="0.25">
      <c r="A88">
        <v>87</v>
      </c>
      <c r="B88" t="s">
        <v>33</v>
      </c>
      <c r="C88" t="s">
        <v>235</v>
      </c>
      <c r="D88" t="s">
        <v>240</v>
      </c>
      <c r="E88" t="s">
        <v>241</v>
      </c>
      <c r="F88" t="s">
        <v>37</v>
      </c>
      <c r="G88" t="s">
        <v>38</v>
      </c>
      <c r="H88" t="s">
        <v>39</v>
      </c>
      <c r="I88" s="5" t="s">
        <v>40</v>
      </c>
      <c r="J88" s="5" t="s">
        <v>2</v>
      </c>
      <c r="K88" s="5" t="s">
        <v>2</v>
      </c>
      <c r="L88" s="6">
        <f>IF(I88="Cut","",IF(I88="Your call","(decide)",IF(I88="Rename",J88,IF(I88="Keep",IF(D88="",E88,D88),IF(E88="(unchanged)",D88,E88)))))</f>
      </c>
      <c r="M88" s="6">
        <f>IF(AND(I88="Cut",N88&gt;0,K88=""),"USED: say what replaces it (Note)",IF(AND(I88="Rename",J88=""),"type the new name",IF(AND(L88&lt;&gt;"",L88&lt;&gt;"(decide)",COUNTIF($L$2:$L$1680,L88)&gt;1),"SAME FINAL NAME AS ANOTHER ROW","")))</f>
      </c>
      <c r="N88" s="6">
        <v>0</v>
      </c>
      <c r="O88" s="6" t="s">
        <v>2</v>
      </c>
    </row>
    <row r="89" spans="1:15" x14ac:dyDescent="0.25">
      <c r="A89">
        <v>88</v>
      </c>
      <c r="B89" t="s">
        <v>33</v>
      </c>
      <c r="C89" t="s">
        <v>242</v>
      </c>
      <c r="D89" t="s">
        <v>243</v>
      </c>
      <c r="E89" t="s">
        <v>244</v>
      </c>
      <c r="F89" t="s">
        <v>37</v>
      </c>
      <c r="G89" t="s">
        <v>38</v>
      </c>
      <c r="H89" t="s">
        <v>39</v>
      </c>
      <c r="I89" s="5" t="s">
        <v>40</v>
      </c>
      <c r="J89" s="5" t="s">
        <v>2</v>
      </c>
      <c r="K89" s="5" t="s">
        <v>2</v>
      </c>
      <c r="L89" s="6">
        <f>IF(I89="Cut","",IF(I89="Your call","(decide)",IF(I89="Rename",J89,IF(I89="Keep",IF(D89="",E89,D89),IF(E89="(unchanged)",D89,E89)))))</f>
      </c>
      <c r="M89" s="6">
        <f>IF(AND(I89="Cut",N89&gt;0,K89=""),"USED: say what replaces it (Note)",IF(AND(I89="Rename",J89=""),"type the new name",IF(AND(L89&lt;&gt;"",L89&lt;&gt;"(decide)",COUNTIF($L$2:$L$1680,L89)&gt;1),"SAME FINAL NAME AS ANOTHER ROW","")))</f>
      </c>
      <c r="N89" s="6">
        <v>0</v>
      </c>
      <c r="O89" s="6" t="s">
        <v>2</v>
      </c>
    </row>
    <row r="90" spans="1:15" x14ac:dyDescent="0.25">
      <c r="A90">
        <v>89</v>
      </c>
      <c r="B90" t="s">
        <v>33</v>
      </c>
      <c r="C90" t="s">
        <v>245</v>
      </c>
      <c r="D90" t="s">
        <v>246</v>
      </c>
      <c r="E90" t="s">
        <v>247</v>
      </c>
      <c r="F90" t="s">
        <v>37</v>
      </c>
      <c r="G90" t="s">
        <v>38</v>
      </c>
      <c r="H90" t="s">
        <v>39</v>
      </c>
      <c r="I90" s="5" t="s">
        <v>40</v>
      </c>
      <c r="J90" s="5" t="s">
        <v>2</v>
      </c>
      <c r="K90" s="5" t="s">
        <v>2</v>
      </c>
      <c r="L90" s="6">
        <f>IF(I90="Cut","",IF(I90="Your call","(decide)",IF(I90="Rename",J90,IF(I90="Keep",IF(D90="",E90,D90),IF(E90="(unchanged)",D90,E90)))))</f>
      </c>
      <c r="M90" s="6">
        <f>IF(AND(I90="Cut",N90&gt;0,K90=""),"USED: say what replaces it (Note)",IF(AND(I90="Rename",J90=""),"type the new name",IF(AND(L90&lt;&gt;"",L90&lt;&gt;"(decide)",COUNTIF($L$2:$L$1680,L90)&gt;1),"SAME FINAL NAME AS ANOTHER ROW","")))</f>
      </c>
      <c r="N90" s="6">
        <v>0</v>
      </c>
      <c r="O90" s="6" t="s">
        <v>2</v>
      </c>
    </row>
    <row r="91" spans="1:15" x14ac:dyDescent="0.25">
      <c r="A91">
        <v>90</v>
      </c>
      <c r="B91" t="s">
        <v>33</v>
      </c>
      <c r="C91" t="s">
        <v>245</v>
      </c>
      <c r="D91" t="s">
        <v>248</v>
      </c>
      <c r="E91" t="s">
        <v>249</v>
      </c>
      <c r="F91" t="s">
        <v>37</v>
      </c>
      <c r="G91" t="s">
        <v>94</v>
      </c>
      <c r="H91" t="s">
        <v>39</v>
      </c>
      <c r="I91" s="5" t="s">
        <v>40</v>
      </c>
      <c r="J91" s="5" t="s">
        <v>2</v>
      </c>
      <c r="K91" s="5" t="s">
        <v>2</v>
      </c>
      <c r="L91" s="6">
        <f>IF(I91="Cut","",IF(I91="Your call","(decide)",IF(I91="Rename",J91,IF(I91="Keep",IF(D91="",E91,D91),IF(E91="(unchanged)",D91,E91)))))</f>
      </c>
      <c r="M91" s="6">
        <f>IF(AND(I91="Cut",N91&gt;0,K91=""),"USED: say what replaces it (Note)",IF(AND(I91="Rename",J91=""),"type the new name",IF(AND(L91&lt;&gt;"",L91&lt;&gt;"(decide)",COUNTIF($L$2:$L$1680,L91)&gt;1),"SAME FINAL NAME AS ANOTHER ROW","")))</f>
      </c>
      <c r="N91" s="6">
        <v>1</v>
      </c>
      <c r="O91" s="6" t="s">
        <v>2</v>
      </c>
    </row>
    <row r="92" spans="1:15" x14ac:dyDescent="0.25">
      <c r="A92">
        <v>91</v>
      </c>
      <c r="B92" t="s">
        <v>33</v>
      </c>
      <c r="C92" t="s">
        <v>245</v>
      </c>
      <c r="D92" t="s">
        <v>250</v>
      </c>
      <c r="E92" t="s">
        <v>251</v>
      </c>
      <c r="F92" t="s">
        <v>37</v>
      </c>
      <c r="G92" t="s">
        <v>38</v>
      </c>
      <c r="H92" t="s">
        <v>39</v>
      </c>
      <c r="I92" s="5" t="s">
        <v>40</v>
      </c>
      <c r="J92" s="5" t="s">
        <v>2</v>
      </c>
      <c r="K92" s="5" t="s">
        <v>2</v>
      </c>
      <c r="L92" s="6">
        <f>IF(I92="Cut","",IF(I92="Your call","(decide)",IF(I92="Rename",J92,IF(I92="Keep",IF(D92="",E92,D92),IF(E92="(unchanged)",D92,E92)))))</f>
      </c>
      <c r="M92" s="6">
        <f>IF(AND(I92="Cut",N92&gt;0,K92=""),"USED: say what replaces it (Note)",IF(AND(I92="Rename",J92=""),"type the new name",IF(AND(L92&lt;&gt;"",L92&lt;&gt;"(decide)",COUNTIF($L$2:$L$1680,L92)&gt;1),"SAME FINAL NAME AS ANOTHER ROW","")))</f>
      </c>
      <c r="N92" s="6">
        <v>0</v>
      </c>
      <c r="O92" s="6" t="s">
        <v>2</v>
      </c>
    </row>
    <row r="93" spans="1:15" x14ac:dyDescent="0.25">
      <c r="A93">
        <v>92</v>
      </c>
      <c r="B93" t="s">
        <v>33</v>
      </c>
      <c r="C93" t="s">
        <v>245</v>
      </c>
      <c r="D93" t="s">
        <v>252</v>
      </c>
      <c r="E93" t="s">
        <v>253</v>
      </c>
      <c r="F93" t="s">
        <v>37</v>
      </c>
      <c r="G93" t="s">
        <v>38</v>
      </c>
      <c r="H93" t="s">
        <v>39</v>
      </c>
      <c r="I93" s="5" t="s">
        <v>40</v>
      </c>
      <c r="J93" s="5" t="s">
        <v>2</v>
      </c>
      <c r="K93" s="5" t="s">
        <v>2</v>
      </c>
      <c r="L93" s="6">
        <f>IF(I93="Cut","",IF(I93="Your call","(decide)",IF(I93="Rename",J93,IF(I93="Keep",IF(D93="",E93,D93),IF(E93="(unchanged)",D93,E93)))))</f>
      </c>
      <c r="M93" s="6">
        <f>IF(AND(I93="Cut",N93&gt;0,K93=""),"USED: say what replaces it (Note)",IF(AND(I93="Rename",J93=""),"type the new name",IF(AND(L93&lt;&gt;"",L93&lt;&gt;"(decide)",COUNTIF($L$2:$L$1680,L93)&gt;1),"SAME FINAL NAME AS ANOTHER ROW","")))</f>
      </c>
      <c r="N93" s="6">
        <v>0</v>
      </c>
      <c r="O93" s="6" t="s">
        <v>2</v>
      </c>
    </row>
    <row r="94" spans="1:15" x14ac:dyDescent="0.25">
      <c r="A94">
        <v>93</v>
      </c>
      <c r="B94" t="s">
        <v>33</v>
      </c>
      <c r="C94" t="s">
        <v>254</v>
      </c>
      <c r="D94" t="s">
        <v>255</v>
      </c>
      <c r="E94" t="s">
        <v>256</v>
      </c>
      <c r="F94" t="s">
        <v>37</v>
      </c>
      <c r="G94" t="s">
        <v>38</v>
      </c>
      <c r="H94" t="s">
        <v>39</v>
      </c>
      <c r="I94" s="5" t="s">
        <v>40</v>
      </c>
      <c r="J94" s="5" t="s">
        <v>2</v>
      </c>
      <c r="K94" s="5" t="s">
        <v>2</v>
      </c>
      <c r="L94" s="6">
        <f>IF(I94="Cut","",IF(I94="Your call","(decide)",IF(I94="Rename",J94,IF(I94="Keep",IF(D94="",E94,D94),IF(E94="(unchanged)",D94,E94)))))</f>
      </c>
      <c r="M94" s="6">
        <f>IF(AND(I94="Cut",N94&gt;0,K94=""),"USED: say what replaces it (Note)",IF(AND(I94="Rename",J94=""),"type the new name",IF(AND(L94&lt;&gt;"",L94&lt;&gt;"(decide)",COUNTIF($L$2:$L$1680,L94)&gt;1),"SAME FINAL NAME AS ANOTHER ROW","")))</f>
      </c>
      <c r="N94" s="6">
        <v>0</v>
      </c>
      <c r="O94" s="6" t="s">
        <v>2</v>
      </c>
    </row>
    <row r="95" spans="1:15" x14ac:dyDescent="0.25">
      <c r="A95">
        <v>94</v>
      </c>
      <c r="B95" t="s">
        <v>33</v>
      </c>
      <c r="C95" t="s">
        <v>257</v>
      </c>
      <c r="D95" t="s">
        <v>258</v>
      </c>
      <c r="E95" t="s">
        <v>259</v>
      </c>
      <c r="F95" t="s">
        <v>63</v>
      </c>
      <c r="G95" t="s">
        <v>38</v>
      </c>
      <c r="H95" t="s">
        <v>39</v>
      </c>
      <c r="I95" s="5" t="s">
        <v>40</v>
      </c>
      <c r="J95" s="5" t="s">
        <v>2</v>
      </c>
      <c r="K95" s="5" t="s">
        <v>2</v>
      </c>
      <c r="L95" s="6">
        <f>IF(I95="Cut","",IF(I95="Your call","(decide)",IF(I95="Rename",J95,IF(I95="Keep",IF(D95="",E95,D95),IF(E95="(unchanged)",D95,E95)))))</f>
      </c>
      <c r="M95" s="6">
        <f>IF(AND(I95="Cut",N95&gt;0,K95=""),"USED: say what replaces it (Note)",IF(AND(I95="Rename",J95=""),"type the new name",IF(AND(L95&lt;&gt;"",L95&lt;&gt;"(decide)",COUNTIF($L$2:$L$1680,L95)&gt;1),"SAME FINAL NAME AS ANOTHER ROW","")))</f>
      </c>
      <c r="N95" s="6">
        <v>0</v>
      </c>
      <c r="O95" s="6" t="s">
        <v>2</v>
      </c>
    </row>
    <row r="96" spans="1:15" x14ac:dyDescent="0.25">
      <c r="A96">
        <v>95</v>
      </c>
      <c r="B96" t="s">
        <v>33</v>
      </c>
      <c r="C96" t="s">
        <v>260</v>
      </c>
      <c r="D96" t="s">
        <v>261</v>
      </c>
      <c r="E96" t="s">
        <v>262</v>
      </c>
      <c r="F96" t="s">
        <v>37</v>
      </c>
      <c r="G96" t="s">
        <v>38</v>
      </c>
      <c r="H96" t="s">
        <v>39</v>
      </c>
      <c r="I96" s="5" t="s">
        <v>40</v>
      </c>
      <c r="J96" s="5" t="s">
        <v>2</v>
      </c>
      <c r="K96" s="5" t="s">
        <v>2</v>
      </c>
      <c r="L96" s="6">
        <f>IF(I96="Cut","",IF(I96="Your call","(decide)",IF(I96="Rename",J96,IF(I96="Keep",IF(D96="",E96,D96),IF(E96="(unchanged)",D96,E96)))))</f>
      </c>
      <c r="M96" s="6">
        <f>IF(AND(I96="Cut",N96&gt;0,K96=""),"USED: say what replaces it (Note)",IF(AND(I96="Rename",J96=""),"type the new name",IF(AND(L96&lt;&gt;"",L96&lt;&gt;"(decide)",COUNTIF($L$2:$L$1680,L96)&gt;1),"SAME FINAL NAME AS ANOTHER ROW","")))</f>
      </c>
      <c r="N96" s="6">
        <v>0</v>
      </c>
      <c r="O96" s="6" t="s">
        <v>2</v>
      </c>
    </row>
    <row r="97" spans="1:15" x14ac:dyDescent="0.25">
      <c r="A97">
        <v>96</v>
      </c>
      <c r="B97" t="s">
        <v>33</v>
      </c>
      <c r="C97" t="s">
        <v>260</v>
      </c>
      <c r="D97" t="s">
        <v>263</v>
      </c>
      <c r="E97" t="s">
        <v>264</v>
      </c>
      <c r="F97" t="s">
        <v>37</v>
      </c>
      <c r="G97" t="s">
        <v>38</v>
      </c>
      <c r="H97" t="s">
        <v>39</v>
      </c>
      <c r="I97" s="5" t="s">
        <v>40</v>
      </c>
      <c r="J97" s="5" t="s">
        <v>2</v>
      </c>
      <c r="K97" s="5" t="s">
        <v>2</v>
      </c>
      <c r="L97" s="6">
        <f>IF(I97="Cut","",IF(I97="Your call","(decide)",IF(I97="Rename",J97,IF(I97="Keep",IF(D97="",E97,D97),IF(E97="(unchanged)",D97,E97)))))</f>
      </c>
      <c r="M97" s="6">
        <f>IF(AND(I97="Cut",N97&gt;0,K97=""),"USED: say what replaces it (Note)",IF(AND(I97="Rename",J97=""),"type the new name",IF(AND(L97&lt;&gt;"",L97&lt;&gt;"(decide)",COUNTIF($L$2:$L$1680,L97)&gt;1),"SAME FINAL NAME AS ANOTHER ROW","")))</f>
      </c>
      <c r="N97" s="6">
        <v>0</v>
      </c>
      <c r="O97" s="6" t="s">
        <v>2</v>
      </c>
    </row>
    <row r="98" spans="1:15" x14ac:dyDescent="0.25">
      <c r="A98">
        <v>97</v>
      </c>
      <c r="B98" t="s">
        <v>33</v>
      </c>
      <c r="C98" t="s">
        <v>260</v>
      </c>
      <c r="D98" t="s">
        <v>265</v>
      </c>
      <c r="E98" t="s">
        <v>266</v>
      </c>
      <c r="F98" t="s">
        <v>37</v>
      </c>
      <c r="G98" t="s">
        <v>38</v>
      </c>
      <c r="H98" t="s">
        <v>39</v>
      </c>
      <c r="I98" s="5" t="s">
        <v>40</v>
      </c>
      <c r="J98" s="5" t="s">
        <v>2</v>
      </c>
      <c r="K98" s="5" t="s">
        <v>2</v>
      </c>
      <c r="L98" s="6">
        <f>IF(I98="Cut","",IF(I98="Your call","(decide)",IF(I98="Rename",J98,IF(I98="Keep",IF(D98="",E98,D98),IF(E98="(unchanged)",D98,E98)))))</f>
      </c>
      <c r="M98" s="6">
        <f>IF(AND(I98="Cut",N98&gt;0,K98=""),"USED: say what replaces it (Note)",IF(AND(I98="Rename",J98=""),"type the new name",IF(AND(L98&lt;&gt;"",L98&lt;&gt;"(decide)",COUNTIF($L$2:$L$1680,L98)&gt;1),"SAME FINAL NAME AS ANOTHER ROW","")))</f>
      </c>
      <c r="N98" s="6">
        <v>0</v>
      </c>
      <c r="O98" s="6" t="s">
        <v>2</v>
      </c>
    </row>
    <row r="99" spans="1:15" x14ac:dyDescent="0.25">
      <c r="A99">
        <v>98</v>
      </c>
      <c r="B99" t="s">
        <v>33</v>
      </c>
      <c r="C99" t="s">
        <v>260</v>
      </c>
      <c r="D99" t="s">
        <v>267</v>
      </c>
      <c r="E99" t="s">
        <v>268</v>
      </c>
      <c r="F99" t="s">
        <v>37</v>
      </c>
      <c r="G99" t="s">
        <v>38</v>
      </c>
      <c r="H99" t="s">
        <v>39</v>
      </c>
      <c r="I99" s="5" t="s">
        <v>40</v>
      </c>
      <c r="J99" s="5" t="s">
        <v>2</v>
      </c>
      <c r="K99" s="5" t="s">
        <v>2</v>
      </c>
      <c r="L99" s="6">
        <f>IF(I99="Cut","",IF(I99="Your call","(decide)",IF(I99="Rename",J99,IF(I99="Keep",IF(D99="",E99,D99),IF(E99="(unchanged)",D99,E99)))))</f>
      </c>
      <c r="M99" s="6">
        <f>IF(AND(I99="Cut",N99&gt;0,K99=""),"USED: say what replaces it (Note)",IF(AND(I99="Rename",J99=""),"type the new name",IF(AND(L99&lt;&gt;"",L99&lt;&gt;"(decide)",COUNTIF($L$2:$L$1680,L99)&gt;1),"SAME FINAL NAME AS ANOTHER ROW","")))</f>
      </c>
      <c r="N99" s="6">
        <v>0</v>
      </c>
      <c r="O99" s="6" t="s">
        <v>2</v>
      </c>
    </row>
    <row r="100" spans="1:15" x14ac:dyDescent="0.25">
      <c r="A100">
        <v>99</v>
      </c>
      <c r="B100" t="s">
        <v>33</v>
      </c>
      <c r="C100" t="s">
        <v>260</v>
      </c>
      <c r="D100" t="s">
        <v>269</v>
      </c>
      <c r="E100" t="s">
        <v>270</v>
      </c>
      <c r="F100" t="s">
        <v>37</v>
      </c>
      <c r="G100" t="s">
        <v>38</v>
      </c>
      <c r="H100" t="s">
        <v>39</v>
      </c>
      <c r="I100" s="5" t="s">
        <v>40</v>
      </c>
      <c r="J100" s="5" t="s">
        <v>2</v>
      </c>
      <c r="K100" s="5" t="s">
        <v>2</v>
      </c>
      <c r="L100" s="6">
        <f>IF(I100="Cut","",IF(I100="Your call","(decide)",IF(I100="Rename",J100,IF(I100="Keep",IF(D100="",E100,D100),IF(E100="(unchanged)",D100,E100)))))</f>
      </c>
      <c r="M100" s="6">
        <f>IF(AND(I100="Cut",N100&gt;0,K100=""),"USED: say what replaces it (Note)",IF(AND(I100="Rename",J100=""),"type the new name",IF(AND(L100&lt;&gt;"",L100&lt;&gt;"(decide)",COUNTIF($L$2:$L$1680,L100)&gt;1),"SAME FINAL NAME AS ANOTHER ROW","")))</f>
      </c>
      <c r="N100" s="6">
        <v>0</v>
      </c>
      <c r="O100" s="6" t="s">
        <v>2</v>
      </c>
    </row>
    <row r="101" spans="1:15" x14ac:dyDescent="0.25">
      <c r="A101">
        <v>100</v>
      </c>
      <c r="B101" t="s">
        <v>33</v>
      </c>
      <c r="C101" t="s">
        <v>260</v>
      </c>
      <c r="D101" t="s">
        <v>271</v>
      </c>
      <c r="E101" t="s">
        <v>272</v>
      </c>
      <c r="F101" t="s">
        <v>63</v>
      </c>
      <c r="G101" t="s">
        <v>38</v>
      </c>
      <c r="H101" t="s">
        <v>39</v>
      </c>
      <c r="I101" s="5" t="s">
        <v>40</v>
      </c>
      <c r="J101" s="5" t="s">
        <v>2</v>
      </c>
      <c r="K101" s="5" t="s">
        <v>2</v>
      </c>
      <c r="L101" s="6">
        <f>IF(I101="Cut","",IF(I101="Your call","(decide)",IF(I101="Rename",J101,IF(I101="Keep",IF(D101="",E101,D101),IF(E101="(unchanged)",D101,E101)))))</f>
      </c>
      <c r="M101" s="6">
        <f>IF(AND(I101="Cut",N101&gt;0,K101=""),"USED: say what replaces it (Note)",IF(AND(I101="Rename",J101=""),"type the new name",IF(AND(L101&lt;&gt;"",L101&lt;&gt;"(decide)",COUNTIF($L$2:$L$1680,L101)&gt;1),"SAME FINAL NAME AS ANOTHER ROW","")))</f>
      </c>
      <c r="N101" s="6">
        <v>0</v>
      </c>
      <c r="O101" s="6" t="s">
        <v>2</v>
      </c>
    </row>
    <row r="102" spans="1:15" x14ac:dyDescent="0.25">
      <c r="A102">
        <v>101</v>
      </c>
      <c r="B102" t="s">
        <v>33</v>
      </c>
      <c r="C102" t="s">
        <v>260</v>
      </c>
      <c r="D102" t="s">
        <v>273</v>
      </c>
      <c r="E102" t="s">
        <v>274</v>
      </c>
      <c r="F102" t="s">
        <v>63</v>
      </c>
      <c r="G102" t="s">
        <v>94</v>
      </c>
      <c r="H102" t="s">
        <v>39</v>
      </c>
      <c r="I102" s="5" t="s">
        <v>40</v>
      </c>
      <c r="J102" s="5" t="s">
        <v>2</v>
      </c>
      <c r="K102" s="5" t="s">
        <v>2</v>
      </c>
      <c r="L102" s="6">
        <f>IF(I102="Cut","",IF(I102="Your call","(decide)",IF(I102="Rename",J102,IF(I102="Keep",IF(D102="",E102,D102),IF(E102="(unchanged)",D102,E102)))))</f>
      </c>
      <c r="M102" s="6">
        <f>IF(AND(I102="Cut",N102&gt;0,K102=""),"USED: say what replaces it (Note)",IF(AND(I102="Rename",J102=""),"type the new name",IF(AND(L102&lt;&gt;"",L102&lt;&gt;"(decide)",COUNTIF($L$2:$L$1680,L102)&gt;1),"SAME FINAL NAME AS ANOTHER ROW","")))</f>
      </c>
      <c r="N102" s="6">
        <v>1</v>
      </c>
      <c r="O102" s="6" t="s">
        <v>2</v>
      </c>
    </row>
    <row r="103" spans="1:15" x14ac:dyDescent="0.25">
      <c r="A103">
        <v>102</v>
      </c>
      <c r="B103" t="s">
        <v>33</v>
      </c>
      <c r="C103" t="s">
        <v>260</v>
      </c>
      <c r="D103" t="s">
        <v>275</v>
      </c>
      <c r="E103" t="s">
        <v>276</v>
      </c>
      <c r="F103" t="s">
        <v>63</v>
      </c>
      <c r="G103" t="s">
        <v>38</v>
      </c>
      <c r="H103" t="s">
        <v>39</v>
      </c>
      <c r="I103" s="5" t="s">
        <v>40</v>
      </c>
      <c r="J103" s="5" t="s">
        <v>2</v>
      </c>
      <c r="K103" s="5" t="s">
        <v>2</v>
      </c>
      <c r="L103" s="6">
        <f>IF(I103="Cut","",IF(I103="Your call","(decide)",IF(I103="Rename",J103,IF(I103="Keep",IF(D103="",E103,D103),IF(E103="(unchanged)",D103,E103)))))</f>
      </c>
      <c r="M103" s="6">
        <f>IF(AND(I103="Cut",N103&gt;0,K103=""),"USED: say what replaces it (Note)",IF(AND(I103="Rename",J103=""),"type the new name",IF(AND(L103&lt;&gt;"",L103&lt;&gt;"(decide)",COUNTIF($L$2:$L$1680,L103)&gt;1),"SAME FINAL NAME AS ANOTHER ROW","")))</f>
      </c>
      <c r="N103" s="6">
        <v>0</v>
      </c>
      <c r="O103" s="6" t="s">
        <v>2</v>
      </c>
    </row>
    <row r="104" spans="1:15" x14ac:dyDescent="0.25">
      <c r="A104">
        <v>103</v>
      </c>
      <c r="B104" t="s">
        <v>33</v>
      </c>
      <c r="C104" t="s">
        <v>260</v>
      </c>
      <c r="D104" t="s">
        <v>277</v>
      </c>
      <c r="E104" t="s">
        <v>278</v>
      </c>
      <c r="F104" t="s">
        <v>63</v>
      </c>
      <c r="G104" t="s">
        <v>94</v>
      </c>
      <c r="H104" t="s">
        <v>39</v>
      </c>
      <c r="I104" s="5" t="s">
        <v>40</v>
      </c>
      <c r="J104" s="5" t="s">
        <v>2</v>
      </c>
      <c r="K104" s="5" t="s">
        <v>2</v>
      </c>
      <c r="L104" s="6">
        <f>IF(I104="Cut","",IF(I104="Your call","(decide)",IF(I104="Rename",J104,IF(I104="Keep",IF(D104="",E104,D104),IF(E104="(unchanged)",D104,E104)))))</f>
      </c>
      <c r="M104" s="6">
        <f>IF(AND(I104="Cut",N104&gt;0,K104=""),"USED: say what replaces it (Note)",IF(AND(I104="Rename",J104=""),"type the new name",IF(AND(L104&lt;&gt;"",L104&lt;&gt;"(decide)",COUNTIF($L$2:$L$1680,L104)&gt;1),"SAME FINAL NAME AS ANOTHER ROW","")))</f>
      </c>
      <c r="N104" s="6">
        <v>1</v>
      </c>
      <c r="O104" s="6" t="s">
        <v>2</v>
      </c>
    </row>
    <row r="105" spans="1:15" x14ac:dyDescent="0.25">
      <c r="A105">
        <v>104</v>
      </c>
      <c r="B105" t="s">
        <v>33</v>
      </c>
      <c r="C105" t="s">
        <v>260</v>
      </c>
      <c r="D105" t="s">
        <v>279</v>
      </c>
      <c r="E105" t="s">
        <v>280</v>
      </c>
      <c r="F105" t="s">
        <v>37</v>
      </c>
      <c r="G105" t="s">
        <v>38</v>
      </c>
      <c r="H105" t="s">
        <v>39</v>
      </c>
      <c r="I105" s="5" t="s">
        <v>40</v>
      </c>
      <c r="J105" s="5" t="s">
        <v>2</v>
      </c>
      <c r="K105" s="5" t="s">
        <v>2</v>
      </c>
      <c r="L105" s="6">
        <f>IF(I105="Cut","",IF(I105="Your call","(decide)",IF(I105="Rename",J105,IF(I105="Keep",IF(D105="",E105,D105),IF(E105="(unchanged)",D105,E105)))))</f>
      </c>
      <c r="M105" s="6">
        <f>IF(AND(I105="Cut",N105&gt;0,K105=""),"USED: say what replaces it (Note)",IF(AND(I105="Rename",J105=""),"type the new name",IF(AND(L105&lt;&gt;"",L105&lt;&gt;"(decide)",COUNTIF($L$2:$L$1680,L105)&gt;1),"SAME FINAL NAME AS ANOTHER ROW","")))</f>
      </c>
      <c r="N105" s="6">
        <v>0</v>
      </c>
      <c r="O105" s="6" t="s">
        <v>2</v>
      </c>
    </row>
    <row r="106" spans="1:15" x14ac:dyDescent="0.25">
      <c r="A106">
        <v>105</v>
      </c>
      <c r="B106" t="s">
        <v>33</v>
      </c>
      <c r="C106" t="s">
        <v>260</v>
      </c>
      <c r="D106" t="s">
        <v>281</v>
      </c>
      <c r="E106" t="s">
        <v>282</v>
      </c>
      <c r="F106" t="s">
        <v>37</v>
      </c>
      <c r="G106" t="s">
        <v>38</v>
      </c>
      <c r="H106" t="s">
        <v>39</v>
      </c>
      <c r="I106" s="5" t="s">
        <v>40</v>
      </c>
      <c r="J106" s="5" t="s">
        <v>2</v>
      </c>
      <c r="K106" s="5" t="s">
        <v>2</v>
      </c>
      <c r="L106" s="6">
        <f>IF(I106="Cut","",IF(I106="Your call","(decide)",IF(I106="Rename",J106,IF(I106="Keep",IF(D106="",E106,D106),IF(E106="(unchanged)",D106,E106)))))</f>
      </c>
      <c r="M106" s="6">
        <f>IF(AND(I106="Cut",N106&gt;0,K106=""),"USED: say what replaces it (Note)",IF(AND(I106="Rename",J106=""),"type the new name",IF(AND(L106&lt;&gt;"",L106&lt;&gt;"(decide)",COUNTIF($L$2:$L$1680,L106)&gt;1),"SAME FINAL NAME AS ANOTHER ROW","")))</f>
      </c>
      <c r="N106" s="6">
        <v>0</v>
      </c>
      <c r="O106" s="6" t="s">
        <v>2</v>
      </c>
    </row>
    <row r="107" spans="1:15" x14ac:dyDescent="0.25">
      <c r="A107">
        <v>106</v>
      </c>
      <c r="B107" t="s">
        <v>33</v>
      </c>
      <c r="C107" t="s">
        <v>260</v>
      </c>
      <c r="D107" t="s">
        <v>283</v>
      </c>
      <c r="E107" t="s">
        <v>284</v>
      </c>
      <c r="F107" t="s">
        <v>37</v>
      </c>
      <c r="G107" t="s">
        <v>38</v>
      </c>
      <c r="H107" t="s">
        <v>39</v>
      </c>
      <c r="I107" s="5" t="s">
        <v>40</v>
      </c>
      <c r="J107" s="5" t="s">
        <v>2</v>
      </c>
      <c r="K107" s="5" t="s">
        <v>2</v>
      </c>
      <c r="L107" s="6">
        <f>IF(I107="Cut","",IF(I107="Your call","(decide)",IF(I107="Rename",J107,IF(I107="Keep",IF(D107="",E107,D107),IF(E107="(unchanged)",D107,E107)))))</f>
      </c>
      <c r="M107" s="6">
        <f>IF(AND(I107="Cut",N107&gt;0,K107=""),"USED: say what replaces it (Note)",IF(AND(I107="Rename",J107=""),"type the new name",IF(AND(L107&lt;&gt;"",L107&lt;&gt;"(decide)",COUNTIF($L$2:$L$1680,L107)&gt;1),"SAME FINAL NAME AS ANOTHER ROW","")))</f>
      </c>
      <c r="N107" s="6">
        <v>0</v>
      </c>
      <c r="O107" s="6" t="s">
        <v>2</v>
      </c>
    </row>
    <row r="108" spans="1:15" x14ac:dyDescent="0.25">
      <c r="A108">
        <v>107</v>
      </c>
      <c r="B108" t="s">
        <v>33</v>
      </c>
      <c r="C108" t="s">
        <v>260</v>
      </c>
      <c r="D108" t="s">
        <v>285</v>
      </c>
      <c r="E108" t="s">
        <v>286</v>
      </c>
      <c r="F108" t="s">
        <v>37</v>
      </c>
      <c r="G108" t="s">
        <v>38</v>
      </c>
      <c r="H108" t="s">
        <v>39</v>
      </c>
      <c r="I108" s="5" t="s">
        <v>40</v>
      </c>
      <c r="J108" s="5" t="s">
        <v>2</v>
      </c>
      <c r="K108" s="5" t="s">
        <v>2</v>
      </c>
      <c r="L108" s="6">
        <f>IF(I108="Cut","",IF(I108="Your call","(decide)",IF(I108="Rename",J108,IF(I108="Keep",IF(D108="",E108,D108),IF(E108="(unchanged)",D108,E108)))))</f>
      </c>
      <c r="M108" s="6">
        <f>IF(AND(I108="Cut",N108&gt;0,K108=""),"USED: say what replaces it (Note)",IF(AND(I108="Rename",J108=""),"type the new name",IF(AND(L108&lt;&gt;"",L108&lt;&gt;"(decide)",COUNTIF($L$2:$L$1680,L108)&gt;1),"SAME FINAL NAME AS ANOTHER ROW","")))</f>
      </c>
      <c r="N108" s="6">
        <v>0</v>
      </c>
      <c r="O108" s="6" t="s">
        <v>2</v>
      </c>
    </row>
    <row r="109" spans="1:15" x14ac:dyDescent="0.25">
      <c r="A109">
        <v>108</v>
      </c>
      <c r="B109" t="s">
        <v>33</v>
      </c>
      <c r="C109" t="s">
        <v>260</v>
      </c>
      <c r="D109" t="s">
        <v>287</v>
      </c>
      <c r="E109" t="s">
        <v>288</v>
      </c>
      <c r="F109" t="s">
        <v>37</v>
      </c>
      <c r="G109" t="s">
        <v>38</v>
      </c>
      <c r="H109" t="s">
        <v>39</v>
      </c>
      <c r="I109" s="5" t="s">
        <v>40</v>
      </c>
      <c r="J109" s="5" t="s">
        <v>2</v>
      </c>
      <c r="K109" s="5" t="s">
        <v>2</v>
      </c>
      <c r="L109" s="6">
        <f>IF(I109="Cut","",IF(I109="Your call","(decide)",IF(I109="Rename",J109,IF(I109="Keep",IF(D109="",E109,D109),IF(E109="(unchanged)",D109,E109)))))</f>
      </c>
      <c r="M109" s="6">
        <f>IF(AND(I109="Cut",N109&gt;0,K109=""),"USED: say what replaces it (Note)",IF(AND(I109="Rename",J109=""),"type the new name",IF(AND(L109&lt;&gt;"",L109&lt;&gt;"(decide)",COUNTIF($L$2:$L$1680,L109)&gt;1),"SAME FINAL NAME AS ANOTHER ROW","")))</f>
      </c>
      <c r="N109" s="6">
        <v>0</v>
      </c>
      <c r="O109" s="6" t="s">
        <v>2</v>
      </c>
    </row>
    <row r="110" spans="1:15" x14ac:dyDescent="0.25">
      <c r="A110">
        <v>109</v>
      </c>
      <c r="B110" t="s">
        <v>289</v>
      </c>
      <c r="C110" t="s">
        <v>290</v>
      </c>
      <c r="D110" t="s">
        <v>291</v>
      </c>
      <c r="E110" t="s">
        <v>292</v>
      </c>
      <c r="F110" t="s">
        <v>2</v>
      </c>
      <c r="G110" t="s">
        <v>293</v>
      </c>
      <c r="H110" t="s">
        <v>39</v>
      </c>
      <c r="I110" s="5" t="s">
        <v>294</v>
      </c>
      <c r="J110" s="5" t="s">
        <v>2</v>
      </c>
      <c r="K110" s="5" t="s">
        <v>2</v>
      </c>
      <c r="L110" s="6">
        <f>IF(I110="Cut","",IF(I110="Your call","(decide)",IF(I110="Rename",J110,IF(I110="Keep",IF(D110="",E110,D110),IF(E110="(unchanged)",D110,E110)))))</f>
      </c>
      <c r="M110" s="6">
        <f>IF(AND(I110="Cut",N110&gt;0,K110=""),"USED: say what replaces it (Note)",IF(AND(I110="Rename",J110=""),"type the new name",IF(AND(L110&lt;&gt;"",L110&lt;&gt;"(decide)",COUNTIF($L$2:$L$1680,L110)&gt;1),"SAME FINAL NAME AS ANOTHER ROW","")))</f>
      </c>
      <c r="N110" s="6">
        <v>1</v>
      </c>
      <c r="O110" s="6" t="s">
        <v>2</v>
      </c>
    </row>
    <row r="111" spans="1:15" x14ac:dyDescent="0.25">
      <c r="A111">
        <v>110</v>
      </c>
      <c r="B111" t="s">
        <v>289</v>
      </c>
      <c r="C111" t="s">
        <v>290</v>
      </c>
      <c r="D111" t="s">
        <v>295</v>
      </c>
      <c r="E111" t="s">
        <v>292</v>
      </c>
      <c r="F111" t="s">
        <v>2</v>
      </c>
      <c r="G111" t="s">
        <v>293</v>
      </c>
      <c r="H111" t="s">
        <v>39</v>
      </c>
      <c r="I111" s="5" t="s">
        <v>294</v>
      </c>
      <c r="J111" s="5" t="s">
        <v>2</v>
      </c>
      <c r="K111" s="5" t="s">
        <v>2</v>
      </c>
      <c r="L111" s="6">
        <f>IF(I111="Cut","",IF(I111="Your call","(decide)",IF(I111="Rename",J111,IF(I111="Keep",IF(D111="",E111,D111),IF(E111="(unchanged)",D111,E111)))))</f>
      </c>
      <c r="M111" s="6">
        <f>IF(AND(I111="Cut",N111&gt;0,K111=""),"USED: say what replaces it (Note)",IF(AND(I111="Rename",J111=""),"type the new name",IF(AND(L111&lt;&gt;"",L111&lt;&gt;"(decide)",COUNTIF($L$2:$L$1680,L111)&gt;1),"SAME FINAL NAME AS ANOTHER ROW","")))</f>
      </c>
      <c r="N111" s="6">
        <v>1</v>
      </c>
      <c r="O111" s="6" t="s">
        <v>2</v>
      </c>
    </row>
    <row r="112" spans="1:15" x14ac:dyDescent="0.25">
      <c r="A112">
        <v>111</v>
      </c>
      <c r="B112" t="s">
        <v>289</v>
      </c>
      <c r="C112" t="s">
        <v>290</v>
      </c>
      <c r="D112" t="s">
        <v>296</v>
      </c>
      <c r="E112" t="s">
        <v>292</v>
      </c>
      <c r="F112" t="s">
        <v>2</v>
      </c>
      <c r="G112" t="s">
        <v>38</v>
      </c>
      <c r="H112" t="s">
        <v>39</v>
      </c>
      <c r="I112" s="5" t="s">
        <v>294</v>
      </c>
      <c r="J112" s="5" t="s">
        <v>2</v>
      </c>
      <c r="K112" s="5" t="s">
        <v>2</v>
      </c>
      <c r="L112" s="6">
        <f>IF(I112="Cut","",IF(I112="Your call","(decide)",IF(I112="Rename",J112,IF(I112="Keep",IF(D112="",E112,D112),IF(E112="(unchanged)",D112,E112)))))</f>
      </c>
      <c r="M112" s="6">
        <f>IF(AND(I112="Cut",N112&gt;0,K112=""),"USED: say what replaces it (Note)",IF(AND(I112="Rename",J112=""),"type the new name",IF(AND(L112&lt;&gt;"",L112&lt;&gt;"(decide)",COUNTIF($L$2:$L$1680,L112)&gt;1),"SAME FINAL NAME AS ANOTHER ROW","")))</f>
      </c>
      <c r="N112" s="6">
        <v>0</v>
      </c>
      <c r="O112" s="6" t="s">
        <v>2</v>
      </c>
    </row>
    <row r="113" spans="1:15" x14ac:dyDescent="0.25">
      <c r="A113">
        <v>112</v>
      </c>
      <c r="B113" t="s">
        <v>289</v>
      </c>
      <c r="C113" t="s">
        <v>290</v>
      </c>
      <c r="D113" t="s">
        <v>297</v>
      </c>
      <c r="E113" t="s">
        <v>292</v>
      </c>
      <c r="F113" t="s">
        <v>2</v>
      </c>
      <c r="G113" t="s">
        <v>38</v>
      </c>
      <c r="H113" t="s">
        <v>39</v>
      </c>
      <c r="I113" s="5" t="s">
        <v>294</v>
      </c>
      <c r="J113" s="5" t="s">
        <v>2</v>
      </c>
      <c r="K113" s="5" t="s">
        <v>2</v>
      </c>
      <c r="L113" s="6">
        <f>IF(I113="Cut","",IF(I113="Your call","(decide)",IF(I113="Rename",J113,IF(I113="Keep",IF(D113="",E113,D113),IF(E113="(unchanged)",D113,E113)))))</f>
      </c>
      <c r="M113" s="6">
        <f>IF(AND(I113="Cut",N113&gt;0,K113=""),"USED: say what replaces it (Note)",IF(AND(I113="Rename",J113=""),"type the new name",IF(AND(L113&lt;&gt;"",L113&lt;&gt;"(decide)",COUNTIF($L$2:$L$1680,L113)&gt;1),"SAME FINAL NAME AS ANOTHER ROW","")))</f>
      </c>
      <c r="N113" s="6">
        <v>0</v>
      </c>
      <c r="O113" s="6" t="s">
        <v>2</v>
      </c>
    </row>
    <row r="114" spans="1:15" x14ac:dyDescent="0.25">
      <c r="A114">
        <v>113</v>
      </c>
      <c r="B114" t="s">
        <v>289</v>
      </c>
      <c r="C114" t="s">
        <v>290</v>
      </c>
      <c r="D114" t="s">
        <v>298</v>
      </c>
      <c r="E114" t="s">
        <v>292</v>
      </c>
      <c r="F114" t="s">
        <v>2</v>
      </c>
      <c r="G114" t="s">
        <v>38</v>
      </c>
      <c r="H114" t="s">
        <v>39</v>
      </c>
      <c r="I114" s="5" t="s">
        <v>294</v>
      </c>
      <c r="J114" s="5" t="s">
        <v>2</v>
      </c>
      <c r="K114" s="5" t="s">
        <v>2</v>
      </c>
      <c r="L114" s="6">
        <f>IF(I114="Cut","",IF(I114="Your call","(decide)",IF(I114="Rename",J114,IF(I114="Keep",IF(D114="",E114,D114),IF(E114="(unchanged)",D114,E114)))))</f>
      </c>
      <c r="M114" s="6">
        <f>IF(AND(I114="Cut",N114&gt;0,K114=""),"USED: say what replaces it (Note)",IF(AND(I114="Rename",J114=""),"type the new name",IF(AND(L114&lt;&gt;"",L114&lt;&gt;"(decide)",COUNTIF($L$2:$L$1680,L114)&gt;1),"SAME FINAL NAME AS ANOTHER ROW","")))</f>
      </c>
      <c r="N114" s="6">
        <v>0</v>
      </c>
      <c r="O114" s="6" t="s">
        <v>2</v>
      </c>
    </row>
    <row r="115" spans="1:15" x14ac:dyDescent="0.25">
      <c r="A115">
        <v>114</v>
      </c>
      <c r="B115" t="s">
        <v>289</v>
      </c>
      <c r="C115" t="s">
        <v>290</v>
      </c>
      <c r="D115" t="s">
        <v>299</v>
      </c>
      <c r="E115" t="s">
        <v>292</v>
      </c>
      <c r="F115" t="s">
        <v>2</v>
      </c>
      <c r="G115" t="s">
        <v>38</v>
      </c>
      <c r="H115" t="s">
        <v>39</v>
      </c>
      <c r="I115" s="5" t="s">
        <v>294</v>
      </c>
      <c r="J115" s="5" t="s">
        <v>2</v>
      </c>
      <c r="K115" s="5" t="s">
        <v>2</v>
      </c>
      <c r="L115" s="6">
        <f>IF(I115="Cut","",IF(I115="Your call","(decide)",IF(I115="Rename",J115,IF(I115="Keep",IF(D115="",E115,D115),IF(E115="(unchanged)",D115,E115)))))</f>
      </c>
      <c r="M115" s="6">
        <f>IF(AND(I115="Cut",N115&gt;0,K115=""),"USED: say what replaces it (Note)",IF(AND(I115="Rename",J115=""),"type the new name",IF(AND(L115&lt;&gt;"",L115&lt;&gt;"(decide)",COUNTIF($L$2:$L$1680,L115)&gt;1),"SAME FINAL NAME AS ANOTHER ROW","")))</f>
      </c>
      <c r="N115" s="6">
        <v>0</v>
      </c>
      <c r="O115" s="6" t="s">
        <v>2</v>
      </c>
    </row>
    <row r="116" spans="1:15" x14ac:dyDescent="0.25">
      <c r="A116">
        <v>115</v>
      </c>
      <c r="B116" t="s">
        <v>289</v>
      </c>
      <c r="C116" t="s">
        <v>290</v>
      </c>
      <c r="D116" t="s">
        <v>300</v>
      </c>
      <c r="E116" t="s">
        <v>292</v>
      </c>
      <c r="F116" t="s">
        <v>2</v>
      </c>
      <c r="G116" t="s">
        <v>38</v>
      </c>
      <c r="H116" t="s">
        <v>39</v>
      </c>
      <c r="I116" s="5" t="s">
        <v>294</v>
      </c>
      <c r="J116" s="5" t="s">
        <v>2</v>
      </c>
      <c r="K116" s="5" t="s">
        <v>2</v>
      </c>
      <c r="L116" s="6">
        <f>IF(I116="Cut","",IF(I116="Your call","(decide)",IF(I116="Rename",J116,IF(I116="Keep",IF(D116="",E116,D116),IF(E116="(unchanged)",D116,E116)))))</f>
      </c>
      <c r="M116" s="6">
        <f>IF(AND(I116="Cut",N116&gt;0,K116=""),"USED: say what replaces it (Note)",IF(AND(I116="Rename",J116=""),"type the new name",IF(AND(L116&lt;&gt;"",L116&lt;&gt;"(decide)",COUNTIF($L$2:$L$1680,L116)&gt;1),"SAME FINAL NAME AS ANOTHER ROW","")))</f>
      </c>
      <c r="N116" s="6">
        <v>0</v>
      </c>
      <c r="O116" s="6" t="s">
        <v>2</v>
      </c>
    </row>
    <row r="117" spans="1:15" x14ac:dyDescent="0.25">
      <c r="A117">
        <v>116</v>
      </c>
      <c r="B117" t="s">
        <v>289</v>
      </c>
      <c r="C117" t="s">
        <v>290</v>
      </c>
      <c r="D117" t="s">
        <v>301</v>
      </c>
      <c r="E117" t="s">
        <v>292</v>
      </c>
      <c r="F117" t="s">
        <v>2</v>
      </c>
      <c r="G117" t="s">
        <v>38</v>
      </c>
      <c r="H117" t="s">
        <v>39</v>
      </c>
      <c r="I117" s="5" t="s">
        <v>294</v>
      </c>
      <c r="J117" s="5" t="s">
        <v>2</v>
      </c>
      <c r="K117" s="5" t="s">
        <v>2</v>
      </c>
      <c r="L117" s="6">
        <f>IF(I117="Cut","",IF(I117="Your call","(decide)",IF(I117="Rename",J117,IF(I117="Keep",IF(D117="",E117,D117),IF(E117="(unchanged)",D117,E117)))))</f>
      </c>
      <c r="M117" s="6">
        <f>IF(AND(I117="Cut",N117&gt;0,K117=""),"USED: say what replaces it (Note)",IF(AND(I117="Rename",J117=""),"type the new name",IF(AND(L117&lt;&gt;"",L117&lt;&gt;"(decide)",COUNTIF($L$2:$L$1680,L117)&gt;1),"SAME FINAL NAME AS ANOTHER ROW","")))</f>
      </c>
      <c r="N117" s="6">
        <v>0</v>
      </c>
      <c r="O117" s="6" t="s">
        <v>2</v>
      </c>
    </row>
    <row r="118" spans="1:15" x14ac:dyDescent="0.25">
      <c r="A118">
        <v>117</v>
      </c>
      <c r="B118" t="s">
        <v>289</v>
      </c>
      <c r="C118" t="s">
        <v>290</v>
      </c>
      <c r="D118" t="s">
        <v>302</v>
      </c>
      <c r="E118" t="s">
        <v>292</v>
      </c>
      <c r="F118" t="s">
        <v>2</v>
      </c>
      <c r="G118" t="s">
        <v>38</v>
      </c>
      <c r="H118" t="s">
        <v>39</v>
      </c>
      <c r="I118" s="5" t="s">
        <v>294</v>
      </c>
      <c r="J118" s="5" t="s">
        <v>2</v>
      </c>
      <c r="K118" s="5" t="s">
        <v>2</v>
      </c>
      <c r="L118" s="6">
        <f>IF(I118="Cut","",IF(I118="Your call","(decide)",IF(I118="Rename",J118,IF(I118="Keep",IF(D118="",E118,D118),IF(E118="(unchanged)",D118,E118)))))</f>
      </c>
      <c r="M118" s="6">
        <f>IF(AND(I118="Cut",N118&gt;0,K118=""),"USED: say what replaces it (Note)",IF(AND(I118="Rename",J118=""),"type the new name",IF(AND(L118&lt;&gt;"",L118&lt;&gt;"(decide)",COUNTIF($L$2:$L$1680,L118)&gt;1),"SAME FINAL NAME AS ANOTHER ROW","")))</f>
      </c>
      <c r="N118" s="6">
        <v>0</v>
      </c>
      <c r="O118" s="6" t="s">
        <v>2</v>
      </c>
    </row>
    <row r="119" spans="1:15" x14ac:dyDescent="0.25">
      <c r="A119">
        <v>118</v>
      </c>
      <c r="B119" t="s">
        <v>289</v>
      </c>
      <c r="C119" t="s">
        <v>303</v>
      </c>
      <c r="D119" t="s">
        <v>304</v>
      </c>
      <c r="E119" t="s">
        <v>292</v>
      </c>
      <c r="F119" t="s">
        <v>2</v>
      </c>
      <c r="G119" t="s">
        <v>38</v>
      </c>
      <c r="H119" t="s">
        <v>39</v>
      </c>
      <c r="I119" s="5" t="s">
        <v>294</v>
      </c>
      <c r="J119" s="5" t="s">
        <v>2</v>
      </c>
      <c r="K119" s="5" t="s">
        <v>2</v>
      </c>
      <c r="L119" s="6">
        <f>IF(I119="Cut","",IF(I119="Your call","(decide)",IF(I119="Rename",J119,IF(I119="Keep",IF(D119="",E119,D119),IF(E119="(unchanged)",D119,E119)))))</f>
      </c>
      <c r="M119" s="6">
        <f>IF(AND(I119="Cut",N119&gt;0,K119=""),"USED: say what replaces it (Note)",IF(AND(I119="Rename",J119=""),"type the new name",IF(AND(L119&lt;&gt;"",L119&lt;&gt;"(decide)",COUNTIF($L$2:$L$1680,L119)&gt;1),"SAME FINAL NAME AS ANOTHER ROW","")))</f>
      </c>
      <c r="N119" s="6">
        <v>0</v>
      </c>
      <c r="O119" s="6" t="s">
        <v>2</v>
      </c>
    </row>
    <row r="120" spans="1:15" x14ac:dyDescent="0.25">
      <c r="A120">
        <v>119</v>
      </c>
      <c r="B120" t="s">
        <v>289</v>
      </c>
      <c r="C120" t="s">
        <v>303</v>
      </c>
      <c r="D120" t="s">
        <v>305</v>
      </c>
      <c r="E120" t="s">
        <v>292</v>
      </c>
      <c r="F120" t="s">
        <v>2</v>
      </c>
      <c r="G120" t="s">
        <v>38</v>
      </c>
      <c r="H120" t="s">
        <v>39</v>
      </c>
      <c r="I120" s="5" t="s">
        <v>294</v>
      </c>
      <c r="J120" s="5" t="s">
        <v>2</v>
      </c>
      <c r="K120" s="5" t="s">
        <v>2</v>
      </c>
      <c r="L120" s="6">
        <f>IF(I120="Cut","",IF(I120="Your call","(decide)",IF(I120="Rename",J120,IF(I120="Keep",IF(D120="",E120,D120),IF(E120="(unchanged)",D120,E120)))))</f>
      </c>
      <c r="M120" s="6">
        <f>IF(AND(I120="Cut",N120&gt;0,K120=""),"USED: say what replaces it (Note)",IF(AND(I120="Rename",J120=""),"type the new name",IF(AND(L120&lt;&gt;"",L120&lt;&gt;"(decide)",COUNTIF($L$2:$L$1680,L120)&gt;1),"SAME FINAL NAME AS ANOTHER ROW","")))</f>
      </c>
      <c r="N120" s="6">
        <v>0</v>
      </c>
      <c r="O120" s="6" t="s">
        <v>2</v>
      </c>
    </row>
    <row r="121" spans="1:15" x14ac:dyDescent="0.25">
      <c r="A121">
        <v>120</v>
      </c>
      <c r="B121" t="s">
        <v>289</v>
      </c>
      <c r="C121" t="s">
        <v>303</v>
      </c>
      <c r="D121" t="s">
        <v>306</v>
      </c>
      <c r="E121" t="s">
        <v>292</v>
      </c>
      <c r="F121" t="s">
        <v>2</v>
      </c>
      <c r="G121" t="s">
        <v>38</v>
      </c>
      <c r="H121" t="s">
        <v>39</v>
      </c>
      <c r="I121" s="5" t="s">
        <v>294</v>
      </c>
      <c r="J121" s="5" t="s">
        <v>2</v>
      </c>
      <c r="K121" s="5" t="s">
        <v>2</v>
      </c>
      <c r="L121" s="6">
        <f>IF(I121="Cut","",IF(I121="Your call","(decide)",IF(I121="Rename",J121,IF(I121="Keep",IF(D121="",E121,D121),IF(E121="(unchanged)",D121,E121)))))</f>
      </c>
      <c r="M121" s="6">
        <f>IF(AND(I121="Cut",N121&gt;0,K121=""),"USED: say what replaces it (Note)",IF(AND(I121="Rename",J121=""),"type the new name",IF(AND(L121&lt;&gt;"",L121&lt;&gt;"(decide)",COUNTIF($L$2:$L$1680,L121)&gt;1),"SAME FINAL NAME AS ANOTHER ROW","")))</f>
      </c>
      <c r="N121" s="6">
        <v>0</v>
      </c>
      <c r="O121" s="6" t="s">
        <v>2</v>
      </c>
    </row>
    <row r="122" spans="1:15" x14ac:dyDescent="0.25">
      <c r="A122">
        <v>121</v>
      </c>
      <c r="B122" t="s">
        <v>289</v>
      </c>
      <c r="C122" t="s">
        <v>303</v>
      </c>
      <c r="D122" t="s">
        <v>307</v>
      </c>
      <c r="E122" t="s">
        <v>292</v>
      </c>
      <c r="F122" t="s">
        <v>2</v>
      </c>
      <c r="G122" t="s">
        <v>38</v>
      </c>
      <c r="H122" t="s">
        <v>39</v>
      </c>
      <c r="I122" s="5" t="s">
        <v>294</v>
      </c>
      <c r="J122" s="5" t="s">
        <v>2</v>
      </c>
      <c r="K122" s="5" t="s">
        <v>2</v>
      </c>
      <c r="L122" s="6">
        <f>IF(I122="Cut","",IF(I122="Your call","(decide)",IF(I122="Rename",J122,IF(I122="Keep",IF(D122="",E122,D122),IF(E122="(unchanged)",D122,E122)))))</f>
      </c>
      <c r="M122" s="6">
        <f>IF(AND(I122="Cut",N122&gt;0,K122=""),"USED: say what replaces it (Note)",IF(AND(I122="Rename",J122=""),"type the new name",IF(AND(L122&lt;&gt;"",L122&lt;&gt;"(decide)",COUNTIF($L$2:$L$1680,L122)&gt;1),"SAME FINAL NAME AS ANOTHER ROW","")))</f>
      </c>
      <c r="N122" s="6">
        <v>0</v>
      </c>
      <c r="O122" s="6" t="s">
        <v>2</v>
      </c>
    </row>
    <row r="123" spans="1:15" x14ac:dyDescent="0.25">
      <c r="A123">
        <v>122</v>
      </c>
      <c r="B123" t="s">
        <v>289</v>
      </c>
      <c r="C123" t="s">
        <v>303</v>
      </c>
      <c r="D123" t="s">
        <v>308</v>
      </c>
      <c r="E123" t="s">
        <v>292</v>
      </c>
      <c r="F123" t="s">
        <v>2</v>
      </c>
      <c r="G123" t="s">
        <v>38</v>
      </c>
      <c r="H123" t="s">
        <v>39</v>
      </c>
      <c r="I123" s="5" t="s">
        <v>294</v>
      </c>
      <c r="J123" s="5" t="s">
        <v>2</v>
      </c>
      <c r="K123" s="5" t="s">
        <v>2</v>
      </c>
      <c r="L123" s="6">
        <f>IF(I123="Cut","",IF(I123="Your call","(decide)",IF(I123="Rename",J123,IF(I123="Keep",IF(D123="",E123,D123),IF(E123="(unchanged)",D123,E123)))))</f>
      </c>
      <c r="M123" s="6">
        <f>IF(AND(I123="Cut",N123&gt;0,K123=""),"USED: say what replaces it (Note)",IF(AND(I123="Rename",J123=""),"type the new name",IF(AND(L123&lt;&gt;"",L123&lt;&gt;"(decide)",COUNTIF($L$2:$L$1680,L123)&gt;1),"SAME FINAL NAME AS ANOTHER ROW","")))</f>
      </c>
      <c r="N123" s="6">
        <v>0</v>
      </c>
      <c r="O123" s="6" t="s">
        <v>2</v>
      </c>
    </row>
    <row r="124" spans="1:15" x14ac:dyDescent="0.25">
      <c r="A124">
        <v>123</v>
      </c>
      <c r="B124" t="s">
        <v>289</v>
      </c>
      <c r="C124" t="s">
        <v>303</v>
      </c>
      <c r="D124" t="s">
        <v>309</v>
      </c>
      <c r="E124" t="s">
        <v>292</v>
      </c>
      <c r="F124" t="s">
        <v>2</v>
      </c>
      <c r="G124" t="s">
        <v>38</v>
      </c>
      <c r="H124" t="s">
        <v>39</v>
      </c>
      <c r="I124" s="5" t="s">
        <v>294</v>
      </c>
      <c r="J124" s="5" t="s">
        <v>2</v>
      </c>
      <c r="K124" s="5" t="s">
        <v>2</v>
      </c>
      <c r="L124" s="6">
        <f>IF(I124="Cut","",IF(I124="Your call","(decide)",IF(I124="Rename",J124,IF(I124="Keep",IF(D124="",E124,D124),IF(E124="(unchanged)",D124,E124)))))</f>
      </c>
      <c r="M124" s="6">
        <f>IF(AND(I124="Cut",N124&gt;0,K124=""),"USED: say what replaces it (Note)",IF(AND(I124="Rename",J124=""),"type the new name",IF(AND(L124&lt;&gt;"",L124&lt;&gt;"(decide)",COUNTIF($L$2:$L$1680,L124)&gt;1),"SAME FINAL NAME AS ANOTHER ROW","")))</f>
      </c>
      <c r="N124" s="6">
        <v>0</v>
      </c>
      <c r="O124" s="6" t="s">
        <v>2</v>
      </c>
    </row>
    <row r="125" spans="1:15" x14ac:dyDescent="0.25">
      <c r="A125">
        <v>124</v>
      </c>
      <c r="B125" t="s">
        <v>289</v>
      </c>
      <c r="C125" t="s">
        <v>303</v>
      </c>
      <c r="D125" t="s">
        <v>310</v>
      </c>
      <c r="E125" t="s">
        <v>292</v>
      </c>
      <c r="F125" t="s">
        <v>2</v>
      </c>
      <c r="G125" t="s">
        <v>38</v>
      </c>
      <c r="H125" t="s">
        <v>39</v>
      </c>
      <c r="I125" s="5" t="s">
        <v>294</v>
      </c>
      <c r="J125" s="5" t="s">
        <v>2</v>
      </c>
      <c r="K125" s="5" t="s">
        <v>2</v>
      </c>
      <c r="L125" s="6">
        <f>IF(I125="Cut","",IF(I125="Your call","(decide)",IF(I125="Rename",J125,IF(I125="Keep",IF(D125="",E125,D125),IF(E125="(unchanged)",D125,E125)))))</f>
      </c>
      <c r="M125" s="6">
        <f>IF(AND(I125="Cut",N125&gt;0,K125=""),"USED: say what replaces it (Note)",IF(AND(I125="Rename",J125=""),"type the new name",IF(AND(L125&lt;&gt;"",L125&lt;&gt;"(decide)",COUNTIF($L$2:$L$1680,L125)&gt;1),"SAME FINAL NAME AS ANOTHER ROW","")))</f>
      </c>
      <c r="N125" s="6">
        <v>0</v>
      </c>
      <c r="O125" s="6" t="s">
        <v>2</v>
      </c>
    </row>
    <row r="126" spans="1:15" x14ac:dyDescent="0.25">
      <c r="A126">
        <v>125</v>
      </c>
      <c r="B126" t="s">
        <v>289</v>
      </c>
      <c r="C126" t="s">
        <v>303</v>
      </c>
      <c r="D126" t="s">
        <v>311</v>
      </c>
      <c r="E126" t="s">
        <v>292</v>
      </c>
      <c r="F126" t="s">
        <v>2</v>
      </c>
      <c r="G126" t="s">
        <v>38</v>
      </c>
      <c r="H126" t="s">
        <v>39</v>
      </c>
      <c r="I126" s="5" t="s">
        <v>294</v>
      </c>
      <c r="J126" s="5" t="s">
        <v>2</v>
      </c>
      <c r="K126" s="5" t="s">
        <v>2</v>
      </c>
      <c r="L126" s="6">
        <f>IF(I126="Cut","",IF(I126="Your call","(decide)",IF(I126="Rename",J126,IF(I126="Keep",IF(D126="",E126,D126),IF(E126="(unchanged)",D126,E126)))))</f>
      </c>
      <c r="M126" s="6">
        <f>IF(AND(I126="Cut",N126&gt;0,K126=""),"USED: say what replaces it (Note)",IF(AND(I126="Rename",J126=""),"type the new name",IF(AND(L126&lt;&gt;"",L126&lt;&gt;"(decide)",COUNTIF($L$2:$L$1680,L126)&gt;1),"SAME FINAL NAME AS ANOTHER ROW","")))</f>
      </c>
      <c r="N126" s="6">
        <v>0</v>
      </c>
      <c r="O126" s="6" t="s">
        <v>2</v>
      </c>
    </row>
    <row r="127" spans="1:15" x14ac:dyDescent="0.25">
      <c r="A127">
        <v>126</v>
      </c>
      <c r="B127" t="s">
        <v>289</v>
      </c>
      <c r="C127" t="s">
        <v>303</v>
      </c>
      <c r="D127" t="s">
        <v>312</v>
      </c>
      <c r="E127" t="s">
        <v>292</v>
      </c>
      <c r="F127" t="s">
        <v>2</v>
      </c>
      <c r="G127" t="s">
        <v>38</v>
      </c>
      <c r="H127" t="s">
        <v>39</v>
      </c>
      <c r="I127" s="5" t="s">
        <v>294</v>
      </c>
      <c r="J127" s="5" t="s">
        <v>2</v>
      </c>
      <c r="K127" s="5" t="s">
        <v>2</v>
      </c>
      <c r="L127" s="6">
        <f>IF(I127="Cut","",IF(I127="Your call","(decide)",IF(I127="Rename",J127,IF(I127="Keep",IF(D127="",E127,D127),IF(E127="(unchanged)",D127,E127)))))</f>
      </c>
      <c r="M127" s="6">
        <f>IF(AND(I127="Cut",N127&gt;0,K127=""),"USED: say what replaces it (Note)",IF(AND(I127="Rename",J127=""),"type the new name",IF(AND(L127&lt;&gt;"",L127&lt;&gt;"(decide)",COUNTIF($L$2:$L$1680,L127)&gt;1),"SAME FINAL NAME AS ANOTHER ROW","")))</f>
      </c>
      <c r="N127" s="6">
        <v>0</v>
      </c>
      <c r="O127" s="6" t="s">
        <v>2</v>
      </c>
    </row>
    <row r="128" spans="1:15" x14ac:dyDescent="0.25">
      <c r="A128">
        <v>127</v>
      </c>
      <c r="B128" t="s">
        <v>289</v>
      </c>
      <c r="C128" t="s">
        <v>313</v>
      </c>
      <c r="D128" t="s">
        <v>314</v>
      </c>
      <c r="E128" t="s">
        <v>292</v>
      </c>
      <c r="F128" t="s">
        <v>2</v>
      </c>
      <c r="G128" t="s">
        <v>38</v>
      </c>
      <c r="H128" t="s">
        <v>39</v>
      </c>
      <c r="I128" s="5" t="s">
        <v>294</v>
      </c>
      <c r="J128" s="5" t="s">
        <v>2</v>
      </c>
      <c r="K128" s="5" t="s">
        <v>2</v>
      </c>
      <c r="L128" s="6">
        <f>IF(I128="Cut","",IF(I128="Your call","(decide)",IF(I128="Rename",J128,IF(I128="Keep",IF(D128="",E128,D128),IF(E128="(unchanged)",D128,E128)))))</f>
      </c>
      <c r="M128" s="6">
        <f>IF(AND(I128="Cut",N128&gt;0,K128=""),"USED: say what replaces it (Note)",IF(AND(I128="Rename",J128=""),"type the new name",IF(AND(L128&lt;&gt;"",L128&lt;&gt;"(decide)",COUNTIF($L$2:$L$1680,L128)&gt;1),"SAME FINAL NAME AS ANOTHER ROW","")))</f>
      </c>
      <c r="N128" s="6">
        <v>0</v>
      </c>
      <c r="O128" s="6" t="s">
        <v>2</v>
      </c>
    </row>
    <row r="129" spans="1:15" x14ac:dyDescent="0.25">
      <c r="A129">
        <v>128</v>
      </c>
      <c r="B129" t="s">
        <v>289</v>
      </c>
      <c r="C129" t="s">
        <v>313</v>
      </c>
      <c r="D129" t="s">
        <v>315</v>
      </c>
      <c r="E129" t="s">
        <v>292</v>
      </c>
      <c r="F129" t="s">
        <v>2</v>
      </c>
      <c r="G129" t="s">
        <v>38</v>
      </c>
      <c r="H129" t="s">
        <v>39</v>
      </c>
      <c r="I129" s="5" t="s">
        <v>294</v>
      </c>
      <c r="J129" s="5" t="s">
        <v>2</v>
      </c>
      <c r="K129" s="5" t="s">
        <v>2</v>
      </c>
      <c r="L129" s="6">
        <f>IF(I129="Cut","",IF(I129="Your call","(decide)",IF(I129="Rename",J129,IF(I129="Keep",IF(D129="",E129,D129),IF(E129="(unchanged)",D129,E129)))))</f>
      </c>
      <c r="M129" s="6">
        <f>IF(AND(I129="Cut",N129&gt;0,K129=""),"USED: say what replaces it (Note)",IF(AND(I129="Rename",J129=""),"type the new name",IF(AND(L129&lt;&gt;"",L129&lt;&gt;"(decide)",COUNTIF($L$2:$L$1680,L129)&gt;1),"SAME FINAL NAME AS ANOTHER ROW","")))</f>
      </c>
      <c r="N129" s="6">
        <v>0</v>
      </c>
      <c r="O129" s="6" t="s">
        <v>2</v>
      </c>
    </row>
    <row r="130" spans="1:15" x14ac:dyDescent="0.25">
      <c r="A130">
        <v>129</v>
      </c>
      <c r="B130" t="s">
        <v>289</v>
      </c>
      <c r="C130" t="s">
        <v>313</v>
      </c>
      <c r="D130" t="s">
        <v>316</v>
      </c>
      <c r="E130" t="s">
        <v>292</v>
      </c>
      <c r="F130" t="s">
        <v>2</v>
      </c>
      <c r="G130" t="s">
        <v>38</v>
      </c>
      <c r="H130" t="s">
        <v>39</v>
      </c>
      <c r="I130" s="5" t="s">
        <v>294</v>
      </c>
      <c r="J130" s="5" t="s">
        <v>2</v>
      </c>
      <c r="K130" s="5" t="s">
        <v>2</v>
      </c>
      <c r="L130" s="6">
        <f>IF(I130="Cut","",IF(I130="Your call","(decide)",IF(I130="Rename",J130,IF(I130="Keep",IF(D130="",E130,D130),IF(E130="(unchanged)",D130,E130)))))</f>
      </c>
      <c r="M130" s="6">
        <f>IF(AND(I130="Cut",N130&gt;0,K130=""),"USED: say what replaces it (Note)",IF(AND(I130="Rename",J130=""),"type the new name",IF(AND(L130&lt;&gt;"",L130&lt;&gt;"(decide)",COUNTIF($L$2:$L$1680,L130)&gt;1),"SAME FINAL NAME AS ANOTHER ROW","")))</f>
      </c>
      <c r="N130" s="6">
        <v>0</v>
      </c>
      <c r="O130" s="6" t="s">
        <v>2</v>
      </c>
    </row>
    <row r="131" spans="1:15" x14ac:dyDescent="0.25">
      <c r="A131">
        <v>130</v>
      </c>
      <c r="B131" t="s">
        <v>289</v>
      </c>
      <c r="C131" t="s">
        <v>313</v>
      </c>
      <c r="D131" t="s">
        <v>317</v>
      </c>
      <c r="E131" t="s">
        <v>292</v>
      </c>
      <c r="F131" t="s">
        <v>2</v>
      </c>
      <c r="G131" t="s">
        <v>38</v>
      </c>
      <c r="H131" t="s">
        <v>39</v>
      </c>
      <c r="I131" s="5" t="s">
        <v>294</v>
      </c>
      <c r="J131" s="5" t="s">
        <v>2</v>
      </c>
      <c r="K131" s="5" t="s">
        <v>2</v>
      </c>
      <c r="L131" s="6">
        <f>IF(I131="Cut","",IF(I131="Your call","(decide)",IF(I131="Rename",J131,IF(I131="Keep",IF(D131="",E131,D131),IF(E131="(unchanged)",D131,E131)))))</f>
      </c>
      <c r="M131" s="6">
        <f>IF(AND(I131="Cut",N131&gt;0,K131=""),"USED: say what replaces it (Note)",IF(AND(I131="Rename",J131=""),"type the new name",IF(AND(L131&lt;&gt;"",L131&lt;&gt;"(decide)",COUNTIF($L$2:$L$1680,L131)&gt;1),"SAME FINAL NAME AS ANOTHER ROW","")))</f>
      </c>
      <c r="N131" s="6">
        <v>0</v>
      </c>
      <c r="O131" s="6" t="s">
        <v>2</v>
      </c>
    </row>
    <row r="132" spans="1:15" x14ac:dyDescent="0.25">
      <c r="A132">
        <v>131</v>
      </c>
      <c r="B132" t="s">
        <v>289</v>
      </c>
      <c r="C132" t="s">
        <v>313</v>
      </c>
      <c r="D132" t="s">
        <v>318</v>
      </c>
      <c r="E132" t="s">
        <v>292</v>
      </c>
      <c r="F132" t="s">
        <v>2</v>
      </c>
      <c r="G132" t="s">
        <v>38</v>
      </c>
      <c r="H132" t="s">
        <v>39</v>
      </c>
      <c r="I132" s="5" t="s">
        <v>294</v>
      </c>
      <c r="J132" s="5" t="s">
        <v>2</v>
      </c>
      <c r="K132" s="5" t="s">
        <v>2</v>
      </c>
      <c r="L132" s="6">
        <f>IF(I132="Cut","",IF(I132="Your call","(decide)",IF(I132="Rename",J132,IF(I132="Keep",IF(D132="",E132,D132),IF(E132="(unchanged)",D132,E132)))))</f>
      </c>
      <c r="M132" s="6">
        <f>IF(AND(I132="Cut",N132&gt;0,K132=""),"USED: say what replaces it (Note)",IF(AND(I132="Rename",J132=""),"type the new name",IF(AND(L132&lt;&gt;"",L132&lt;&gt;"(decide)",COUNTIF($L$2:$L$1680,L132)&gt;1),"SAME FINAL NAME AS ANOTHER ROW","")))</f>
      </c>
      <c r="N132" s="6">
        <v>0</v>
      </c>
      <c r="O132" s="6" t="s">
        <v>2</v>
      </c>
    </row>
    <row r="133" spans="1:15" x14ac:dyDescent="0.25">
      <c r="A133">
        <v>132</v>
      </c>
      <c r="B133" t="s">
        <v>289</v>
      </c>
      <c r="C133" t="s">
        <v>313</v>
      </c>
      <c r="D133" t="s">
        <v>319</v>
      </c>
      <c r="E133" t="s">
        <v>292</v>
      </c>
      <c r="F133" t="s">
        <v>2</v>
      </c>
      <c r="G133" t="s">
        <v>38</v>
      </c>
      <c r="H133" t="s">
        <v>39</v>
      </c>
      <c r="I133" s="5" t="s">
        <v>294</v>
      </c>
      <c r="J133" s="5" t="s">
        <v>2</v>
      </c>
      <c r="K133" s="5" t="s">
        <v>2</v>
      </c>
      <c r="L133" s="6">
        <f>IF(I133="Cut","",IF(I133="Your call","(decide)",IF(I133="Rename",J133,IF(I133="Keep",IF(D133="",E133,D133),IF(E133="(unchanged)",D133,E133)))))</f>
      </c>
      <c r="M133" s="6">
        <f>IF(AND(I133="Cut",N133&gt;0,K133=""),"USED: say what replaces it (Note)",IF(AND(I133="Rename",J133=""),"type the new name",IF(AND(L133&lt;&gt;"",L133&lt;&gt;"(decide)",COUNTIF($L$2:$L$1680,L133)&gt;1),"SAME FINAL NAME AS ANOTHER ROW","")))</f>
      </c>
      <c r="N133" s="6">
        <v>0</v>
      </c>
      <c r="O133" s="6" t="s">
        <v>2</v>
      </c>
    </row>
    <row r="134" spans="1:15" x14ac:dyDescent="0.25">
      <c r="A134">
        <v>133</v>
      </c>
      <c r="B134" t="s">
        <v>289</v>
      </c>
      <c r="C134" t="s">
        <v>313</v>
      </c>
      <c r="D134" t="s">
        <v>320</v>
      </c>
      <c r="E134" t="s">
        <v>292</v>
      </c>
      <c r="F134" t="s">
        <v>2</v>
      </c>
      <c r="G134" t="s">
        <v>38</v>
      </c>
      <c r="H134" t="s">
        <v>39</v>
      </c>
      <c r="I134" s="5" t="s">
        <v>294</v>
      </c>
      <c r="J134" s="5" t="s">
        <v>2</v>
      </c>
      <c r="K134" s="5" t="s">
        <v>2</v>
      </c>
      <c r="L134" s="6">
        <f>IF(I134="Cut","",IF(I134="Your call","(decide)",IF(I134="Rename",J134,IF(I134="Keep",IF(D134="",E134,D134),IF(E134="(unchanged)",D134,E134)))))</f>
      </c>
      <c r="M134" s="6">
        <f>IF(AND(I134="Cut",N134&gt;0,K134=""),"USED: say what replaces it (Note)",IF(AND(I134="Rename",J134=""),"type the new name",IF(AND(L134&lt;&gt;"",L134&lt;&gt;"(decide)",COUNTIF($L$2:$L$1680,L134)&gt;1),"SAME FINAL NAME AS ANOTHER ROW","")))</f>
      </c>
      <c r="N134" s="6">
        <v>0</v>
      </c>
      <c r="O134" s="6" t="s">
        <v>2</v>
      </c>
    </row>
    <row r="135" spans="1:15" x14ac:dyDescent="0.25">
      <c r="A135">
        <v>134</v>
      </c>
      <c r="B135" t="s">
        <v>289</v>
      </c>
      <c r="C135" t="s">
        <v>313</v>
      </c>
      <c r="D135" t="s">
        <v>321</v>
      </c>
      <c r="E135" t="s">
        <v>292</v>
      </c>
      <c r="F135" t="s">
        <v>2</v>
      </c>
      <c r="G135" t="s">
        <v>38</v>
      </c>
      <c r="H135" t="s">
        <v>39</v>
      </c>
      <c r="I135" s="5" t="s">
        <v>294</v>
      </c>
      <c r="J135" s="5" t="s">
        <v>2</v>
      </c>
      <c r="K135" s="5" t="s">
        <v>2</v>
      </c>
      <c r="L135" s="6">
        <f>IF(I135="Cut","",IF(I135="Your call","(decide)",IF(I135="Rename",J135,IF(I135="Keep",IF(D135="",E135,D135),IF(E135="(unchanged)",D135,E135)))))</f>
      </c>
      <c r="M135" s="6">
        <f>IF(AND(I135="Cut",N135&gt;0,K135=""),"USED: say what replaces it (Note)",IF(AND(I135="Rename",J135=""),"type the new name",IF(AND(L135&lt;&gt;"",L135&lt;&gt;"(decide)",COUNTIF($L$2:$L$1680,L135)&gt;1),"SAME FINAL NAME AS ANOTHER ROW","")))</f>
      </c>
      <c r="N135" s="6">
        <v>0</v>
      </c>
      <c r="O135" s="6" t="s">
        <v>2</v>
      </c>
    </row>
    <row r="136" spans="1:15" x14ac:dyDescent="0.25">
      <c r="A136">
        <v>135</v>
      </c>
      <c r="B136" t="s">
        <v>289</v>
      </c>
      <c r="C136" t="s">
        <v>313</v>
      </c>
      <c r="D136" t="s">
        <v>322</v>
      </c>
      <c r="E136" t="s">
        <v>292</v>
      </c>
      <c r="F136" t="s">
        <v>2</v>
      </c>
      <c r="G136" t="s">
        <v>38</v>
      </c>
      <c r="H136" t="s">
        <v>39</v>
      </c>
      <c r="I136" s="5" t="s">
        <v>294</v>
      </c>
      <c r="J136" s="5" t="s">
        <v>2</v>
      </c>
      <c r="K136" s="5" t="s">
        <v>2</v>
      </c>
      <c r="L136" s="6">
        <f>IF(I136="Cut","",IF(I136="Your call","(decide)",IF(I136="Rename",J136,IF(I136="Keep",IF(D136="",E136,D136),IF(E136="(unchanged)",D136,E136)))))</f>
      </c>
      <c r="M136" s="6">
        <f>IF(AND(I136="Cut",N136&gt;0,K136=""),"USED: say what replaces it (Note)",IF(AND(I136="Rename",J136=""),"type the new name",IF(AND(L136&lt;&gt;"",L136&lt;&gt;"(decide)",COUNTIF($L$2:$L$1680,L136)&gt;1),"SAME FINAL NAME AS ANOTHER ROW","")))</f>
      </c>
      <c r="N136" s="6">
        <v>0</v>
      </c>
      <c r="O136" s="6" t="s">
        <v>2</v>
      </c>
    </row>
    <row r="137" spans="1:15" x14ac:dyDescent="0.25">
      <c r="A137">
        <v>136</v>
      </c>
      <c r="B137" t="s">
        <v>289</v>
      </c>
      <c r="C137" t="s">
        <v>323</v>
      </c>
      <c r="D137" t="s">
        <v>324</v>
      </c>
      <c r="E137" t="s">
        <v>292</v>
      </c>
      <c r="F137" t="s">
        <v>2</v>
      </c>
      <c r="G137" t="s">
        <v>38</v>
      </c>
      <c r="H137" t="s">
        <v>39</v>
      </c>
      <c r="I137" s="5" t="s">
        <v>294</v>
      </c>
      <c r="J137" s="5" t="s">
        <v>2</v>
      </c>
      <c r="K137" s="5" t="s">
        <v>2</v>
      </c>
      <c r="L137" s="6">
        <f>IF(I137="Cut","",IF(I137="Your call","(decide)",IF(I137="Rename",J137,IF(I137="Keep",IF(D137="",E137,D137),IF(E137="(unchanged)",D137,E137)))))</f>
      </c>
      <c r="M137" s="6">
        <f>IF(AND(I137="Cut",N137&gt;0,K137=""),"USED: say what replaces it (Note)",IF(AND(I137="Rename",J137=""),"type the new name",IF(AND(L137&lt;&gt;"",L137&lt;&gt;"(decide)",COUNTIF($L$2:$L$1680,L137)&gt;1),"SAME FINAL NAME AS ANOTHER ROW","")))</f>
      </c>
      <c r="N137" s="6">
        <v>0</v>
      </c>
      <c r="O137" s="6" t="s">
        <v>2</v>
      </c>
    </row>
    <row r="138" spans="1:15" x14ac:dyDescent="0.25">
      <c r="A138">
        <v>137</v>
      </c>
      <c r="B138" t="s">
        <v>289</v>
      </c>
      <c r="C138" t="s">
        <v>323</v>
      </c>
      <c r="D138" t="s">
        <v>325</v>
      </c>
      <c r="E138" t="s">
        <v>292</v>
      </c>
      <c r="F138" t="s">
        <v>2</v>
      </c>
      <c r="G138" t="s">
        <v>38</v>
      </c>
      <c r="H138" t="s">
        <v>39</v>
      </c>
      <c r="I138" s="5" t="s">
        <v>294</v>
      </c>
      <c r="J138" s="5" t="s">
        <v>2</v>
      </c>
      <c r="K138" s="5" t="s">
        <v>2</v>
      </c>
      <c r="L138" s="6">
        <f>IF(I138="Cut","",IF(I138="Your call","(decide)",IF(I138="Rename",J138,IF(I138="Keep",IF(D138="",E138,D138),IF(E138="(unchanged)",D138,E138)))))</f>
      </c>
      <c r="M138" s="6">
        <f>IF(AND(I138="Cut",N138&gt;0,K138=""),"USED: say what replaces it (Note)",IF(AND(I138="Rename",J138=""),"type the new name",IF(AND(L138&lt;&gt;"",L138&lt;&gt;"(decide)",COUNTIF($L$2:$L$1680,L138)&gt;1),"SAME FINAL NAME AS ANOTHER ROW","")))</f>
      </c>
      <c r="N138" s="6">
        <v>0</v>
      </c>
      <c r="O138" s="6" t="s">
        <v>2</v>
      </c>
    </row>
    <row r="139" spans="1:15" x14ac:dyDescent="0.25">
      <c r="A139">
        <v>138</v>
      </c>
      <c r="B139" t="s">
        <v>289</v>
      </c>
      <c r="C139" t="s">
        <v>323</v>
      </c>
      <c r="D139" t="s">
        <v>326</v>
      </c>
      <c r="E139" t="s">
        <v>292</v>
      </c>
      <c r="F139" t="s">
        <v>2</v>
      </c>
      <c r="G139" t="s">
        <v>38</v>
      </c>
      <c r="H139" t="s">
        <v>39</v>
      </c>
      <c r="I139" s="5" t="s">
        <v>294</v>
      </c>
      <c r="J139" s="5" t="s">
        <v>2</v>
      </c>
      <c r="K139" s="5" t="s">
        <v>2</v>
      </c>
      <c r="L139" s="6">
        <f>IF(I139="Cut","",IF(I139="Your call","(decide)",IF(I139="Rename",J139,IF(I139="Keep",IF(D139="",E139,D139),IF(E139="(unchanged)",D139,E139)))))</f>
      </c>
      <c r="M139" s="6">
        <f>IF(AND(I139="Cut",N139&gt;0,K139=""),"USED: say what replaces it (Note)",IF(AND(I139="Rename",J139=""),"type the new name",IF(AND(L139&lt;&gt;"",L139&lt;&gt;"(decide)",COUNTIF($L$2:$L$1680,L139)&gt;1),"SAME FINAL NAME AS ANOTHER ROW","")))</f>
      </c>
      <c r="N139" s="6">
        <v>0</v>
      </c>
      <c r="O139" s="6" t="s">
        <v>2</v>
      </c>
    </row>
    <row r="140" spans="1:15" x14ac:dyDescent="0.25">
      <c r="A140">
        <v>139</v>
      </c>
      <c r="B140" t="s">
        <v>289</v>
      </c>
      <c r="C140" t="s">
        <v>323</v>
      </c>
      <c r="D140" t="s">
        <v>327</v>
      </c>
      <c r="E140" t="s">
        <v>292</v>
      </c>
      <c r="F140" t="s">
        <v>2</v>
      </c>
      <c r="G140" t="s">
        <v>38</v>
      </c>
      <c r="H140" t="s">
        <v>39</v>
      </c>
      <c r="I140" s="5" t="s">
        <v>294</v>
      </c>
      <c r="J140" s="5" t="s">
        <v>2</v>
      </c>
      <c r="K140" s="5" t="s">
        <v>2</v>
      </c>
      <c r="L140" s="6">
        <f>IF(I140="Cut","",IF(I140="Your call","(decide)",IF(I140="Rename",J140,IF(I140="Keep",IF(D140="",E140,D140),IF(E140="(unchanged)",D140,E140)))))</f>
      </c>
      <c r="M140" s="6">
        <f>IF(AND(I140="Cut",N140&gt;0,K140=""),"USED: say what replaces it (Note)",IF(AND(I140="Rename",J140=""),"type the new name",IF(AND(L140&lt;&gt;"",L140&lt;&gt;"(decide)",COUNTIF($L$2:$L$1680,L140)&gt;1),"SAME FINAL NAME AS ANOTHER ROW","")))</f>
      </c>
      <c r="N140" s="6">
        <v>0</v>
      </c>
      <c r="O140" s="6" t="s">
        <v>2</v>
      </c>
    </row>
    <row r="141" spans="1:15" x14ac:dyDescent="0.25">
      <c r="A141">
        <v>140</v>
      </c>
      <c r="B141" t="s">
        <v>289</v>
      </c>
      <c r="C141" t="s">
        <v>323</v>
      </c>
      <c r="D141" t="s">
        <v>328</v>
      </c>
      <c r="E141" t="s">
        <v>292</v>
      </c>
      <c r="F141" t="s">
        <v>2</v>
      </c>
      <c r="G141" t="s">
        <v>38</v>
      </c>
      <c r="H141" t="s">
        <v>39</v>
      </c>
      <c r="I141" s="5" t="s">
        <v>294</v>
      </c>
      <c r="J141" s="5" t="s">
        <v>2</v>
      </c>
      <c r="K141" s="5" t="s">
        <v>2</v>
      </c>
      <c r="L141" s="6">
        <f>IF(I141="Cut","",IF(I141="Your call","(decide)",IF(I141="Rename",J141,IF(I141="Keep",IF(D141="",E141,D141),IF(E141="(unchanged)",D141,E141)))))</f>
      </c>
      <c r="M141" s="6">
        <f>IF(AND(I141="Cut",N141&gt;0,K141=""),"USED: say what replaces it (Note)",IF(AND(I141="Rename",J141=""),"type the new name",IF(AND(L141&lt;&gt;"",L141&lt;&gt;"(decide)",COUNTIF($L$2:$L$1680,L141)&gt;1),"SAME FINAL NAME AS ANOTHER ROW","")))</f>
      </c>
      <c r="N141" s="6">
        <v>0</v>
      </c>
      <c r="O141" s="6" t="s">
        <v>2</v>
      </c>
    </row>
    <row r="142" spans="1:15" x14ac:dyDescent="0.25">
      <c r="A142">
        <v>141</v>
      </c>
      <c r="B142" t="s">
        <v>289</v>
      </c>
      <c r="C142" t="s">
        <v>323</v>
      </c>
      <c r="D142" t="s">
        <v>329</v>
      </c>
      <c r="E142" t="s">
        <v>292</v>
      </c>
      <c r="F142" t="s">
        <v>2</v>
      </c>
      <c r="G142" t="s">
        <v>94</v>
      </c>
      <c r="H142" t="s">
        <v>39</v>
      </c>
      <c r="I142" s="5" t="s">
        <v>294</v>
      </c>
      <c r="J142" s="5" t="s">
        <v>2</v>
      </c>
      <c r="K142" s="5" t="s">
        <v>2</v>
      </c>
      <c r="L142" s="6">
        <f>IF(I142="Cut","",IF(I142="Your call","(decide)",IF(I142="Rename",J142,IF(I142="Keep",IF(D142="",E142,D142),IF(E142="(unchanged)",D142,E142)))))</f>
      </c>
      <c r="M142" s="6">
        <f>IF(AND(I142="Cut",N142&gt;0,K142=""),"USED: say what replaces it (Note)",IF(AND(I142="Rename",J142=""),"type the new name",IF(AND(L142&lt;&gt;"",L142&lt;&gt;"(decide)",COUNTIF($L$2:$L$1680,L142)&gt;1),"SAME FINAL NAME AS ANOTHER ROW","")))</f>
      </c>
      <c r="N142" s="6">
        <v>1</v>
      </c>
      <c r="O142" s="6" t="s">
        <v>2</v>
      </c>
    </row>
    <row r="143" spans="1:15" x14ac:dyDescent="0.25">
      <c r="A143">
        <v>142</v>
      </c>
      <c r="B143" t="s">
        <v>289</v>
      </c>
      <c r="C143" t="s">
        <v>323</v>
      </c>
      <c r="D143" t="s">
        <v>330</v>
      </c>
      <c r="E143" t="s">
        <v>292</v>
      </c>
      <c r="F143" t="s">
        <v>2</v>
      </c>
      <c r="G143" t="s">
        <v>38</v>
      </c>
      <c r="H143" t="s">
        <v>39</v>
      </c>
      <c r="I143" s="5" t="s">
        <v>294</v>
      </c>
      <c r="J143" s="5" t="s">
        <v>2</v>
      </c>
      <c r="K143" s="5" t="s">
        <v>2</v>
      </c>
      <c r="L143" s="6">
        <f>IF(I143="Cut","",IF(I143="Your call","(decide)",IF(I143="Rename",J143,IF(I143="Keep",IF(D143="",E143,D143),IF(E143="(unchanged)",D143,E143)))))</f>
      </c>
      <c r="M143" s="6">
        <f>IF(AND(I143="Cut",N143&gt;0,K143=""),"USED: say what replaces it (Note)",IF(AND(I143="Rename",J143=""),"type the new name",IF(AND(L143&lt;&gt;"",L143&lt;&gt;"(decide)",COUNTIF($L$2:$L$1680,L143)&gt;1),"SAME FINAL NAME AS ANOTHER ROW","")))</f>
      </c>
      <c r="N143" s="6">
        <v>0</v>
      </c>
      <c r="O143" s="6" t="s">
        <v>2</v>
      </c>
    </row>
    <row r="144" spans="1:15" x14ac:dyDescent="0.25">
      <c r="A144">
        <v>143</v>
      </c>
      <c r="B144" t="s">
        <v>289</v>
      </c>
      <c r="C144" t="s">
        <v>323</v>
      </c>
      <c r="D144" t="s">
        <v>331</v>
      </c>
      <c r="E144" t="s">
        <v>292</v>
      </c>
      <c r="F144" t="s">
        <v>2</v>
      </c>
      <c r="G144" t="s">
        <v>38</v>
      </c>
      <c r="H144" t="s">
        <v>39</v>
      </c>
      <c r="I144" s="5" t="s">
        <v>294</v>
      </c>
      <c r="J144" s="5" t="s">
        <v>2</v>
      </c>
      <c r="K144" s="5" t="s">
        <v>2</v>
      </c>
      <c r="L144" s="6">
        <f>IF(I144="Cut","",IF(I144="Your call","(decide)",IF(I144="Rename",J144,IF(I144="Keep",IF(D144="",E144,D144),IF(E144="(unchanged)",D144,E144)))))</f>
      </c>
      <c r="M144" s="6">
        <f>IF(AND(I144="Cut",N144&gt;0,K144=""),"USED: say what replaces it (Note)",IF(AND(I144="Rename",J144=""),"type the new name",IF(AND(L144&lt;&gt;"",L144&lt;&gt;"(decide)",COUNTIF($L$2:$L$1680,L144)&gt;1),"SAME FINAL NAME AS ANOTHER ROW","")))</f>
      </c>
      <c r="N144" s="6">
        <v>0</v>
      </c>
      <c r="O144" s="6" t="s">
        <v>2</v>
      </c>
    </row>
    <row r="145" spans="1:15" x14ac:dyDescent="0.25">
      <c r="A145">
        <v>144</v>
      </c>
      <c r="B145" t="s">
        <v>289</v>
      </c>
      <c r="C145" t="s">
        <v>323</v>
      </c>
      <c r="D145" t="s">
        <v>332</v>
      </c>
      <c r="E145" t="s">
        <v>292</v>
      </c>
      <c r="F145" t="s">
        <v>2</v>
      </c>
      <c r="G145" t="s">
        <v>38</v>
      </c>
      <c r="H145" t="s">
        <v>39</v>
      </c>
      <c r="I145" s="5" t="s">
        <v>294</v>
      </c>
      <c r="J145" s="5" t="s">
        <v>2</v>
      </c>
      <c r="K145" s="5" t="s">
        <v>2</v>
      </c>
      <c r="L145" s="6">
        <f>IF(I145="Cut","",IF(I145="Your call","(decide)",IF(I145="Rename",J145,IF(I145="Keep",IF(D145="",E145,D145),IF(E145="(unchanged)",D145,E145)))))</f>
      </c>
      <c r="M145" s="6">
        <f>IF(AND(I145="Cut",N145&gt;0,K145=""),"USED: say what replaces it (Note)",IF(AND(I145="Rename",J145=""),"type the new name",IF(AND(L145&lt;&gt;"",L145&lt;&gt;"(decide)",COUNTIF($L$2:$L$1680,L145)&gt;1),"SAME FINAL NAME AS ANOTHER ROW","")))</f>
      </c>
      <c r="N145" s="6">
        <v>0</v>
      </c>
      <c r="O145" s="6" t="s">
        <v>2</v>
      </c>
    </row>
    <row r="146" spans="1:15" x14ac:dyDescent="0.25">
      <c r="A146">
        <v>145</v>
      </c>
      <c r="B146" t="s">
        <v>289</v>
      </c>
      <c r="C146" t="s">
        <v>333</v>
      </c>
      <c r="D146" t="s">
        <v>334</v>
      </c>
      <c r="E146" t="s">
        <v>292</v>
      </c>
      <c r="F146" t="s">
        <v>2</v>
      </c>
      <c r="G146" t="s">
        <v>38</v>
      </c>
      <c r="H146" t="s">
        <v>39</v>
      </c>
      <c r="I146" s="5" t="s">
        <v>294</v>
      </c>
      <c r="J146" s="5" t="s">
        <v>2</v>
      </c>
      <c r="K146" s="5" t="s">
        <v>2</v>
      </c>
      <c r="L146" s="6">
        <f>IF(I146="Cut","",IF(I146="Your call","(decide)",IF(I146="Rename",J146,IF(I146="Keep",IF(D146="",E146,D146),IF(E146="(unchanged)",D146,E146)))))</f>
      </c>
      <c r="M146" s="6">
        <f>IF(AND(I146="Cut",N146&gt;0,K146=""),"USED: say what replaces it (Note)",IF(AND(I146="Rename",J146=""),"type the new name",IF(AND(L146&lt;&gt;"",L146&lt;&gt;"(decide)",COUNTIF($L$2:$L$1680,L146)&gt;1),"SAME FINAL NAME AS ANOTHER ROW","")))</f>
      </c>
      <c r="N146" s="6">
        <v>0</v>
      </c>
      <c r="O146" s="6" t="s">
        <v>2</v>
      </c>
    </row>
    <row r="147" spans="1:15" x14ac:dyDescent="0.25">
      <c r="A147">
        <v>146</v>
      </c>
      <c r="B147" t="s">
        <v>289</v>
      </c>
      <c r="C147" t="s">
        <v>333</v>
      </c>
      <c r="D147" t="s">
        <v>335</v>
      </c>
      <c r="E147" t="s">
        <v>292</v>
      </c>
      <c r="F147" t="s">
        <v>2</v>
      </c>
      <c r="G147" t="s">
        <v>38</v>
      </c>
      <c r="H147" t="s">
        <v>39</v>
      </c>
      <c r="I147" s="5" t="s">
        <v>294</v>
      </c>
      <c r="J147" s="5" t="s">
        <v>2</v>
      </c>
      <c r="K147" s="5" t="s">
        <v>2</v>
      </c>
      <c r="L147" s="6">
        <f>IF(I147="Cut","",IF(I147="Your call","(decide)",IF(I147="Rename",J147,IF(I147="Keep",IF(D147="",E147,D147),IF(E147="(unchanged)",D147,E147)))))</f>
      </c>
      <c r="M147" s="6">
        <f>IF(AND(I147="Cut",N147&gt;0,K147=""),"USED: say what replaces it (Note)",IF(AND(I147="Rename",J147=""),"type the new name",IF(AND(L147&lt;&gt;"",L147&lt;&gt;"(decide)",COUNTIF($L$2:$L$1680,L147)&gt;1),"SAME FINAL NAME AS ANOTHER ROW","")))</f>
      </c>
      <c r="N147" s="6">
        <v>0</v>
      </c>
      <c r="O147" s="6" t="s">
        <v>2</v>
      </c>
    </row>
    <row r="148" spans="1:15" x14ac:dyDescent="0.25">
      <c r="A148">
        <v>147</v>
      </c>
      <c r="B148" t="s">
        <v>289</v>
      </c>
      <c r="C148" t="s">
        <v>333</v>
      </c>
      <c r="D148" t="s">
        <v>336</v>
      </c>
      <c r="E148" t="s">
        <v>292</v>
      </c>
      <c r="F148" t="s">
        <v>2</v>
      </c>
      <c r="G148" t="s">
        <v>38</v>
      </c>
      <c r="H148" t="s">
        <v>39</v>
      </c>
      <c r="I148" s="5" t="s">
        <v>294</v>
      </c>
      <c r="J148" s="5" t="s">
        <v>2</v>
      </c>
      <c r="K148" s="5" t="s">
        <v>2</v>
      </c>
      <c r="L148" s="6">
        <f>IF(I148="Cut","",IF(I148="Your call","(decide)",IF(I148="Rename",J148,IF(I148="Keep",IF(D148="",E148,D148),IF(E148="(unchanged)",D148,E148)))))</f>
      </c>
      <c r="M148" s="6">
        <f>IF(AND(I148="Cut",N148&gt;0,K148=""),"USED: say what replaces it (Note)",IF(AND(I148="Rename",J148=""),"type the new name",IF(AND(L148&lt;&gt;"",L148&lt;&gt;"(decide)",COUNTIF($L$2:$L$1680,L148)&gt;1),"SAME FINAL NAME AS ANOTHER ROW","")))</f>
      </c>
      <c r="N148" s="6">
        <v>0</v>
      </c>
      <c r="O148" s="6" t="s">
        <v>2</v>
      </c>
    </row>
    <row r="149" spans="1:15" x14ac:dyDescent="0.25">
      <c r="A149">
        <v>148</v>
      </c>
      <c r="B149" t="s">
        <v>289</v>
      </c>
      <c r="C149" t="s">
        <v>333</v>
      </c>
      <c r="D149" t="s">
        <v>337</v>
      </c>
      <c r="E149" t="s">
        <v>292</v>
      </c>
      <c r="F149" t="s">
        <v>2</v>
      </c>
      <c r="G149" t="s">
        <v>38</v>
      </c>
      <c r="H149" t="s">
        <v>39</v>
      </c>
      <c r="I149" s="5" t="s">
        <v>294</v>
      </c>
      <c r="J149" s="5" t="s">
        <v>2</v>
      </c>
      <c r="K149" s="5" t="s">
        <v>2</v>
      </c>
      <c r="L149" s="6">
        <f>IF(I149="Cut","",IF(I149="Your call","(decide)",IF(I149="Rename",J149,IF(I149="Keep",IF(D149="",E149,D149),IF(E149="(unchanged)",D149,E149)))))</f>
      </c>
      <c r="M149" s="6">
        <f>IF(AND(I149="Cut",N149&gt;0,K149=""),"USED: say what replaces it (Note)",IF(AND(I149="Rename",J149=""),"type the new name",IF(AND(L149&lt;&gt;"",L149&lt;&gt;"(decide)",COUNTIF($L$2:$L$1680,L149)&gt;1),"SAME FINAL NAME AS ANOTHER ROW","")))</f>
      </c>
      <c r="N149" s="6">
        <v>0</v>
      </c>
      <c r="O149" s="6" t="s">
        <v>2</v>
      </c>
    </row>
    <row r="150" spans="1:15" x14ac:dyDescent="0.25">
      <c r="A150">
        <v>149</v>
      </c>
      <c r="B150" t="s">
        <v>289</v>
      </c>
      <c r="C150" t="s">
        <v>333</v>
      </c>
      <c r="D150" t="s">
        <v>338</v>
      </c>
      <c r="E150" t="s">
        <v>292</v>
      </c>
      <c r="F150" t="s">
        <v>2</v>
      </c>
      <c r="G150" t="s">
        <v>38</v>
      </c>
      <c r="H150" t="s">
        <v>39</v>
      </c>
      <c r="I150" s="5" t="s">
        <v>294</v>
      </c>
      <c r="J150" s="5" t="s">
        <v>2</v>
      </c>
      <c r="K150" s="5" t="s">
        <v>2</v>
      </c>
      <c r="L150" s="6">
        <f>IF(I150="Cut","",IF(I150="Your call","(decide)",IF(I150="Rename",J150,IF(I150="Keep",IF(D150="",E150,D150),IF(E150="(unchanged)",D150,E150)))))</f>
      </c>
      <c r="M150" s="6">
        <f>IF(AND(I150="Cut",N150&gt;0,K150=""),"USED: say what replaces it (Note)",IF(AND(I150="Rename",J150=""),"type the new name",IF(AND(L150&lt;&gt;"",L150&lt;&gt;"(decide)",COUNTIF($L$2:$L$1680,L150)&gt;1),"SAME FINAL NAME AS ANOTHER ROW","")))</f>
      </c>
      <c r="N150" s="6">
        <v>0</v>
      </c>
      <c r="O150" s="6" t="s">
        <v>2</v>
      </c>
    </row>
    <row r="151" spans="1:15" x14ac:dyDescent="0.25">
      <c r="A151">
        <v>150</v>
      </c>
      <c r="B151" t="s">
        <v>289</v>
      </c>
      <c r="C151" t="s">
        <v>333</v>
      </c>
      <c r="D151" t="s">
        <v>339</v>
      </c>
      <c r="E151" t="s">
        <v>292</v>
      </c>
      <c r="F151" t="s">
        <v>2</v>
      </c>
      <c r="G151" t="s">
        <v>38</v>
      </c>
      <c r="H151" t="s">
        <v>39</v>
      </c>
      <c r="I151" s="5" t="s">
        <v>294</v>
      </c>
      <c r="J151" s="5" t="s">
        <v>2</v>
      </c>
      <c r="K151" s="5" t="s">
        <v>2</v>
      </c>
      <c r="L151" s="6">
        <f>IF(I151="Cut","",IF(I151="Your call","(decide)",IF(I151="Rename",J151,IF(I151="Keep",IF(D151="",E151,D151),IF(E151="(unchanged)",D151,E151)))))</f>
      </c>
      <c r="M151" s="6">
        <f>IF(AND(I151="Cut",N151&gt;0,K151=""),"USED: say what replaces it (Note)",IF(AND(I151="Rename",J151=""),"type the new name",IF(AND(L151&lt;&gt;"",L151&lt;&gt;"(decide)",COUNTIF($L$2:$L$1680,L151)&gt;1),"SAME FINAL NAME AS ANOTHER ROW","")))</f>
      </c>
      <c r="N151" s="6">
        <v>0</v>
      </c>
      <c r="O151" s="6" t="s">
        <v>2</v>
      </c>
    </row>
    <row r="152" spans="1:15" x14ac:dyDescent="0.25">
      <c r="A152">
        <v>151</v>
      </c>
      <c r="B152" t="s">
        <v>289</v>
      </c>
      <c r="C152" t="s">
        <v>333</v>
      </c>
      <c r="D152" t="s">
        <v>340</v>
      </c>
      <c r="E152" t="s">
        <v>292</v>
      </c>
      <c r="F152" t="s">
        <v>2</v>
      </c>
      <c r="G152" t="s">
        <v>38</v>
      </c>
      <c r="H152" t="s">
        <v>39</v>
      </c>
      <c r="I152" s="5" t="s">
        <v>294</v>
      </c>
      <c r="J152" s="5" t="s">
        <v>2</v>
      </c>
      <c r="K152" s="5" t="s">
        <v>2</v>
      </c>
      <c r="L152" s="6">
        <f>IF(I152="Cut","",IF(I152="Your call","(decide)",IF(I152="Rename",J152,IF(I152="Keep",IF(D152="",E152,D152),IF(E152="(unchanged)",D152,E152)))))</f>
      </c>
      <c r="M152" s="6">
        <f>IF(AND(I152="Cut",N152&gt;0,K152=""),"USED: say what replaces it (Note)",IF(AND(I152="Rename",J152=""),"type the new name",IF(AND(L152&lt;&gt;"",L152&lt;&gt;"(decide)",COUNTIF($L$2:$L$1680,L152)&gt;1),"SAME FINAL NAME AS ANOTHER ROW","")))</f>
      </c>
      <c r="N152" s="6">
        <v>0</v>
      </c>
      <c r="O152" s="6" t="s">
        <v>2</v>
      </c>
    </row>
    <row r="153" spans="1:15" x14ac:dyDescent="0.25">
      <c r="A153">
        <v>152</v>
      </c>
      <c r="B153" t="s">
        <v>289</v>
      </c>
      <c r="C153" t="s">
        <v>333</v>
      </c>
      <c r="D153" t="s">
        <v>341</v>
      </c>
      <c r="E153" t="s">
        <v>292</v>
      </c>
      <c r="F153" t="s">
        <v>2</v>
      </c>
      <c r="G153" t="s">
        <v>38</v>
      </c>
      <c r="H153" t="s">
        <v>39</v>
      </c>
      <c r="I153" s="5" t="s">
        <v>294</v>
      </c>
      <c r="J153" s="5" t="s">
        <v>2</v>
      </c>
      <c r="K153" s="5" t="s">
        <v>2</v>
      </c>
      <c r="L153" s="6">
        <f>IF(I153="Cut","",IF(I153="Your call","(decide)",IF(I153="Rename",J153,IF(I153="Keep",IF(D153="",E153,D153),IF(E153="(unchanged)",D153,E153)))))</f>
      </c>
      <c r="M153" s="6">
        <f>IF(AND(I153="Cut",N153&gt;0,K153=""),"USED: say what replaces it (Note)",IF(AND(I153="Rename",J153=""),"type the new name",IF(AND(L153&lt;&gt;"",L153&lt;&gt;"(decide)",COUNTIF($L$2:$L$1680,L153)&gt;1),"SAME FINAL NAME AS ANOTHER ROW","")))</f>
      </c>
      <c r="N153" s="6">
        <v>0</v>
      </c>
      <c r="O153" s="6" t="s">
        <v>2</v>
      </c>
    </row>
    <row r="154" spans="1:15" x14ac:dyDescent="0.25">
      <c r="A154">
        <v>153</v>
      </c>
      <c r="B154" t="s">
        <v>289</v>
      </c>
      <c r="C154" t="s">
        <v>333</v>
      </c>
      <c r="D154" t="s">
        <v>342</v>
      </c>
      <c r="E154" t="s">
        <v>292</v>
      </c>
      <c r="F154" t="s">
        <v>2</v>
      </c>
      <c r="G154" t="s">
        <v>38</v>
      </c>
      <c r="H154" t="s">
        <v>39</v>
      </c>
      <c r="I154" s="5" t="s">
        <v>294</v>
      </c>
      <c r="J154" s="5" t="s">
        <v>2</v>
      </c>
      <c r="K154" s="5" t="s">
        <v>2</v>
      </c>
      <c r="L154" s="6">
        <f>IF(I154="Cut","",IF(I154="Your call","(decide)",IF(I154="Rename",J154,IF(I154="Keep",IF(D154="",E154,D154),IF(E154="(unchanged)",D154,E154)))))</f>
      </c>
      <c r="M154" s="6">
        <f>IF(AND(I154="Cut",N154&gt;0,K154=""),"USED: say what replaces it (Note)",IF(AND(I154="Rename",J154=""),"type the new name",IF(AND(L154&lt;&gt;"",L154&lt;&gt;"(decide)",COUNTIF($L$2:$L$1680,L154)&gt;1),"SAME FINAL NAME AS ANOTHER ROW","")))</f>
      </c>
      <c r="N154" s="6">
        <v>0</v>
      </c>
      <c r="O154" s="6" t="s">
        <v>2</v>
      </c>
    </row>
    <row r="155" spans="1:15" x14ac:dyDescent="0.25">
      <c r="A155">
        <v>154</v>
      </c>
      <c r="B155" t="s">
        <v>289</v>
      </c>
      <c r="C155" t="s">
        <v>343</v>
      </c>
      <c r="D155" t="s">
        <v>344</v>
      </c>
      <c r="E155" t="s">
        <v>292</v>
      </c>
      <c r="F155" t="s">
        <v>2</v>
      </c>
      <c r="G155" t="s">
        <v>58</v>
      </c>
      <c r="H155" t="s">
        <v>39</v>
      </c>
      <c r="I155" s="5" t="s">
        <v>294</v>
      </c>
      <c r="J155" s="5" t="s">
        <v>2</v>
      </c>
      <c r="K155" s="5" t="s">
        <v>2</v>
      </c>
      <c r="L155" s="6">
        <f>IF(I155="Cut","",IF(I155="Your call","(decide)",IF(I155="Rename",J155,IF(I155="Keep",IF(D155="",E155,D155),IF(E155="(unchanged)",D155,E155)))))</f>
      </c>
      <c r="M155" s="6">
        <f>IF(AND(I155="Cut",N155&gt;0,K155=""),"USED: say what replaces it (Note)",IF(AND(I155="Rename",J155=""),"type the new name",IF(AND(L155&lt;&gt;"",L155&lt;&gt;"(decide)",COUNTIF($L$2:$L$1680,L155)&gt;1),"SAME FINAL NAME AS ANOTHER ROW","")))</f>
      </c>
      <c r="N155" s="6">
        <v>3</v>
      </c>
      <c r="O155" s="6" t="s">
        <v>2</v>
      </c>
    </row>
    <row r="156" spans="1:15" x14ac:dyDescent="0.25">
      <c r="A156">
        <v>155</v>
      </c>
      <c r="B156" t="s">
        <v>289</v>
      </c>
      <c r="C156" t="s">
        <v>343</v>
      </c>
      <c r="D156" t="s">
        <v>345</v>
      </c>
      <c r="E156" t="s">
        <v>292</v>
      </c>
      <c r="F156" t="s">
        <v>2</v>
      </c>
      <c r="G156" t="s">
        <v>151</v>
      </c>
      <c r="H156" t="s">
        <v>39</v>
      </c>
      <c r="I156" s="5" t="s">
        <v>294</v>
      </c>
      <c r="J156" s="5" t="s">
        <v>2</v>
      </c>
      <c r="K156" s="5" t="s">
        <v>2</v>
      </c>
      <c r="L156" s="6">
        <f>IF(I156="Cut","",IF(I156="Your call","(decide)",IF(I156="Rename",J156,IF(I156="Keep",IF(D156="",E156,D156),IF(E156="(unchanged)",D156,E156)))))</f>
      </c>
      <c r="M156" s="6">
        <f>IF(AND(I156="Cut",N156&gt;0,K156=""),"USED: say what replaces it (Note)",IF(AND(I156="Rename",J156=""),"type the new name",IF(AND(L156&lt;&gt;"",L156&lt;&gt;"(decide)",COUNTIF($L$2:$L$1680,L156)&gt;1),"SAME FINAL NAME AS ANOTHER ROW","")))</f>
      </c>
      <c r="N156" s="6">
        <v>5</v>
      </c>
      <c r="O156" s="6" t="s">
        <v>2</v>
      </c>
    </row>
    <row r="157" spans="1:15" x14ac:dyDescent="0.25">
      <c r="A157">
        <v>156</v>
      </c>
      <c r="B157" t="s">
        <v>289</v>
      </c>
      <c r="C157" t="s">
        <v>343</v>
      </c>
      <c r="D157" t="s">
        <v>346</v>
      </c>
      <c r="E157" t="s">
        <v>292</v>
      </c>
      <c r="F157" t="s">
        <v>2</v>
      </c>
      <c r="G157" t="s">
        <v>38</v>
      </c>
      <c r="H157" t="s">
        <v>39</v>
      </c>
      <c r="I157" s="5" t="s">
        <v>294</v>
      </c>
      <c r="J157" s="5" t="s">
        <v>2</v>
      </c>
      <c r="K157" s="5" t="s">
        <v>2</v>
      </c>
      <c r="L157" s="6">
        <f>IF(I157="Cut","",IF(I157="Your call","(decide)",IF(I157="Rename",J157,IF(I157="Keep",IF(D157="",E157,D157),IF(E157="(unchanged)",D157,E157)))))</f>
      </c>
      <c r="M157" s="6">
        <f>IF(AND(I157="Cut",N157&gt;0,K157=""),"USED: say what replaces it (Note)",IF(AND(I157="Rename",J157=""),"type the new name",IF(AND(L157&lt;&gt;"",L157&lt;&gt;"(decide)",COUNTIF($L$2:$L$1680,L157)&gt;1),"SAME FINAL NAME AS ANOTHER ROW","")))</f>
      </c>
      <c r="N157" s="6">
        <v>0</v>
      </c>
      <c r="O157" s="6" t="s">
        <v>2</v>
      </c>
    </row>
    <row r="158" spans="1:15" x14ac:dyDescent="0.25">
      <c r="A158">
        <v>157</v>
      </c>
      <c r="B158" t="s">
        <v>289</v>
      </c>
      <c r="C158" t="s">
        <v>343</v>
      </c>
      <c r="D158" t="s">
        <v>347</v>
      </c>
      <c r="E158" t="s">
        <v>292</v>
      </c>
      <c r="F158" t="s">
        <v>2</v>
      </c>
      <c r="G158" t="s">
        <v>38</v>
      </c>
      <c r="H158" t="s">
        <v>39</v>
      </c>
      <c r="I158" s="5" t="s">
        <v>294</v>
      </c>
      <c r="J158" s="5" t="s">
        <v>2</v>
      </c>
      <c r="K158" s="5" t="s">
        <v>2</v>
      </c>
      <c r="L158" s="6">
        <f>IF(I158="Cut","",IF(I158="Your call","(decide)",IF(I158="Rename",J158,IF(I158="Keep",IF(D158="",E158,D158),IF(E158="(unchanged)",D158,E158)))))</f>
      </c>
      <c r="M158" s="6">
        <f>IF(AND(I158="Cut",N158&gt;0,K158=""),"USED: say what replaces it (Note)",IF(AND(I158="Rename",J158=""),"type the new name",IF(AND(L158&lt;&gt;"",L158&lt;&gt;"(decide)",COUNTIF($L$2:$L$1680,L158)&gt;1),"SAME FINAL NAME AS ANOTHER ROW","")))</f>
      </c>
      <c r="N158" s="6">
        <v>0</v>
      </c>
      <c r="O158" s="6" t="s">
        <v>2</v>
      </c>
    </row>
    <row r="159" spans="1:15" x14ac:dyDescent="0.25">
      <c r="A159">
        <v>158</v>
      </c>
      <c r="B159" t="s">
        <v>289</v>
      </c>
      <c r="C159" t="s">
        <v>348</v>
      </c>
      <c r="D159" t="s">
        <v>349</v>
      </c>
      <c r="E159" t="s">
        <v>292</v>
      </c>
      <c r="F159" t="s">
        <v>2</v>
      </c>
      <c r="G159" t="s">
        <v>48</v>
      </c>
      <c r="H159" t="s">
        <v>39</v>
      </c>
      <c r="I159" s="5" t="s">
        <v>294</v>
      </c>
      <c r="J159" s="5" t="s">
        <v>2</v>
      </c>
      <c r="K159" s="5" t="s">
        <v>2</v>
      </c>
      <c r="L159" s="6">
        <f>IF(I159="Cut","",IF(I159="Your call","(decide)",IF(I159="Rename",J159,IF(I159="Keep",IF(D159="",E159,D159),IF(E159="(unchanged)",D159,E159)))))</f>
      </c>
      <c r="M159" s="6">
        <f>IF(AND(I159="Cut",N159&gt;0,K159=""),"USED: say what replaces it (Note)",IF(AND(I159="Rename",J159=""),"type the new name",IF(AND(L159&lt;&gt;"",L159&lt;&gt;"(decide)",COUNTIF($L$2:$L$1680,L159)&gt;1),"SAME FINAL NAME AS ANOTHER ROW","")))</f>
      </c>
      <c r="N159" s="6">
        <v>2</v>
      </c>
      <c r="O159" s="6" t="s">
        <v>2</v>
      </c>
    </row>
    <row r="160" spans="1:15" x14ac:dyDescent="0.25">
      <c r="A160">
        <v>159</v>
      </c>
      <c r="B160" t="s">
        <v>289</v>
      </c>
      <c r="C160" t="s">
        <v>348</v>
      </c>
      <c r="D160" t="s">
        <v>350</v>
      </c>
      <c r="E160" t="s">
        <v>292</v>
      </c>
      <c r="F160" t="s">
        <v>2</v>
      </c>
      <c r="G160" t="s">
        <v>38</v>
      </c>
      <c r="H160" t="s">
        <v>39</v>
      </c>
      <c r="I160" s="5" t="s">
        <v>294</v>
      </c>
      <c r="J160" s="5" t="s">
        <v>2</v>
      </c>
      <c r="K160" s="5" t="s">
        <v>2</v>
      </c>
      <c r="L160" s="6">
        <f>IF(I160="Cut","",IF(I160="Your call","(decide)",IF(I160="Rename",J160,IF(I160="Keep",IF(D160="",E160,D160),IF(E160="(unchanged)",D160,E160)))))</f>
      </c>
      <c r="M160" s="6">
        <f>IF(AND(I160="Cut",N160&gt;0,K160=""),"USED: say what replaces it (Note)",IF(AND(I160="Rename",J160=""),"type the new name",IF(AND(L160&lt;&gt;"",L160&lt;&gt;"(decide)",COUNTIF($L$2:$L$1680,L160)&gt;1),"SAME FINAL NAME AS ANOTHER ROW","")))</f>
      </c>
      <c r="N160" s="6">
        <v>0</v>
      </c>
      <c r="O160" s="6" t="s">
        <v>2</v>
      </c>
    </row>
    <row r="161" spans="1:15" x14ac:dyDescent="0.25">
      <c r="A161">
        <v>160</v>
      </c>
      <c r="B161" t="s">
        <v>289</v>
      </c>
      <c r="C161" t="s">
        <v>348</v>
      </c>
      <c r="D161" t="s">
        <v>351</v>
      </c>
      <c r="E161" t="s">
        <v>292</v>
      </c>
      <c r="F161" t="s">
        <v>2</v>
      </c>
      <c r="G161" t="s">
        <v>38</v>
      </c>
      <c r="H161" t="s">
        <v>39</v>
      </c>
      <c r="I161" s="5" t="s">
        <v>294</v>
      </c>
      <c r="J161" s="5" t="s">
        <v>2</v>
      </c>
      <c r="K161" s="5" t="s">
        <v>2</v>
      </c>
      <c r="L161" s="6">
        <f>IF(I161="Cut","",IF(I161="Your call","(decide)",IF(I161="Rename",J161,IF(I161="Keep",IF(D161="",E161,D161),IF(E161="(unchanged)",D161,E161)))))</f>
      </c>
      <c r="M161" s="6">
        <f>IF(AND(I161="Cut",N161&gt;0,K161=""),"USED: say what replaces it (Note)",IF(AND(I161="Rename",J161=""),"type the new name",IF(AND(L161&lt;&gt;"",L161&lt;&gt;"(decide)",COUNTIF($L$2:$L$1680,L161)&gt;1),"SAME FINAL NAME AS ANOTHER ROW","")))</f>
      </c>
      <c r="N161" s="6">
        <v>0</v>
      </c>
      <c r="O161" s="6" t="s">
        <v>2</v>
      </c>
    </row>
    <row r="162" spans="1:15" x14ac:dyDescent="0.25">
      <c r="A162">
        <v>161</v>
      </c>
      <c r="B162" t="s">
        <v>289</v>
      </c>
      <c r="C162" t="s">
        <v>348</v>
      </c>
      <c r="D162" t="s">
        <v>352</v>
      </c>
      <c r="E162" t="s">
        <v>292</v>
      </c>
      <c r="F162" t="s">
        <v>2</v>
      </c>
      <c r="G162" t="s">
        <v>94</v>
      </c>
      <c r="H162" t="s">
        <v>39</v>
      </c>
      <c r="I162" s="5" t="s">
        <v>294</v>
      </c>
      <c r="J162" s="5" t="s">
        <v>2</v>
      </c>
      <c r="K162" s="5" t="s">
        <v>2</v>
      </c>
      <c r="L162" s="6">
        <f>IF(I162="Cut","",IF(I162="Your call","(decide)",IF(I162="Rename",J162,IF(I162="Keep",IF(D162="",E162,D162),IF(E162="(unchanged)",D162,E162)))))</f>
      </c>
      <c r="M162" s="6">
        <f>IF(AND(I162="Cut",N162&gt;0,K162=""),"USED: say what replaces it (Note)",IF(AND(I162="Rename",J162=""),"type the new name",IF(AND(L162&lt;&gt;"",L162&lt;&gt;"(decide)",COUNTIF($L$2:$L$1680,L162)&gt;1),"SAME FINAL NAME AS ANOTHER ROW","")))</f>
      </c>
      <c r="N162" s="6">
        <v>1</v>
      </c>
      <c r="O162" s="6" t="s">
        <v>2</v>
      </c>
    </row>
    <row r="163" spans="1:15" x14ac:dyDescent="0.25">
      <c r="A163">
        <v>162</v>
      </c>
      <c r="B163" t="s">
        <v>353</v>
      </c>
      <c r="C163" t="s">
        <v>354</v>
      </c>
      <c r="D163" t="s">
        <v>355</v>
      </c>
      <c r="E163" t="s">
        <v>292</v>
      </c>
      <c r="F163" t="s">
        <v>2</v>
      </c>
      <c r="G163" t="s">
        <v>38</v>
      </c>
      <c r="H163" t="s">
        <v>39</v>
      </c>
      <c r="I163" s="5" t="s">
        <v>294</v>
      </c>
      <c r="J163" s="5" t="s">
        <v>2</v>
      </c>
      <c r="K163" s="5" t="s">
        <v>2</v>
      </c>
      <c r="L163" s="6">
        <f>IF(I163="Cut","",IF(I163="Your call","(decide)",IF(I163="Rename",J163,IF(I163="Keep",IF(D163="",E163,D163),IF(E163="(unchanged)",D163,E163)))))</f>
      </c>
      <c r="M163" s="6">
        <f>IF(AND(I163="Cut",N163&gt;0,K163=""),"USED: say what replaces it (Note)",IF(AND(I163="Rename",J163=""),"type the new name",IF(AND(L163&lt;&gt;"",L163&lt;&gt;"(decide)",COUNTIF($L$2:$L$1680,L163)&gt;1),"SAME FINAL NAME AS ANOTHER ROW","")))</f>
      </c>
      <c r="N163" s="6">
        <v>0</v>
      </c>
      <c r="O163" s="6" t="s">
        <v>2</v>
      </c>
    </row>
    <row r="164" spans="1:15" x14ac:dyDescent="0.25">
      <c r="A164">
        <v>163</v>
      </c>
      <c r="B164" t="s">
        <v>353</v>
      </c>
      <c r="C164" t="s">
        <v>354</v>
      </c>
      <c r="D164" t="s">
        <v>356</v>
      </c>
      <c r="E164" t="s">
        <v>292</v>
      </c>
      <c r="F164" t="s">
        <v>2</v>
      </c>
      <c r="G164" t="s">
        <v>38</v>
      </c>
      <c r="H164" t="s">
        <v>39</v>
      </c>
      <c r="I164" s="5" t="s">
        <v>294</v>
      </c>
      <c r="J164" s="5" t="s">
        <v>2</v>
      </c>
      <c r="K164" s="5" t="s">
        <v>2</v>
      </c>
      <c r="L164" s="6">
        <f>IF(I164="Cut","",IF(I164="Your call","(decide)",IF(I164="Rename",J164,IF(I164="Keep",IF(D164="",E164,D164),IF(E164="(unchanged)",D164,E164)))))</f>
      </c>
      <c r="M164" s="6">
        <f>IF(AND(I164="Cut",N164&gt;0,K164=""),"USED: say what replaces it (Note)",IF(AND(I164="Rename",J164=""),"type the new name",IF(AND(L164&lt;&gt;"",L164&lt;&gt;"(decide)",COUNTIF($L$2:$L$1680,L164)&gt;1),"SAME FINAL NAME AS ANOTHER ROW","")))</f>
      </c>
      <c r="N164" s="6">
        <v>0</v>
      </c>
      <c r="O164" s="6" t="s">
        <v>2</v>
      </c>
    </row>
    <row r="165" spans="1:15" x14ac:dyDescent="0.25">
      <c r="A165">
        <v>164</v>
      </c>
      <c r="B165" t="s">
        <v>353</v>
      </c>
      <c r="C165" t="s">
        <v>354</v>
      </c>
      <c r="D165" t="s">
        <v>357</v>
      </c>
      <c r="E165" t="s">
        <v>292</v>
      </c>
      <c r="F165" t="s">
        <v>2</v>
      </c>
      <c r="G165" t="s">
        <v>38</v>
      </c>
      <c r="H165" t="s">
        <v>39</v>
      </c>
      <c r="I165" s="5" t="s">
        <v>294</v>
      </c>
      <c r="J165" s="5" t="s">
        <v>2</v>
      </c>
      <c r="K165" s="5" t="s">
        <v>2</v>
      </c>
      <c r="L165" s="6">
        <f>IF(I165="Cut","",IF(I165="Your call","(decide)",IF(I165="Rename",J165,IF(I165="Keep",IF(D165="",E165,D165),IF(E165="(unchanged)",D165,E165)))))</f>
      </c>
      <c r="M165" s="6">
        <f>IF(AND(I165="Cut",N165&gt;0,K165=""),"USED: say what replaces it (Note)",IF(AND(I165="Rename",J165=""),"type the new name",IF(AND(L165&lt;&gt;"",L165&lt;&gt;"(decide)",COUNTIF($L$2:$L$1680,L165)&gt;1),"SAME FINAL NAME AS ANOTHER ROW","")))</f>
      </c>
      <c r="N165" s="6">
        <v>0</v>
      </c>
      <c r="O165" s="6" t="s">
        <v>2</v>
      </c>
    </row>
    <row r="166" spans="1:15" x14ac:dyDescent="0.25">
      <c r="A166">
        <v>165</v>
      </c>
      <c r="B166" t="s">
        <v>353</v>
      </c>
      <c r="C166" t="s">
        <v>354</v>
      </c>
      <c r="D166" t="s">
        <v>358</v>
      </c>
      <c r="E166" t="s">
        <v>292</v>
      </c>
      <c r="F166" t="s">
        <v>2</v>
      </c>
      <c r="G166" t="s">
        <v>38</v>
      </c>
      <c r="H166" t="s">
        <v>39</v>
      </c>
      <c r="I166" s="5" t="s">
        <v>294</v>
      </c>
      <c r="J166" s="5" t="s">
        <v>2</v>
      </c>
      <c r="K166" s="5" t="s">
        <v>2</v>
      </c>
      <c r="L166" s="6">
        <f>IF(I166="Cut","",IF(I166="Your call","(decide)",IF(I166="Rename",J166,IF(I166="Keep",IF(D166="",E166,D166),IF(E166="(unchanged)",D166,E166)))))</f>
      </c>
      <c r="M166" s="6">
        <f>IF(AND(I166="Cut",N166&gt;0,K166=""),"USED: say what replaces it (Note)",IF(AND(I166="Rename",J166=""),"type the new name",IF(AND(L166&lt;&gt;"",L166&lt;&gt;"(decide)",COUNTIF($L$2:$L$1680,L166)&gt;1),"SAME FINAL NAME AS ANOTHER ROW","")))</f>
      </c>
      <c r="N166" s="6">
        <v>0</v>
      </c>
      <c r="O166" s="6" t="s">
        <v>2</v>
      </c>
    </row>
    <row r="167" spans="1:15" x14ac:dyDescent="0.25">
      <c r="A167">
        <v>166</v>
      </c>
      <c r="B167" t="s">
        <v>353</v>
      </c>
      <c r="C167" t="s">
        <v>354</v>
      </c>
      <c r="D167" t="s">
        <v>359</v>
      </c>
      <c r="E167" t="s">
        <v>292</v>
      </c>
      <c r="F167" t="s">
        <v>2</v>
      </c>
      <c r="G167" t="s">
        <v>38</v>
      </c>
      <c r="H167" t="s">
        <v>39</v>
      </c>
      <c r="I167" s="5" t="s">
        <v>294</v>
      </c>
      <c r="J167" s="5" t="s">
        <v>2</v>
      </c>
      <c r="K167" s="5" t="s">
        <v>2</v>
      </c>
      <c r="L167" s="6">
        <f>IF(I167="Cut","",IF(I167="Your call","(decide)",IF(I167="Rename",J167,IF(I167="Keep",IF(D167="",E167,D167),IF(E167="(unchanged)",D167,E167)))))</f>
      </c>
      <c r="M167" s="6">
        <f>IF(AND(I167="Cut",N167&gt;0,K167=""),"USED: say what replaces it (Note)",IF(AND(I167="Rename",J167=""),"type the new name",IF(AND(L167&lt;&gt;"",L167&lt;&gt;"(decide)",COUNTIF($L$2:$L$1680,L167)&gt;1),"SAME FINAL NAME AS ANOTHER ROW","")))</f>
      </c>
      <c r="N167" s="6">
        <v>0</v>
      </c>
      <c r="O167" s="6" t="s">
        <v>2</v>
      </c>
    </row>
    <row r="168" spans="1:15" x14ac:dyDescent="0.25">
      <c r="A168">
        <v>167</v>
      </c>
      <c r="B168" t="s">
        <v>353</v>
      </c>
      <c r="C168" t="s">
        <v>354</v>
      </c>
      <c r="D168" t="s">
        <v>360</v>
      </c>
      <c r="E168" t="s">
        <v>292</v>
      </c>
      <c r="F168" t="s">
        <v>2</v>
      </c>
      <c r="G168" t="s">
        <v>38</v>
      </c>
      <c r="H168" t="s">
        <v>39</v>
      </c>
      <c r="I168" s="5" t="s">
        <v>294</v>
      </c>
      <c r="J168" s="5" t="s">
        <v>2</v>
      </c>
      <c r="K168" s="5" t="s">
        <v>2</v>
      </c>
      <c r="L168" s="6">
        <f>IF(I168="Cut","",IF(I168="Your call","(decide)",IF(I168="Rename",J168,IF(I168="Keep",IF(D168="",E168,D168),IF(E168="(unchanged)",D168,E168)))))</f>
      </c>
      <c r="M168" s="6">
        <f>IF(AND(I168="Cut",N168&gt;0,K168=""),"USED: say what replaces it (Note)",IF(AND(I168="Rename",J168=""),"type the new name",IF(AND(L168&lt;&gt;"",L168&lt;&gt;"(decide)",COUNTIF($L$2:$L$1680,L168)&gt;1),"SAME FINAL NAME AS ANOTHER ROW","")))</f>
      </c>
      <c r="N168" s="6">
        <v>0</v>
      </c>
      <c r="O168" s="6" t="s">
        <v>2</v>
      </c>
    </row>
    <row r="169" spans="1:15" x14ac:dyDescent="0.25">
      <c r="A169">
        <v>168</v>
      </c>
      <c r="B169" t="s">
        <v>353</v>
      </c>
      <c r="C169" t="s">
        <v>354</v>
      </c>
      <c r="D169" t="s">
        <v>361</v>
      </c>
      <c r="E169" t="s">
        <v>292</v>
      </c>
      <c r="F169" t="s">
        <v>2</v>
      </c>
      <c r="G169" t="s">
        <v>38</v>
      </c>
      <c r="H169" t="s">
        <v>39</v>
      </c>
      <c r="I169" s="5" t="s">
        <v>294</v>
      </c>
      <c r="J169" s="5" t="s">
        <v>2</v>
      </c>
      <c r="K169" s="5" t="s">
        <v>2</v>
      </c>
      <c r="L169" s="6">
        <f>IF(I169="Cut","",IF(I169="Your call","(decide)",IF(I169="Rename",J169,IF(I169="Keep",IF(D169="",E169,D169),IF(E169="(unchanged)",D169,E169)))))</f>
      </c>
      <c r="M169" s="6">
        <f>IF(AND(I169="Cut",N169&gt;0,K169=""),"USED: say what replaces it (Note)",IF(AND(I169="Rename",J169=""),"type the new name",IF(AND(L169&lt;&gt;"",L169&lt;&gt;"(decide)",COUNTIF($L$2:$L$1680,L169)&gt;1),"SAME FINAL NAME AS ANOTHER ROW","")))</f>
      </c>
      <c r="N169" s="6">
        <v>0</v>
      </c>
      <c r="O169" s="6" t="s">
        <v>2</v>
      </c>
    </row>
    <row r="170" spans="1:15" x14ac:dyDescent="0.25">
      <c r="A170">
        <v>169</v>
      </c>
      <c r="B170" t="s">
        <v>353</v>
      </c>
      <c r="C170" t="s">
        <v>354</v>
      </c>
      <c r="D170" t="s">
        <v>362</v>
      </c>
      <c r="E170" t="s">
        <v>292</v>
      </c>
      <c r="F170" t="s">
        <v>2</v>
      </c>
      <c r="G170" t="s">
        <v>38</v>
      </c>
      <c r="H170" t="s">
        <v>39</v>
      </c>
      <c r="I170" s="5" t="s">
        <v>294</v>
      </c>
      <c r="J170" s="5" t="s">
        <v>2</v>
      </c>
      <c r="K170" s="5" t="s">
        <v>2</v>
      </c>
      <c r="L170" s="6">
        <f>IF(I170="Cut","",IF(I170="Your call","(decide)",IF(I170="Rename",J170,IF(I170="Keep",IF(D170="",E170,D170),IF(E170="(unchanged)",D170,E170)))))</f>
      </c>
      <c r="M170" s="6">
        <f>IF(AND(I170="Cut",N170&gt;0,K170=""),"USED: say what replaces it (Note)",IF(AND(I170="Rename",J170=""),"type the new name",IF(AND(L170&lt;&gt;"",L170&lt;&gt;"(decide)",COUNTIF($L$2:$L$1680,L170)&gt;1),"SAME FINAL NAME AS ANOTHER ROW","")))</f>
      </c>
      <c r="N170" s="6">
        <v>0</v>
      </c>
      <c r="O170" s="6" t="s">
        <v>2</v>
      </c>
    </row>
    <row r="171" spans="1:15" x14ac:dyDescent="0.25">
      <c r="A171">
        <v>170</v>
      </c>
      <c r="B171" t="s">
        <v>353</v>
      </c>
      <c r="C171" t="s">
        <v>354</v>
      </c>
      <c r="D171" t="s">
        <v>363</v>
      </c>
      <c r="E171" t="s">
        <v>292</v>
      </c>
      <c r="F171" t="s">
        <v>2</v>
      </c>
      <c r="G171" t="s">
        <v>38</v>
      </c>
      <c r="H171" t="s">
        <v>39</v>
      </c>
      <c r="I171" s="5" t="s">
        <v>294</v>
      </c>
      <c r="J171" s="5" t="s">
        <v>2</v>
      </c>
      <c r="K171" s="5" t="s">
        <v>2</v>
      </c>
      <c r="L171" s="6">
        <f>IF(I171="Cut","",IF(I171="Your call","(decide)",IF(I171="Rename",J171,IF(I171="Keep",IF(D171="",E171,D171),IF(E171="(unchanged)",D171,E171)))))</f>
      </c>
      <c r="M171" s="6">
        <f>IF(AND(I171="Cut",N171&gt;0,K171=""),"USED: say what replaces it (Note)",IF(AND(I171="Rename",J171=""),"type the new name",IF(AND(L171&lt;&gt;"",L171&lt;&gt;"(decide)",COUNTIF($L$2:$L$1680,L171)&gt;1),"SAME FINAL NAME AS ANOTHER ROW","")))</f>
      </c>
      <c r="N171" s="6">
        <v>0</v>
      </c>
      <c r="O171" s="6" t="s">
        <v>2</v>
      </c>
    </row>
    <row r="172" spans="1:15" x14ac:dyDescent="0.25">
      <c r="A172">
        <v>171</v>
      </c>
      <c r="B172" t="s">
        <v>353</v>
      </c>
      <c r="C172" t="s">
        <v>364</v>
      </c>
      <c r="D172" t="s">
        <v>365</v>
      </c>
      <c r="E172" t="s">
        <v>292</v>
      </c>
      <c r="F172" t="s">
        <v>2</v>
      </c>
      <c r="G172" t="s">
        <v>38</v>
      </c>
      <c r="H172" t="s">
        <v>39</v>
      </c>
      <c r="I172" s="5" t="s">
        <v>294</v>
      </c>
      <c r="J172" s="5" t="s">
        <v>2</v>
      </c>
      <c r="K172" s="5" t="s">
        <v>2</v>
      </c>
      <c r="L172" s="6">
        <f>IF(I172="Cut","",IF(I172="Your call","(decide)",IF(I172="Rename",J172,IF(I172="Keep",IF(D172="",E172,D172),IF(E172="(unchanged)",D172,E172)))))</f>
      </c>
      <c r="M172" s="6">
        <f>IF(AND(I172="Cut",N172&gt;0,K172=""),"USED: say what replaces it (Note)",IF(AND(I172="Rename",J172=""),"type the new name",IF(AND(L172&lt;&gt;"",L172&lt;&gt;"(decide)",COUNTIF($L$2:$L$1680,L172)&gt;1),"SAME FINAL NAME AS ANOTHER ROW","")))</f>
      </c>
      <c r="N172" s="6">
        <v>0</v>
      </c>
      <c r="O172" s="6" t="s">
        <v>2</v>
      </c>
    </row>
    <row r="173" spans="1:15" x14ac:dyDescent="0.25">
      <c r="A173">
        <v>172</v>
      </c>
      <c r="B173" t="s">
        <v>353</v>
      </c>
      <c r="C173" t="s">
        <v>364</v>
      </c>
      <c r="D173" t="s">
        <v>366</v>
      </c>
      <c r="E173" t="s">
        <v>292</v>
      </c>
      <c r="F173" t="s">
        <v>2</v>
      </c>
      <c r="G173" t="s">
        <v>38</v>
      </c>
      <c r="H173" t="s">
        <v>39</v>
      </c>
      <c r="I173" s="5" t="s">
        <v>294</v>
      </c>
      <c r="J173" s="5" t="s">
        <v>2</v>
      </c>
      <c r="K173" s="5" t="s">
        <v>2</v>
      </c>
      <c r="L173" s="6">
        <f>IF(I173="Cut","",IF(I173="Your call","(decide)",IF(I173="Rename",J173,IF(I173="Keep",IF(D173="",E173,D173),IF(E173="(unchanged)",D173,E173)))))</f>
      </c>
      <c r="M173" s="6">
        <f>IF(AND(I173="Cut",N173&gt;0,K173=""),"USED: say what replaces it (Note)",IF(AND(I173="Rename",J173=""),"type the new name",IF(AND(L173&lt;&gt;"",L173&lt;&gt;"(decide)",COUNTIF($L$2:$L$1680,L173)&gt;1),"SAME FINAL NAME AS ANOTHER ROW","")))</f>
      </c>
      <c r="N173" s="6">
        <v>0</v>
      </c>
      <c r="O173" s="6" t="s">
        <v>2</v>
      </c>
    </row>
    <row r="174" spans="1:15" x14ac:dyDescent="0.25">
      <c r="A174">
        <v>173</v>
      </c>
      <c r="B174" t="s">
        <v>353</v>
      </c>
      <c r="C174" t="s">
        <v>364</v>
      </c>
      <c r="D174" t="s">
        <v>367</v>
      </c>
      <c r="E174" t="s">
        <v>292</v>
      </c>
      <c r="F174" t="s">
        <v>2</v>
      </c>
      <c r="G174" t="s">
        <v>38</v>
      </c>
      <c r="H174" t="s">
        <v>39</v>
      </c>
      <c r="I174" s="5" t="s">
        <v>294</v>
      </c>
      <c r="J174" s="5" t="s">
        <v>2</v>
      </c>
      <c r="K174" s="5" t="s">
        <v>2</v>
      </c>
      <c r="L174" s="6">
        <f>IF(I174="Cut","",IF(I174="Your call","(decide)",IF(I174="Rename",J174,IF(I174="Keep",IF(D174="",E174,D174),IF(E174="(unchanged)",D174,E174)))))</f>
      </c>
      <c r="M174" s="6">
        <f>IF(AND(I174="Cut",N174&gt;0,K174=""),"USED: say what replaces it (Note)",IF(AND(I174="Rename",J174=""),"type the new name",IF(AND(L174&lt;&gt;"",L174&lt;&gt;"(decide)",COUNTIF($L$2:$L$1680,L174)&gt;1),"SAME FINAL NAME AS ANOTHER ROW","")))</f>
      </c>
      <c r="N174" s="6">
        <v>0</v>
      </c>
      <c r="O174" s="6" t="s">
        <v>2</v>
      </c>
    </row>
    <row r="175" spans="1:15" x14ac:dyDescent="0.25">
      <c r="A175">
        <v>174</v>
      </c>
      <c r="B175" t="s">
        <v>353</v>
      </c>
      <c r="C175" t="s">
        <v>364</v>
      </c>
      <c r="D175" t="s">
        <v>368</v>
      </c>
      <c r="E175" t="s">
        <v>292</v>
      </c>
      <c r="F175" t="s">
        <v>2</v>
      </c>
      <c r="G175" t="s">
        <v>38</v>
      </c>
      <c r="H175" t="s">
        <v>39</v>
      </c>
      <c r="I175" s="5" t="s">
        <v>294</v>
      </c>
      <c r="J175" s="5" t="s">
        <v>2</v>
      </c>
      <c r="K175" s="5" t="s">
        <v>2</v>
      </c>
      <c r="L175" s="6">
        <f>IF(I175="Cut","",IF(I175="Your call","(decide)",IF(I175="Rename",J175,IF(I175="Keep",IF(D175="",E175,D175),IF(E175="(unchanged)",D175,E175)))))</f>
      </c>
      <c r="M175" s="6">
        <f>IF(AND(I175="Cut",N175&gt;0,K175=""),"USED: say what replaces it (Note)",IF(AND(I175="Rename",J175=""),"type the new name",IF(AND(L175&lt;&gt;"",L175&lt;&gt;"(decide)",COUNTIF($L$2:$L$1680,L175)&gt;1),"SAME FINAL NAME AS ANOTHER ROW","")))</f>
      </c>
      <c r="N175" s="6">
        <v>0</v>
      </c>
      <c r="O175" s="6" t="s">
        <v>2</v>
      </c>
    </row>
    <row r="176" spans="1:15" x14ac:dyDescent="0.25">
      <c r="A176">
        <v>175</v>
      </c>
      <c r="B176" t="s">
        <v>353</v>
      </c>
      <c r="C176" t="s">
        <v>364</v>
      </c>
      <c r="D176" t="s">
        <v>369</v>
      </c>
      <c r="E176" t="s">
        <v>292</v>
      </c>
      <c r="F176" t="s">
        <v>2</v>
      </c>
      <c r="G176" t="s">
        <v>38</v>
      </c>
      <c r="H176" t="s">
        <v>39</v>
      </c>
      <c r="I176" s="5" t="s">
        <v>294</v>
      </c>
      <c r="J176" s="5" t="s">
        <v>2</v>
      </c>
      <c r="K176" s="5" t="s">
        <v>2</v>
      </c>
      <c r="L176" s="6">
        <f>IF(I176="Cut","",IF(I176="Your call","(decide)",IF(I176="Rename",J176,IF(I176="Keep",IF(D176="",E176,D176),IF(E176="(unchanged)",D176,E176)))))</f>
      </c>
      <c r="M176" s="6">
        <f>IF(AND(I176="Cut",N176&gt;0,K176=""),"USED: say what replaces it (Note)",IF(AND(I176="Rename",J176=""),"type the new name",IF(AND(L176&lt;&gt;"",L176&lt;&gt;"(decide)",COUNTIF($L$2:$L$1680,L176)&gt;1),"SAME FINAL NAME AS ANOTHER ROW","")))</f>
      </c>
      <c r="N176" s="6">
        <v>0</v>
      </c>
      <c r="O176" s="6" t="s">
        <v>2</v>
      </c>
    </row>
    <row r="177" spans="1:15" x14ac:dyDescent="0.25">
      <c r="A177">
        <v>176</v>
      </c>
      <c r="B177" t="s">
        <v>353</v>
      </c>
      <c r="C177" t="s">
        <v>364</v>
      </c>
      <c r="D177" t="s">
        <v>370</v>
      </c>
      <c r="E177" t="s">
        <v>292</v>
      </c>
      <c r="F177" t="s">
        <v>2</v>
      </c>
      <c r="G177" t="s">
        <v>38</v>
      </c>
      <c r="H177" t="s">
        <v>39</v>
      </c>
      <c r="I177" s="5" t="s">
        <v>294</v>
      </c>
      <c r="J177" s="5" t="s">
        <v>2</v>
      </c>
      <c r="K177" s="5" t="s">
        <v>2</v>
      </c>
      <c r="L177" s="6">
        <f>IF(I177="Cut","",IF(I177="Your call","(decide)",IF(I177="Rename",J177,IF(I177="Keep",IF(D177="",E177,D177),IF(E177="(unchanged)",D177,E177)))))</f>
      </c>
      <c r="M177" s="6">
        <f>IF(AND(I177="Cut",N177&gt;0,K177=""),"USED: say what replaces it (Note)",IF(AND(I177="Rename",J177=""),"type the new name",IF(AND(L177&lt;&gt;"",L177&lt;&gt;"(decide)",COUNTIF($L$2:$L$1680,L177)&gt;1),"SAME FINAL NAME AS ANOTHER ROW","")))</f>
      </c>
      <c r="N177" s="6">
        <v>0</v>
      </c>
      <c r="O177" s="6" t="s">
        <v>2</v>
      </c>
    </row>
    <row r="178" spans="1:15" x14ac:dyDescent="0.25">
      <c r="A178">
        <v>177</v>
      </c>
      <c r="B178" t="s">
        <v>353</v>
      </c>
      <c r="C178" t="s">
        <v>364</v>
      </c>
      <c r="D178" t="s">
        <v>371</v>
      </c>
      <c r="E178" t="s">
        <v>292</v>
      </c>
      <c r="F178" t="s">
        <v>2</v>
      </c>
      <c r="G178" t="s">
        <v>38</v>
      </c>
      <c r="H178" t="s">
        <v>39</v>
      </c>
      <c r="I178" s="5" t="s">
        <v>294</v>
      </c>
      <c r="J178" s="5" t="s">
        <v>2</v>
      </c>
      <c r="K178" s="5" t="s">
        <v>2</v>
      </c>
      <c r="L178" s="6">
        <f>IF(I178="Cut","",IF(I178="Your call","(decide)",IF(I178="Rename",J178,IF(I178="Keep",IF(D178="",E178,D178),IF(E178="(unchanged)",D178,E178)))))</f>
      </c>
      <c r="M178" s="6">
        <f>IF(AND(I178="Cut",N178&gt;0,K178=""),"USED: say what replaces it (Note)",IF(AND(I178="Rename",J178=""),"type the new name",IF(AND(L178&lt;&gt;"",L178&lt;&gt;"(decide)",COUNTIF($L$2:$L$1680,L178)&gt;1),"SAME FINAL NAME AS ANOTHER ROW","")))</f>
      </c>
      <c r="N178" s="6">
        <v>0</v>
      </c>
      <c r="O178" s="6" t="s">
        <v>2</v>
      </c>
    </row>
    <row r="179" spans="1:15" x14ac:dyDescent="0.25">
      <c r="A179">
        <v>178</v>
      </c>
      <c r="B179" t="s">
        <v>353</v>
      </c>
      <c r="C179" t="s">
        <v>364</v>
      </c>
      <c r="D179" t="s">
        <v>372</v>
      </c>
      <c r="E179" t="s">
        <v>292</v>
      </c>
      <c r="F179" t="s">
        <v>2</v>
      </c>
      <c r="G179" t="s">
        <v>38</v>
      </c>
      <c r="H179" t="s">
        <v>39</v>
      </c>
      <c r="I179" s="5" t="s">
        <v>294</v>
      </c>
      <c r="J179" s="5" t="s">
        <v>2</v>
      </c>
      <c r="K179" s="5" t="s">
        <v>2</v>
      </c>
      <c r="L179" s="6">
        <f>IF(I179="Cut","",IF(I179="Your call","(decide)",IF(I179="Rename",J179,IF(I179="Keep",IF(D179="",E179,D179),IF(E179="(unchanged)",D179,E179)))))</f>
      </c>
      <c r="M179" s="6">
        <f>IF(AND(I179="Cut",N179&gt;0,K179=""),"USED: say what replaces it (Note)",IF(AND(I179="Rename",J179=""),"type the new name",IF(AND(L179&lt;&gt;"",L179&lt;&gt;"(decide)",COUNTIF($L$2:$L$1680,L179)&gt;1),"SAME FINAL NAME AS ANOTHER ROW","")))</f>
      </c>
      <c r="N179" s="6">
        <v>0</v>
      </c>
      <c r="O179" s="6" t="s">
        <v>2</v>
      </c>
    </row>
    <row r="180" spans="1:15" x14ac:dyDescent="0.25">
      <c r="A180">
        <v>179</v>
      </c>
      <c r="B180" t="s">
        <v>353</v>
      </c>
      <c r="C180" t="s">
        <v>364</v>
      </c>
      <c r="D180" t="s">
        <v>373</v>
      </c>
      <c r="E180" t="s">
        <v>292</v>
      </c>
      <c r="F180" t="s">
        <v>2</v>
      </c>
      <c r="G180" t="s">
        <v>38</v>
      </c>
      <c r="H180" t="s">
        <v>39</v>
      </c>
      <c r="I180" s="5" t="s">
        <v>294</v>
      </c>
      <c r="J180" s="5" t="s">
        <v>2</v>
      </c>
      <c r="K180" s="5" t="s">
        <v>2</v>
      </c>
      <c r="L180" s="6">
        <f>IF(I180="Cut","",IF(I180="Your call","(decide)",IF(I180="Rename",J180,IF(I180="Keep",IF(D180="",E180,D180),IF(E180="(unchanged)",D180,E180)))))</f>
      </c>
      <c r="M180" s="6">
        <f>IF(AND(I180="Cut",N180&gt;0,K180=""),"USED: say what replaces it (Note)",IF(AND(I180="Rename",J180=""),"type the new name",IF(AND(L180&lt;&gt;"",L180&lt;&gt;"(decide)",COUNTIF($L$2:$L$1680,L180)&gt;1),"SAME FINAL NAME AS ANOTHER ROW","")))</f>
      </c>
      <c r="N180" s="6">
        <v>0</v>
      </c>
      <c r="O180" s="6" t="s">
        <v>2</v>
      </c>
    </row>
    <row r="181" spans="1:15" x14ac:dyDescent="0.25">
      <c r="A181">
        <v>180</v>
      </c>
      <c r="B181" t="s">
        <v>353</v>
      </c>
      <c r="C181" t="s">
        <v>374</v>
      </c>
      <c r="D181" t="s">
        <v>375</v>
      </c>
      <c r="E181" t="s">
        <v>292</v>
      </c>
      <c r="F181" t="s">
        <v>2</v>
      </c>
      <c r="G181" t="s">
        <v>38</v>
      </c>
      <c r="H181" t="s">
        <v>39</v>
      </c>
      <c r="I181" s="5" t="s">
        <v>294</v>
      </c>
      <c r="J181" s="5" t="s">
        <v>2</v>
      </c>
      <c r="K181" s="5" t="s">
        <v>2</v>
      </c>
      <c r="L181" s="6">
        <f>IF(I181="Cut","",IF(I181="Your call","(decide)",IF(I181="Rename",J181,IF(I181="Keep",IF(D181="",E181,D181),IF(E181="(unchanged)",D181,E181)))))</f>
      </c>
      <c r="M181" s="6">
        <f>IF(AND(I181="Cut",N181&gt;0,K181=""),"USED: say what replaces it (Note)",IF(AND(I181="Rename",J181=""),"type the new name",IF(AND(L181&lt;&gt;"",L181&lt;&gt;"(decide)",COUNTIF($L$2:$L$1680,L181)&gt;1),"SAME FINAL NAME AS ANOTHER ROW","")))</f>
      </c>
      <c r="N181" s="6">
        <v>0</v>
      </c>
      <c r="O181" s="6" t="s">
        <v>2</v>
      </c>
    </row>
    <row r="182" spans="1:15" x14ac:dyDescent="0.25">
      <c r="A182">
        <v>181</v>
      </c>
      <c r="B182" t="s">
        <v>353</v>
      </c>
      <c r="C182" t="s">
        <v>374</v>
      </c>
      <c r="D182" t="s">
        <v>376</v>
      </c>
      <c r="E182" t="s">
        <v>292</v>
      </c>
      <c r="F182" t="s">
        <v>2</v>
      </c>
      <c r="G182" t="s">
        <v>38</v>
      </c>
      <c r="H182" t="s">
        <v>39</v>
      </c>
      <c r="I182" s="5" t="s">
        <v>294</v>
      </c>
      <c r="J182" s="5" t="s">
        <v>2</v>
      </c>
      <c r="K182" s="5" t="s">
        <v>2</v>
      </c>
      <c r="L182" s="6">
        <f>IF(I182="Cut","",IF(I182="Your call","(decide)",IF(I182="Rename",J182,IF(I182="Keep",IF(D182="",E182,D182),IF(E182="(unchanged)",D182,E182)))))</f>
      </c>
      <c r="M182" s="6">
        <f>IF(AND(I182="Cut",N182&gt;0,K182=""),"USED: say what replaces it (Note)",IF(AND(I182="Rename",J182=""),"type the new name",IF(AND(L182&lt;&gt;"",L182&lt;&gt;"(decide)",COUNTIF($L$2:$L$1680,L182)&gt;1),"SAME FINAL NAME AS ANOTHER ROW","")))</f>
      </c>
      <c r="N182" s="6">
        <v>0</v>
      </c>
      <c r="O182" s="6" t="s">
        <v>2</v>
      </c>
    </row>
    <row r="183" spans="1:15" x14ac:dyDescent="0.25">
      <c r="A183">
        <v>182</v>
      </c>
      <c r="B183" t="s">
        <v>353</v>
      </c>
      <c r="C183" t="s">
        <v>374</v>
      </c>
      <c r="D183" t="s">
        <v>377</v>
      </c>
      <c r="E183" t="s">
        <v>292</v>
      </c>
      <c r="F183" t="s">
        <v>2</v>
      </c>
      <c r="G183" t="s">
        <v>38</v>
      </c>
      <c r="H183" t="s">
        <v>39</v>
      </c>
      <c r="I183" s="5" t="s">
        <v>294</v>
      </c>
      <c r="J183" s="5" t="s">
        <v>2</v>
      </c>
      <c r="K183" s="5" t="s">
        <v>2</v>
      </c>
      <c r="L183" s="6">
        <f>IF(I183="Cut","",IF(I183="Your call","(decide)",IF(I183="Rename",J183,IF(I183="Keep",IF(D183="",E183,D183),IF(E183="(unchanged)",D183,E183)))))</f>
      </c>
      <c r="M183" s="6">
        <f>IF(AND(I183="Cut",N183&gt;0,K183=""),"USED: say what replaces it (Note)",IF(AND(I183="Rename",J183=""),"type the new name",IF(AND(L183&lt;&gt;"",L183&lt;&gt;"(decide)",COUNTIF($L$2:$L$1680,L183)&gt;1),"SAME FINAL NAME AS ANOTHER ROW","")))</f>
      </c>
      <c r="N183" s="6">
        <v>0</v>
      </c>
      <c r="O183" s="6" t="s">
        <v>2</v>
      </c>
    </row>
    <row r="184" spans="1:15" x14ac:dyDescent="0.25">
      <c r="A184">
        <v>183</v>
      </c>
      <c r="B184" t="s">
        <v>353</v>
      </c>
      <c r="C184" t="s">
        <v>374</v>
      </c>
      <c r="D184" t="s">
        <v>378</v>
      </c>
      <c r="E184" t="s">
        <v>292</v>
      </c>
      <c r="F184" t="s">
        <v>2</v>
      </c>
      <c r="G184" t="s">
        <v>38</v>
      </c>
      <c r="H184" t="s">
        <v>39</v>
      </c>
      <c r="I184" s="5" t="s">
        <v>294</v>
      </c>
      <c r="J184" s="5" t="s">
        <v>2</v>
      </c>
      <c r="K184" s="5" t="s">
        <v>2</v>
      </c>
      <c r="L184" s="6">
        <f>IF(I184="Cut","",IF(I184="Your call","(decide)",IF(I184="Rename",J184,IF(I184="Keep",IF(D184="",E184,D184),IF(E184="(unchanged)",D184,E184)))))</f>
      </c>
      <c r="M184" s="6">
        <f>IF(AND(I184="Cut",N184&gt;0,K184=""),"USED: say what replaces it (Note)",IF(AND(I184="Rename",J184=""),"type the new name",IF(AND(L184&lt;&gt;"",L184&lt;&gt;"(decide)",COUNTIF($L$2:$L$1680,L184)&gt;1),"SAME FINAL NAME AS ANOTHER ROW","")))</f>
      </c>
      <c r="N184" s="6">
        <v>0</v>
      </c>
      <c r="O184" s="6" t="s">
        <v>2</v>
      </c>
    </row>
    <row r="185" spans="1:15" x14ac:dyDescent="0.25">
      <c r="A185">
        <v>184</v>
      </c>
      <c r="B185" t="s">
        <v>353</v>
      </c>
      <c r="C185" t="s">
        <v>374</v>
      </c>
      <c r="D185" t="s">
        <v>379</v>
      </c>
      <c r="E185" t="s">
        <v>292</v>
      </c>
      <c r="F185" t="s">
        <v>2</v>
      </c>
      <c r="G185" t="s">
        <v>38</v>
      </c>
      <c r="H185" t="s">
        <v>39</v>
      </c>
      <c r="I185" s="5" t="s">
        <v>294</v>
      </c>
      <c r="J185" s="5" t="s">
        <v>2</v>
      </c>
      <c r="K185" s="5" t="s">
        <v>2</v>
      </c>
      <c r="L185" s="6">
        <f>IF(I185="Cut","",IF(I185="Your call","(decide)",IF(I185="Rename",J185,IF(I185="Keep",IF(D185="",E185,D185),IF(E185="(unchanged)",D185,E185)))))</f>
      </c>
      <c r="M185" s="6">
        <f>IF(AND(I185="Cut",N185&gt;0,K185=""),"USED: say what replaces it (Note)",IF(AND(I185="Rename",J185=""),"type the new name",IF(AND(L185&lt;&gt;"",L185&lt;&gt;"(decide)",COUNTIF($L$2:$L$1680,L185)&gt;1),"SAME FINAL NAME AS ANOTHER ROW","")))</f>
      </c>
      <c r="N185" s="6">
        <v>0</v>
      </c>
      <c r="O185" s="6" t="s">
        <v>2</v>
      </c>
    </row>
    <row r="186" spans="1:15" x14ac:dyDescent="0.25">
      <c r="A186">
        <v>185</v>
      </c>
      <c r="B186" t="s">
        <v>353</v>
      </c>
      <c r="C186" t="s">
        <v>374</v>
      </c>
      <c r="D186" t="s">
        <v>380</v>
      </c>
      <c r="E186" t="s">
        <v>292</v>
      </c>
      <c r="F186" t="s">
        <v>2</v>
      </c>
      <c r="G186" t="s">
        <v>38</v>
      </c>
      <c r="H186" t="s">
        <v>39</v>
      </c>
      <c r="I186" s="5" t="s">
        <v>294</v>
      </c>
      <c r="J186" s="5" t="s">
        <v>2</v>
      </c>
      <c r="K186" s="5" t="s">
        <v>2</v>
      </c>
      <c r="L186" s="6">
        <f>IF(I186="Cut","",IF(I186="Your call","(decide)",IF(I186="Rename",J186,IF(I186="Keep",IF(D186="",E186,D186),IF(E186="(unchanged)",D186,E186)))))</f>
      </c>
      <c r="M186" s="6">
        <f>IF(AND(I186="Cut",N186&gt;0,K186=""),"USED: say what replaces it (Note)",IF(AND(I186="Rename",J186=""),"type the new name",IF(AND(L186&lt;&gt;"",L186&lt;&gt;"(decide)",COUNTIF($L$2:$L$1680,L186)&gt;1),"SAME FINAL NAME AS ANOTHER ROW","")))</f>
      </c>
      <c r="N186" s="6">
        <v>0</v>
      </c>
      <c r="O186" s="6" t="s">
        <v>2</v>
      </c>
    </row>
    <row r="187" spans="1:15" x14ac:dyDescent="0.25">
      <c r="A187">
        <v>186</v>
      </c>
      <c r="B187" t="s">
        <v>353</v>
      </c>
      <c r="C187" t="s">
        <v>374</v>
      </c>
      <c r="D187" t="s">
        <v>381</v>
      </c>
      <c r="E187" t="s">
        <v>292</v>
      </c>
      <c r="F187" t="s">
        <v>2</v>
      </c>
      <c r="G187" t="s">
        <v>38</v>
      </c>
      <c r="H187" t="s">
        <v>39</v>
      </c>
      <c r="I187" s="5" t="s">
        <v>294</v>
      </c>
      <c r="J187" s="5" t="s">
        <v>2</v>
      </c>
      <c r="K187" s="5" t="s">
        <v>2</v>
      </c>
      <c r="L187" s="6">
        <f>IF(I187="Cut","",IF(I187="Your call","(decide)",IF(I187="Rename",J187,IF(I187="Keep",IF(D187="",E187,D187),IF(E187="(unchanged)",D187,E187)))))</f>
      </c>
      <c r="M187" s="6">
        <f>IF(AND(I187="Cut",N187&gt;0,K187=""),"USED: say what replaces it (Note)",IF(AND(I187="Rename",J187=""),"type the new name",IF(AND(L187&lt;&gt;"",L187&lt;&gt;"(decide)",COUNTIF($L$2:$L$1680,L187)&gt;1),"SAME FINAL NAME AS ANOTHER ROW","")))</f>
      </c>
      <c r="N187" s="6">
        <v>0</v>
      </c>
      <c r="O187" s="6" t="s">
        <v>2</v>
      </c>
    </row>
    <row r="188" spans="1:15" x14ac:dyDescent="0.25">
      <c r="A188">
        <v>187</v>
      </c>
      <c r="B188" t="s">
        <v>353</v>
      </c>
      <c r="C188" t="s">
        <v>374</v>
      </c>
      <c r="D188" t="s">
        <v>382</v>
      </c>
      <c r="E188" t="s">
        <v>292</v>
      </c>
      <c r="F188" t="s">
        <v>2</v>
      </c>
      <c r="G188" t="s">
        <v>38</v>
      </c>
      <c r="H188" t="s">
        <v>39</v>
      </c>
      <c r="I188" s="5" t="s">
        <v>294</v>
      </c>
      <c r="J188" s="5" t="s">
        <v>2</v>
      </c>
      <c r="K188" s="5" t="s">
        <v>2</v>
      </c>
      <c r="L188" s="6">
        <f>IF(I188="Cut","",IF(I188="Your call","(decide)",IF(I188="Rename",J188,IF(I188="Keep",IF(D188="",E188,D188),IF(E188="(unchanged)",D188,E188)))))</f>
      </c>
      <c r="M188" s="6">
        <f>IF(AND(I188="Cut",N188&gt;0,K188=""),"USED: say what replaces it (Note)",IF(AND(I188="Rename",J188=""),"type the new name",IF(AND(L188&lt;&gt;"",L188&lt;&gt;"(decide)",COUNTIF($L$2:$L$1680,L188)&gt;1),"SAME FINAL NAME AS ANOTHER ROW","")))</f>
      </c>
      <c r="N188" s="6">
        <v>0</v>
      </c>
      <c r="O188" s="6" t="s">
        <v>2</v>
      </c>
    </row>
    <row r="189" spans="1:15" x14ac:dyDescent="0.25">
      <c r="A189">
        <v>188</v>
      </c>
      <c r="B189" t="s">
        <v>353</v>
      </c>
      <c r="C189" t="s">
        <v>374</v>
      </c>
      <c r="D189" t="s">
        <v>383</v>
      </c>
      <c r="E189" t="s">
        <v>292</v>
      </c>
      <c r="F189" t="s">
        <v>2</v>
      </c>
      <c r="G189" t="s">
        <v>38</v>
      </c>
      <c r="H189" t="s">
        <v>39</v>
      </c>
      <c r="I189" s="5" t="s">
        <v>294</v>
      </c>
      <c r="J189" s="5" t="s">
        <v>2</v>
      </c>
      <c r="K189" s="5" t="s">
        <v>2</v>
      </c>
      <c r="L189" s="6">
        <f>IF(I189="Cut","",IF(I189="Your call","(decide)",IF(I189="Rename",J189,IF(I189="Keep",IF(D189="",E189,D189),IF(E189="(unchanged)",D189,E189)))))</f>
      </c>
      <c r="M189" s="6">
        <f>IF(AND(I189="Cut",N189&gt;0,K189=""),"USED: say what replaces it (Note)",IF(AND(I189="Rename",J189=""),"type the new name",IF(AND(L189&lt;&gt;"",L189&lt;&gt;"(decide)",COUNTIF($L$2:$L$1680,L189)&gt;1),"SAME FINAL NAME AS ANOTHER ROW","")))</f>
      </c>
      <c r="N189" s="6">
        <v>0</v>
      </c>
      <c r="O189" s="6" t="s">
        <v>2</v>
      </c>
    </row>
    <row r="190" spans="1:15" x14ac:dyDescent="0.25">
      <c r="A190">
        <v>189</v>
      </c>
      <c r="B190" t="s">
        <v>353</v>
      </c>
      <c r="C190" t="s">
        <v>384</v>
      </c>
      <c r="D190" t="s">
        <v>385</v>
      </c>
      <c r="E190" t="s">
        <v>292</v>
      </c>
      <c r="F190" t="s">
        <v>2</v>
      </c>
      <c r="G190" t="s">
        <v>38</v>
      </c>
      <c r="H190" t="s">
        <v>39</v>
      </c>
      <c r="I190" s="5" t="s">
        <v>294</v>
      </c>
      <c r="J190" s="5" t="s">
        <v>2</v>
      </c>
      <c r="K190" s="5" t="s">
        <v>2</v>
      </c>
      <c r="L190" s="6">
        <f>IF(I190="Cut","",IF(I190="Your call","(decide)",IF(I190="Rename",J190,IF(I190="Keep",IF(D190="",E190,D190),IF(E190="(unchanged)",D190,E190)))))</f>
      </c>
      <c r="M190" s="6">
        <f>IF(AND(I190="Cut",N190&gt;0,K190=""),"USED: say what replaces it (Note)",IF(AND(I190="Rename",J190=""),"type the new name",IF(AND(L190&lt;&gt;"",L190&lt;&gt;"(decide)",COUNTIF($L$2:$L$1680,L190)&gt;1),"SAME FINAL NAME AS ANOTHER ROW","")))</f>
      </c>
      <c r="N190" s="6">
        <v>0</v>
      </c>
      <c r="O190" s="6" t="s">
        <v>2</v>
      </c>
    </row>
    <row r="191" spans="1:15" x14ac:dyDescent="0.25">
      <c r="A191">
        <v>190</v>
      </c>
      <c r="B191" t="s">
        <v>353</v>
      </c>
      <c r="C191" t="s">
        <v>384</v>
      </c>
      <c r="D191" t="s">
        <v>386</v>
      </c>
      <c r="E191" t="s">
        <v>292</v>
      </c>
      <c r="F191" t="s">
        <v>2</v>
      </c>
      <c r="G191" t="s">
        <v>38</v>
      </c>
      <c r="H191" t="s">
        <v>39</v>
      </c>
      <c r="I191" s="5" t="s">
        <v>294</v>
      </c>
      <c r="J191" s="5" t="s">
        <v>2</v>
      </c>
      <c r="K191" s="5" t="s">
        <v>2</v>
      </c>
      <c r="L191" s="6">
        <f>IF(I191="Cut","",IF(I191="Your call","(decide)",IF(I191="Rename",J191,IF(I191="Keep",IF(D191="",E191,D191),IF(E191="(unchanged)",D191,E191)))))</f>
      </c>
      <c r="M191" s="6">
        <f>IF(AND(I191="Cut",N191&gt;0,K191=""),"USED: say what replaces it (Note)",IF(AND(I191="Rename",J191=""),"type the new name",IF(AND(L191&lt;&gt;"",L191&lt;&gt;"(decide)",COUNTIF($L$2:$L$1680,L191)&gt;1),"SAME FINAL NAME AS ANOTHER ROW","")))</f>
      </c>
      <c r="N191" s="6">
        <v>0</v>
      </c>
      <c r="O191" s="6" t="s">
        <v>2</v>
      </c>
    </row>
    <row r="192" spans="1:15" x14ac:dyDescent="0.25">
      <c r="A192">
        <v>191</v>
      </c>
      <c r="B192" t="s">
        <v>353</v>
      </c>
      <c r="C192" t="s">
        <v>384</v>
      </c>
      <c r="D192" t="s">
        <v>387</v>
      </c>
      <c r="E192" t="s">
        <v>292</v>
      </c>
      <c r="F192" t="s">
        <v>2</v>
      </c>
      <c r="G192" t="s">
        <v>38</v>
      </c>
      <c r="H192" t="s">
        <v>39</v>
      </c>
      <c r="I192" s="5" t="s">
        <v>294</v>
      </c>
      <c r="J192" s="5" t="s">
        <v>2</v>
      </c>
      <c r="K192" s="5" t="s">
        <v>2</v>
      </c>
      <c r="L192" s="6">
        <f>IF(I192="Cut","",IF(I192="Your call","(decide)",IF(I192="Rename",J192,IF(I192="Keep",IF(D192="",E192,D192),IF(E192="(unchanged)",D192,E192)))))</f>
      </c>
      <c r="M192" s="6">
        <f>IF(AND(I192="Cut",N192&gt;0,K192=""),"USED: say what replaces it (Note)",IF(AND(I192="Rename",J192=""),"type the new name",IF(AND(L192&lt;&gt;"",L192&lt;&gt;"(decide)",COUNTIF($L$2:$L$1680,L192)&gt;1),"SAME FINAL NAME AS ANOTHER ROW","")))</f>
      </c>
      <c r="N192" s="6">
        <v>0</v>
      </c>
      <c r="O192" s="6" t="s">
        <v>2</v>
      </c>
    </row>
    <row r="193" spans="1:15" x14ac:dyDescent="0.25">
      <c r="A193">
        <v>192</v>
      </c>
      <c r="B193" t="s">
        <v>353</v>
      </c>
      <c r="C193" t="s">
        <v>384</v>
      </c>
      <c r="D193" t="s">
        <v>388</v>
      </c>
      <c r="E193" t="s">
        <v>292</v>
      </c>
      <c r="F193" t="s">
        <v>2</v>
      </c>
      <c r="G193" t="s">
        <v>38</v>
      </c>
      <c r="H193" t="s">
        <v>39</v>
      </c>
      <c r="I193" s="5" t="s">
        <v>294</v>
      </c>
      <c r="J193" s="5" t="s">
        <v>2</v>
      </c>
      <c r="K193" s="5" t="s">
        <v>2</v>
      </c>
      <c r="L193" s="6">
        <f>IF(I193="Cut","",IF(I193="Your call","(decide)",IF(I193="Rename",J193,IF(I193="Keep",IF(D193="",E193,D193),IF(E193="(unchanged)",D193,E193)))))</f>
      </c>
      <c r="M193" s="6">
        <f>IF(AND(I193="Cut",N193&gt;0,K193=""),"USED: say what replaces it (Note)",IF(AND(I193="Rename",J193=""),"type the new name",IF(AND(L193&lt;&gt;"",L193&lt;&gt;"(decide)",COUNTIF($L$2:$L$1680,L193)&gt;1),"SAME FINAL NAME AS ANOTHER ROW","")))</f>
      </c>
      <c r="N193" s="6">
        <v>0</v>
      </c>
      <c r="O193" s="6" t="s">
        <v>2</v>
      </c>
    </row>
    <row r="194" spans="1:15" x14ac:dyDescent="0.25">
      <c r="A194">
        <v>193</v>
      </c>
      <c r="B194" t="s">
        <v>353</v>
      </c>
      <c r="C194" t="s">
        <v>384</v>
      </c>
      <c r="D194" t="s">
        <v>389</v>
      </c>
      <c r="E194" t="s">
        <v>292</v>
      </c>
      <c r="F194" t="s">
        <v>2</v>
      </c>
      <c r="G194" t="s">
        <v>38</v>
      </c>
      <c r="H194" t="s">
        <v>39</v>
      </c>
      <c r="I194" s="5" t="s">
        <v>294</v>
      </c>
      <c r="J194" s="5" t="s">
        <v>2</v>
      </c>
      <c r="K194" s="5" t="s">
        <v>2</v>
      </c>
      <c r="L194" s="6">
        <f>IF(I194="Cut","",IF(I194="Your call","(decide)",IF(I194="Rename",J194,IF(I194="Keep",IF(D194="",E194,D194),IF(E194="(unchanged)",D194,E194)))))</f>
      </c>
      <c r="M194" s="6">
        <f>IF(AND(I194="Cut",N194&gt;0,K194=""),"USED: say what replaces it (Note)",IF(AND(I194="Rename",J194=""),"type the new name",IF(AND(L194&lt;&gt;"",L194&lt;&gt;"(decide)",COUNTIF($L$2:$L$1680,L194)&gt;1),"SAME FINAL NAME AS ANOTHER ROW","")))</f>
      </c>
      <c r="N194" s="6">
        <v>0</v>
      </c>
      <c r="O194" s="6" t="s">
        <v>2</v>
      </c>
    </row>
    <row r="195" spans="1:15" x14ac:dyDescent="0.25">
      <c r="A195">
        <v>194</v>
      </c>
      <c r="B195" t="s">
        <v>353</v>
      </c>
      <c r="C195" t="s">
        <v>384</v>
      </c>
      <c r="D195" t="s">
        <v>390</v>
      </c>
      <c r="E195" t="s">
        <v>292</v>
      </c>
      <c r="F195" t="s">
        <v>2</v>
      </c>
      <c r="G195" t="s">
        <v>38</v>
      </c>
      <c r="H195" t="s">
        <v>39</v>
      </c>
      <c r="I195" s="5" t="s">
        <v>294</v>
      </c>
      <c r="J195" s="5" t="s">
        <v>2</v>
      </c>
      <c r="K195" s="5" t="s">
        <v>2</v>
      </c>
      <c r="L195" s="6">
        <f>IF(I195="Cut","",IF(I195="Your call","(decide)",IF(I195="Rename",J195,IF(I195="Keep",IF(D195="",E195,D195),IF(E195="(unchanged)",D195,E195)))))</f>
      </c>
      <c r="M195" s="6">
        <f>IF(AND(I195="Cut",N195&gt;0,K195=""),"USED: say what replaces it (Note)",IF(AND(I195="Rename",J195=""),"type the new name",IF(AND(L195&lt;&gt;"",L195&lt;&gt;"(decide)",COUNTIF($L$2:$L$1680,L195)&gt;1),"SAME FINAL NAME AS ANOTHER ROW","")))</f>
      </c>
      <c r="N195" s="6">
        <v>0</v>
      </c>
      <c r="O195" s="6" t="s">
        <v>2</v>
      </c>
    </row>
    <row r="196" spans="1:15" x14ac:dyDescent="0.25">
      <c r="A196">
        <v>195</v>
      </c>
      <c r="B196" t="s">
        <v>353</v>
      </c>
      <c r="C196" t="s">
        <v>384</v>
      </c>
      <c r="D196" t="s">
        <v>391</v>
      </c>
      <c r="E196" t="s">
        <v>292</v>
      </c>
      <c r="F196" t="s">
        <v>2</v>
      </c>
      <c r="G196" t="s">
        <v>38</v>
      </c>
      <c r="H196" t="s">
        <v>39</v>
      </c>
      <c r="I196" s="5" t="s">
        <v>294</v>
      </c>
      <c r="J196" s="5" t="s">
        <v>2</v>
      </c>
      <c r="K196" s="5" t="s">
        <v>2</v>
      </c>
      <c r="L196" s="6">
        <f>IF(I196="Cut","",IF(I196="Your call","(decide)",IF(I196="Rename",J196,IF(I196="Keep",IF(D196="",E196,D196),IF(E196="(unchanged)",D196,E196)))))</f>
      </c>
      <c r="M196" s="6">
        <f>IF(AND(I196="Cut",N196&gt;0,K196=""),"USED: say what replaces it (Note)",IF(AND(I196="Rename",J196=""),"type the new name",IF(AND(L196&lt;&gt;"",L196&lt;&gt;"(decide)",COUNTIF($L$2:$L$1680,L196)&gt;1),"SAME FINAL NAME AS ANOTHER ROW","")))</f>
      </c>
      <c r="N196" s="6">
        <v>0</v>
      </c>
      <c r="O196" s="6" t="s">
        <v>2</v>
      </c>
    </row>
    <row r="197" spans="1:15" x14ac:dyDescent="0.25">
      <c r="A197">
        <v>196</v>
      </c>
      <c r="B197" t="s">
        <v>353</v>
      </c>
      <c r="C197" t="s">
        <v>384</v>
      </c>
      <c r="D197" t="s">
        <v>392</v>
      </c>
      <c r="E197" t="s">
        <v>292</v>
      </c>
      <c r="F197" t="s">
        <v>2</v>
      </c>
      <c r="G197" t="s">
        <v>38</v>
      </c>
      <c r="H197" t="s">
        <v>39</v>
      </c>
      <c r="I197" s="5" t="s">
        <v>294</v>
      </c>
      <c r="J197" s="5" t="s">
        <v>2</v>
      </c>
      <c r="K197" s="5" t="s">
        <v>2</v>
      </c>
      <c r="L197" s="6">
        <f>IF(I197="Cut","",IF(I197="Your call","(decide)",IF(I197="Rename",J197,IF(I197="Keep",IF(D197="",E197,D197),IF(E197="(unchanged)",D197,E197)))))</f>
      </c>
      <c r="M197" s="6">
        <f>IF(AND(I197="Cut",N197&gt;0,K197=""),"USED: say what replaces it (Note)",IF(AND(I197="Rename",J197=""),"type the new name",IF(AND(L197&lt;&gt;"",L197&lt;&gt;"(decide)",COUNTIF($L$2:$L$1680,L197)&gt;1),"SAME FINAL NAME AS ANOTHER ROW","")))</f>
      </c>
      <c r="N197" s="6">
        <v>0</v>
      </c>
      <c r="O197" s="6" t="s">
        <v>2</v>
      </c>
    </row>
    <row r="198" spans="1:15" x14ac:dyDescent="0.25">
      <c r="A198">
        <v>197</v>
      </c>
      <c r="B198" t="s">
        <v>353</v>
      </c>
      <c r="C198" t="s">
        <v>384</v>
      </c>
      <c r="D198" t="s">
        <v>393</v>
      </c>
      <c r="E198" t="s">
        <v>292</v>
      </c>
      <c r="F198" t="s">
        <v>2</v>
      </c>
      <c r="G198" t="s">
        <v>38</v>
      </c>
      <c r="H198" t="s">
        <v>39</v>
      </c>
      <c r="I198" s="5" t="s">
        <v>294</v>
      </c>
      <c r="J198" s="5" t="s">
        <v>2</v>
      </c>
      <c r="K198" s="5" t="s">
        <v>2</v>
      </c>
      <c r="L198" s="6">
        <f>IF(I198="Cut","",IF(I198="Your call","(decide)",IF(I198="Rename",J198,IF(I198="Keep",IF(D198="",E198,D198),IF(E198="(unchanged)",D198,E198)))))</f>
      </c>
      <c r="M198" s="6">
        <f>IF(AND(I198="Cut",N198&gt;0,K198=""),"USED: say what replaces it (Note)",IF(AND(I198="Rename",J198=""),"type the new name",IF(AND(L198&lt;&gt;"",L198&lt;&gt;"(decide)",COUNTIF($L$2:$L$1680,L198)&gt;1),"SAME FINAL NAME AS ANOTHER ROW","")))</f>
      </c>
      <c r="N198" s="6">
        <v>0</v>
      </c>
      <c r="O198" s="6" t="s">
        <v>2</v>
      </c>
    </row>
    <row r="199" spans="1:15" x14ac:dyDescent="0.25">
      <c r="A199">
        <v>198</v>
      </c>
      <c r="B199" t="s">
        <v>353</v>
      </c>
      <c r="C199" t="s">
        <v>394</v>
      </c>
      <c r="D199" t="s">
        <v>395</v>
      </c>
      <c r="E199" t="s">
        <v>292</v>
      </c>
      <c r="F199" t="s">
        <v>2</v>
      </c>
      <c r="G199" t="s">
        <v>38</v>
      </c>
      <c r="H199" t="s">
        <v>39</v>
      </c>
      <c r="I199" s="5" t="s">
        <v>294</v>
      </c>
      <c r="J199" s="5" t="s">
        <v>2</v>
      </c>
      <c r="K199" s="5" t="s">
        <v>2</v>
      </c>
      <c r="L199" s="6">
        <f>IF(I199="Cut","",IF(I199="Your call","(decide)",IF(I199="Rename",J199,IF(I199="Keep",IF(D199="",E199,D199),IF(E199="(unchanged)",D199,E199)))))</f>
      </c>
      <c r="M199" s="6">
        <f>IF(AND(I199="Cut",N199&gt;0,K199=""),"USED: say what replaces it (Note)",IF(AND(I199="Rename",J199=""),"type the new name",IF(AND(L199&lt;&gt;"",L199&lt;&gt;"(decide)",COUNTIF($L$2:$L$1680,L199)&gt;1),"SAME FINAL NAME AS ANOTHER ROW","")))</f>
      </c>
      <c r="N199" s="6">
        <v>0</v>
      </c>
      <c r="O199" s="6" t="s">
        <v>2</v>
      </c>
    </row>
    <row r="200" spans="1:15" x14ac:dyDescent="0.25">
      <c r="A200">
        <v>199</v>
      </c>
      <c r="B200" t="s">
        <v>353</v>
      </c>
      <c r="C200" t="s">
        <v>394</v>
      </c>
      <c r="D200" t="s">
        <v>396</v>
      </c>
      <c r="E200" t="s">
        <v>292</v>
      </c>
      <c r="F200" t="s">
        <v>2</v>
      </c>
      <c r="G200" t="s">
        <v>38</v>
      </c>
      <c r="H200" t="s">
        <v>39</v>
      </c>
      <c r="I200" s="5" t="s">
        <v>294</v>
      </c>
      <c r="J200" s="5" t="s">
        <v>2</v>
      </c>
      <c r="K200" s="5" t="s">
        <v>2</v>
      </c>
      <c r="L200" s="6">
        <f>IF(I200="Cut","",IF(I200="Your call","(decide)",IF(I200="Rename",J200,IF(I200="Keep",IF(D200="",E200,D200),IF(E200="(unchanged)",D200,E200)))))</f>
      </c>
      <c r="M200" s="6">
        <f>IF(AND(I200="Cut",N200&gt;0,K200=""),"USED: say what replaces it (Note)",IF(AND(I200="Rename",J200=""),"type the new name",IF(AND(L200&lt;&gt;"",L200&lt;&gt;"(decide)",COUNTIF($L$2:$L$1680,L200)&gt;1),"SAME FINAL NAME AS ANOTHER ROW","")))</f>
      </c>
      <c r="N200" s="6">
        <v>0</v>
      </c>
      <c r="O200" s="6" t="s">
        <v>2</v>
      </c>
    </row>
    <row r="201" spans="1:15" x14ac:dyDescent="0.25">
      <c r="A201">
        <v>200</v>
      </c>
      <c r="B201" t="s">
        <v>353</v>
      </c>
      <c r="C201" t="s">
        <v>394</v>
      </c>
      <c r="D201" t="s">
        <v>397</v>
      </c>
      <c r="E201" t="s">
        <v>292</v>
      </c>
      <c r="F201" t="s">
        <v>2</v>
      </c>
      <c r="G201" t="s">
        <v>38</v>
      </c>
      <c r="H201" t="s">
        <v>39</v>
      </c>
      <c r="I201" s="5" t="s">
        <v>294</v>
      </c>
      <c r="J201" s="5" t="s">
        <v>2</v>
      </c>
      <c r="K201" s="5" t="s">
        <v>2</v>
      </c>
      <c r="L201" s="6">
        <f>IF(I201="Cut","",IF(I201="Your call","(decide)",IF(I201="Rename",J201,IF(I201="Keep",IF(D201="",E201,D201),IF(E201="(unchanged)",D201,E201)))))</f>
      </c>
      <c r="M201" s="6">
        <f>IF(AND(I201="Cut",N201&gt;0,K201=""),"USED: say what replaces it (Note)",IF(AND(I201="Rename",J201=""),"type the new name",IF(AND(L201&lt;&gt;"",L201&lt;&gt;"(decide)",COUNTIF($L$2:$L$1680,L201)&gt;1),"SAME FINAL NAME AS ANOTHER ROW","")))</f>
      </c>
      <c r="N201" s="6">
        <v>0</v>
      </c>
      <c r="O201" s="6" t="s">
        <v>2</v>
      </c>
    </row>
    <row r="202" spans="1:15" x14ac:dyDescent="0.25">
      <c r="A202">
        <v>201</v>
      </c>
      <c r="B202" t="s">
        <v>353</v>
      </c>
      <c r="C202" t="s">
        <v>394</v>
      </c>
      <c r="D202" t="s">
        <v>398</v>
      </c>
      <c r="E202" t="s">
        <v>292</v>
      </c>
      <c r="F202" t="s">
        <v>2</v>
      </c>
      <c r="G202" t="s">
        <v>38</v>
      </c>
      <c r="H202" t="s">
        <v>39</v>
      </c>
      <c r="I202" s="5" t="s">
        <v>294</v>
      </c>
      <c r="J202" s="5" t="s">
        <v>2</v>
      </c>
      <c r="K202" s="5" t="s">
        <v>2</v>
      </c>
      <c r="L202" s="6">
        <f>IF(I202="Cut","",IF(I202="Your call","(decide)",IF(I202="Rename",J202,IF(I202="Keep",IF(D202="",E202,D202),IF(E202="(unchanged)",D202,E202)))))</f>
      </c>
      <c r="M202" s="6">
        <f>IF(AND(I202="Cut",N202&gt;0,K202=""),"USED: say what replaces it (Note)",IF(AND(I202="Rename",J202=""),"type the new name",IF(AND(L202&lt;&gt;"",L202&lt;&gt;"(decide)",COUNTIF($L$2:$L$1680,L202)&gt;1),"SAME FINAL NAME AS ANOTHER ROW","")))</f>
      </c>
      <c r="N202" s="6">
        <v>0</v>
      </c>
      <c r="O202" s="6" t="s">
        <v>2</v>
      </c>
    </row>
    <row r="203" spans="1:15" x14ac:dyDescent="0.25">
      <c r="A203">
        <v>202</v>
      </c>
      <c r="B203" t="s">
        <v>353</v>
      </c>
      <c r="C203" t="s">
        <v>394</v>
      </c>
      <c r="D203" t="s">
        <v>399</v>
      </c>
      <c r="E203" t="s">
        <v>292</v>
      </c>
      <c r="F203" t="s">
        <v>2</v>
      </c>
      <c r="G203" t="s">
        <v>38</v>
      </c>
      <c r="H203" t="s">
        <v>39</v>
      </c>
      <c r="I203" s="5" t="s">
        <v>294</v>
      </c>
      <c r="J203" s="5" t="s">
        <v>2</v>
      </c>
      <c r="K203" s="5" t="s">
        <v>2</v>
      </c>
      <c r="L203" s="6">
        <f>IF(I203="Cut","",IF(I203="Your call","(decide)",IF(I203="Rename",J203,IF(I203="Keep",IF(D203="",E203,D203),IF(E203="(unchanged)",D203,E203)))))</f>
      </c>
      <c r="M203" s="6">
        <f>IF(AND(I203="Cut",N203&gt;0,K203=""),"USED: say what replaces it (Note)",IF(AND(I203="Rename",J203=""),"type the new name",IF(AND(L203&lt;&gt;"",L203&lt;&gt;"(decide)",COUNTIF($L$2:$L$1680,L203)&gt;1),"SAME FINAL NAME AS ANOTHER ROW","")))</f>
      </c>
      <c r="N203" s="6">
        <v>0</v>
      </c>
      <c r="O203" s="6" t="s">
        <v>2</v>
      </c>
    </row>
    <row r="204" spans="1:15" x14ac:dyDescent="0.25">
      <c r="A204">
        <v>203</v>
      </c>
      <c r="B204" t="s">
        <v>353</v>
      </c>
      <c r="C204" t="s">
        <v>394</v>
      </c>
      <c r="D204" t="s">
        <v>400</v>
      </c>
      <c r="E204" t="s">
        <v>292</v>
      </c>
      <c r="F204" t="s">
        <v>2</v>
      </c>
      <c r="G204" t="s">
        <v>38</v>
      </c>
      <c r="H204" t="s">
        <v>39</v>
      </c>
      <c r="I204" s="5" t="s">
        <v>294</v>
      </c>
      <c r="J204" s="5" t="s">
        <v>2</v>
      </c>
      <c r="K204" s="5" t="s">
        <v>2</v>
      </c>
      <c r="L204" s="6">
        <f>IF(I204="Cut","",IF(I204="Your call","(decide)",IF(I204="Rename",J204,IF(I204="Keep",IF(D204="",E204,D204),IF(E204="(unchanged)",D204,E204)))))</f>
      </c>
      <c r="M204" s="6">
        <f>IF(AND(I204="Cut",N204&gt;0,K204=""),"USED: say what replaces it (Note)",IF(AND(I204="Rename",J204=""),"type the new name",IF(AND(L204&lt;&gt;"",L204&lt;&gt;"(decide)",COUNTIF($L$2:$L$1680,L204)&gt;1),"SAME FINAL NAME AS ANOTHER ROW","")))</f>
      </c>
      <c r="N204" s="6">
        <v>0</v>
      </c>
      <c r="O204" s="6" t="s">
        <v>2</v>
      </c>
    </row>
    <row r="205" spans="1:15" x14ac:dyDescent="0.25">
      <c r="A205">
        <v>204</v>
      </c>
      <c r="B205" t="s">
        <v>353</v>
      </c>
      <c r="C205" t="s">
        <v>394</v>
      </c>
      <c r="D205" t="s">
        <v>401</v>
      </c>
      <c r="E205" t="s">
        <v>292</v>
      </c>
      <c r="F205" t="s">
        <v>2</v>
      </c>
      <c r="G205" t="s">
        <v>38</v>
      </c>
      <c r="H205" t="s">
        <v>39</v>
      </c>
      <c r="I205" s="5" t="s">
        <v>294</v>
      </c>
      <c r="J205" s="5" t="s">
        <v>2</v>
      </c>
      <c r="K205" s="5" t="s">
        <v>2</v>
      </c>
      <c r="L205" s="6">
        <f>IF(I205="Cut","",IF(I205="Your call","(decide)",IF(I205="Rename",J205,IF(I205="Keep",IF(D205="",E205,D205),IF(E205="(unchanged)",D205,E205)))))</f>
      </c>
      <c r="M205" s="6">
        <f>IF(AND(I205="Cut",N205&gt;0,K205=""),"USED: say what replaces it (Note)",IF(AND(I205="Rename",J205=""),"type the new name",IF(AND(L205&lt;&gt;"",L205&lt;&gt;"(decide)",COUNTIF($L$2:$L$1680,L205)&gt;1),"SAME FINAL NAME AS ANOTHER ROW","")))</f>
      </c>
      <c r="N205" s="6">
        <v>0</v>
      </c>
      <c r="O205" s="6" t="s">
        <v>2</v>
      </c>
    </row>
    <row r="206" spans="1:15" x14ac:dyDescent="0.25">
      <c r="A206">
        <v>205</v>
      </c>
      <c r="B206" t="s">
        <v>353</v>
      </c>
      <c r="C206" t="s">
        <v>394</v>
      </c>
      <c r="D206" t="s">
        <v>402</v>
      </c>
      <c r="E206" t="s">
        <v>292</v>
      </c>
      <c r="F206" t="s">
        <v>2</v>
      </c>
      <c r="G206" t="s">
        <v>38</v>
      </c>
      <c r="H206" t="s">
        <v>39</v>
      </c>
      <c r="I206" s="5" t="s">
        <v>294</v>
      </c>
      <c r="J206" s="5" t="s">
        <v>2</v>
      </c>
      <c r="K206" s="5" t="s">
        <v>2</v>
      </c>
      <c r="L206" s="6">
        <f>IF(I206="Cut","",IF(I206="Your call","(decide)",IF(I206="Rename",J206,IF(I206="Keep",IF(D206="",E206,D206),IF(E206="(unchanged)",D206,E206)))))</f>
      </c>
      <c r="M206" s="6">
        <f>IF(AND(I206="Cut",N206&gt;0,K206=""),"USED: say what replaces it (Note)",IF(AND(I206="Rename",J206=""),"type the new name",IF(AND(L206&lt;&gt;"",L206&lt;&gt;"(decide)",COUNTIF($L$2:$L$1680,L206)&gt;1),"SAME FINAL NAME AS ANOTHER ROW","")))</f>
      </c>
      <c r="N206" s="6">
        <v>0</v>
      </c>
      <c r="O206" s="6" t="s">
        <v>2</v>
      </c>
    </row>
    <row r="207" spans="1:15" x14ac:dyDescent="0.25">
      <c r="A207">
        <v>206</v>
      </c>
      <c r="B207" t="s">
        <v>353</v>
      </c>
      <c r="C207" t="s">
        <v>394</v>
      </c>
      <c r="D207" t="s">
        <v>403</v>
      </c>
      <c r="E207" t="s">
        <v>292</v>
      </c>
      <c r="F207" t="s">
        <v>2</v>
      </c>
      <c r="G207" t="s">
        <v>38</v>
      </c>
      <c r="H207" t="s">
        <v>39</v>
      </c>
      <c r="I207" s="5" t="s">
        <v>294</v>
      </c>
      <c r="J207" s="5" t="s">
        <v>2</v>
      </c>
      <c r="K207" s="5" t="s">
        <v>2</v>
      </c>
      <c r="L207" s="6">
        <f>IF(I207="Cut","",IF(I207="Your call","(decide)",IF(I207="Rename",J207,IF(I207="Keep",IF(D207="",E207,D207),IF(E207="(unchanged)",D207,E207)))))</f>
      </c>
      <c r="M207" s="6">
        <f>IF(AND(I207="Cut",N207&gt;0,K207=""),"USED: say what replaces it (Note)",IF(AND(I207="Rename",J207=""),"type the new name",IF(AND(L207&lt;&gt;"",L207&lt;&gt;"(decide)",COUNTIF($L$2:$L$1680,L207)&gt;1),"SAME FINAL NAME AS ANOTHER ROW","")))</f>
      </c>
      <c r="N207" s="6">
        <v>0</v>
      </c>
      <c r="O207" s="6" t="s">
        <v>2</v>
      </c>
    </row>
    <row r="208" spans="1:15" x14ac:dyDescent="0.25">
      <c r="A208">
        <v>207</v>
      </c>
      <c r="B208" t="s">
        <v>353</v>
      </c>
      <c r="C208" t="s">
        <v>404</v>
      </c>
      <c r="D208" t="s">
        <v>405</v>
      </c>
      <c r="E208" t="s">
        <v>292</v>
      </c>
      <c r="F208" t="s">
        <v>2</v>
      </c>
      <c r="G208" t="s">
        <v>38</v>
      </c>
      <c r="H208" t="s">
        <v>39</v>
      </c>
      <c r="I208" s="5" t="s">
        <v>294</v>
      </c>
      <c r="J208" s="5" t="s">
        <v>2</v>
      </c>
      <c r="K208" s="5" t="s">
        <v>2</v>
      </c>
      <c r="L208" s="6">
        <f>IF(I208="Cut","",IF(I208="Your call","(decide)",IF(I208="Rename",J208,IF(I208="Keep",IF(D208="",E208,D208),IF(E208="(unchanged)",D208,E208)))))</f>
      </c>
      <c r="M208" s="6">
        <f>IF(AND(I208="Cut",N208&gt;0,K208=""),"USED: say what replaces it (Note)",IF(AND(I208="Rename",J208=""),"type the new name",IF(AND(L208&lt;&gt;"",L208&lt;&gt;"(decide)",COUNTIF($L$2:$L$1680,L208)&gt;1),"SAME FINAL NAME AS ANOTHER ROW","")))</f>
      </c>
      <c r="N208" s="6">
        <v>0</v>
      </c>
      <c r="O208" s="6" t="s">
        <v>2</v>
      </c>
    </row>
    <row r="209" spans="1:15" x14ac:dyDescent="0.25">
      <c r="A209">
        <v>208</v>
      </c>
      <c r="B209" t="s">
        <v>353</v>
      </c>
      <c r="C209" t="s">
        <v>404</v>
      </c>
      <c r="D209" t="s">
        <v>406</v>
      </c>
      <c r="E209" t="s">
        <v>292</v>
      </c>
      <c r="F209" t="s">
        <v>2</v>
      </c>
      <c r="G209" t="s">
        <v>38</v>
      </c>
      <c r="H209" t="s">
        <v>39</v>
      </c>
      <c r="I209" s="5" t="s">
        <v>294</v>
      </c>
      <c r="J209" s="5" t="s">
        <v>2</v>
      </c>
      <c r="K209" s="5" t="s">
        <v>2</v>
      </c>
      <c r="L209" s="6">
        <f>IF(I209="Cut","",IF(I209="Your call","(decide)",IF(I209="Rename",J209,IF(I209="Keep",IF(D209="",E209,D209),IF(E209="(unchanged)",D209,E209)))))</f>
      </c>
      <c r="M209" s="6">
        <f>IF(AND(I209="Cut",N209&gt;0,K209=""),"USED: say what replaces it (Note)",IF(AND(I209="Rename",J209=""),"type the new name",IF(AND(L209&lt;&gt;"",L209&lt;&gt;"(decide)",COUNTIF($L$2:$L$1680,L209)&gt;1),"SAME FINAL NAME AS ANOTHER ROW","")))</f>
      </c>
      <c r="N209" s="6">
        <v>0</v>
      </c>
      <c r="O209" s="6" t="s">
        <v>2</v>
      </c>
    </row>
    <row r="210" spans="1:15" x14ac:dyDescent="0.25">
      <c r="A210">
        <v>209</v>
      </c>
      <c r="B210" t="s">
        <v>353</v>
      </c>
      <c r="C210" t="s">
        <v>404</v>
      </c>
      <c r="D210" t="s">
        <v>407</v>
      </c>
      <c r="E210" t="s">
        <v>292</v>
      </c>
      <c r="F210" t="s">
        <v>2</v>
      </c>
      <c r="G210" t="s">
        <v>38</v>
      </c>
      <c r="H210" t="s">
        <v>39</v>
      </c>
      <c r="I210" s="5" t="s">
        <v>294</v>
      </c>
      <c r="J210" s="5" t="s">
        <v>2</v>
      </c>
      <c r="K210" s="5" t="s">
        <v>2</v>
      </c>
      <c r="L210" s="6">
        <f>IF(I210="Cut","",IF(I210="Your call","(decide)",IF(I210="Rename",J210,IF(I210="Keep",IF(D210="",E210,D210),IF(E210="(unchanged)",D210,E210)))))</f>
      </c>
      <c r="M210" s="6">
        <f>IF(AND(I210="Cut",N210&gt;0,K210=""),"USED: say what replaces it (Note)",IF(AND(I210="Rename",J210=""),"type the new name",IF(AND(L210&lt;&gt;"",L210&lt;&gt;"(decide)",COUNTIF($L$2:$L$1680,L210)&gt;1),"SAME FINAL NAME AS ANOTHER ROW","")))</f>
      </c>
      <c r="N210" s="6">
        <v>0</v>
      </c>
      <c r="O210" s="6" t="s">
        <v>2</v>
      </c>
    </row>
    <row r="211" spans="1:15" x14ac:dyDescent="0.25">
      <c r="A211">
        <v>210</v>
      </c>
      <c r="B211" t="s">
        <v>353</v>
      </c>
      <c r="C211" t="s">
        <v>404</v>
      </c>
      <c r="D211" t="s">
        <v>408</v>
      </c>
      <c r="E211" t="s">
        <v>292</v>
      </c>
      <c r="F211" t="s">
        <v>2</v>
      </c>
      <c r="G211" t="s">
        <v>38</v>
      </c>
      <c r="H211" t="s">
        <v>39</v>
      </c>
      <c r="I211" s="5" t="s">
        <v>294</v>
      </c>
      <c r="J211" s="5" t="s">
        <v>2</v>
      </c>
      <c r="K211" s="5" t="s">
        <v>2</v>
      </c>
      <c r="L211" s="6">
        <f>IF(I211="Cut","",IF(I211="Your call","(decide)",IF(I211="Rename",J211,IF(I211="Keep",IF(D211="",E211,D211),IF(E211="(unchanged)",D211,E211)))))</f>
      </c>
      <c r="M211" s="6">
        <f>IF(AND(I211="Cut",N211&gt;0,K211=""),"USED: say what replaces it (Note)",IF(AND(I211="Rename",J211=""),"type the new name",IF(AND(L211&lt;&gt;"",L211&lt;&gt;"(decide)",COUNTIF($L$2:$L$1680,L211)&gt;1),"SAME FINAL NAME AS ANOTHER ROW","")))</f>
      </c>
      <c r="N211" s="6">
        <v>0</v>
      </c>
      <c r="O211" s="6" t="s">
        <v>2</v>
      </c>
    </row>
    <row r="212" spans="1:15" x14ac:dyDescent="0.25">
      <c r="A212">
        <v>211</v>
      </c>
      <c r="B212" t="s">
        <v>353</v>
      </c>
      <c r="C212" t="s">
        <v>404</v>
      </c>
      <c r="D212" t="s">
        <v>409</v>
      </c>
      <c r="E212" t="s">
        <v>292</v>
      </c>
      <c r="F212" t="s">
        <v>2</v>
      </c>
      <c r="G212" t="s">
        <v>38</v>
      </c>
      <c r="H212" t="s">
        <v>39</v>
      </c>
      <c r="I212" s="5" t="s">
        <v>294</v>
      </c>
      <c r="J212" s="5" t="s">
        <v>2</v>
      </c>
      <c r="K212" s="5" t="s">
        <v>2</v>
      </c>
      <c r="L212" s="6">
        <f>IF(I212="Cut","",IF(I212="Your call","(decide)",IF(I212="Rename",J212,IF(I212="Keep",IF(D212="",E212,D212),IF(E212="(unchanged)",D212,E212)))))</f>
      </c>
      <c r="M212" s="6">
        <f>IF(AND(I212="Cut",N212&gt;0,K212=""),"USED: say what replaces it (Note)",IF(AND(I212="Rename",J212=""),"type the new name",IF(AND(L212&lt;&gt;"",L212&lt;&gt;"(decide)",COUNTIF($L$2:$L$1680,L212)&gt;1),"SAME FINAL NAME AS ANOTHER ROW","")))</f>
      </c>
      <c r="N212" s="6">
        <v>0</v>
      </c>
      <c r="O212" s="6" t="s">
        <v>2</v>
      </c>
    </row>
    <row r="213" spans="1:15" x14ac:dyDescent="0.25">
      <c r="A213">
        <v>212</v>
      </c>
      <c r="B213" t="s">
        <v>353</v>
      </c>
      <c r="C213" t="s">
        <v>404</v>
      </c>
      <c r="D213" t="s">
        <v>410</v>
      </c>
      <c r="E213" t="s">
        <v>292</v>
      </c>
      <c r="F213" t="s">
        <v>2</v>
      </c>
      <c r="G213" t="s">
        <v>38</v>
      </c>
      <c r="H213" t="s">
        <v>39</v>
      </c>
      <c r="I213" s="5" t="s">
        <v>294</v>
      </c>
      <c r="J213" s="5" t="s">
        <v>2</v>
      </c>
      <c r="K213" s="5" t="s">
        <v>2</v>
      </c>
      <c r="L213" s="6">
        <f>IF(I213="Cut","",IF(I213="Your call","(decide)",IF(I213="Rename",J213,IF(I213="Keep",IF(D213="",E213,D213),IF(E213="(unchanged)",D213,E213)))))</f>
      </c>
      <c r="M213" s="6">
        <f>IF(AND(I213="Cut",N213&gt;0,K213=""),"USED: say what replaces it (Note)",IF(AND(I213="Rename",J213=""),"type the new name",IF(AND(L213&lt;&gt;"",L213&lt;&gt;"(decide)",COUNTIF($L$2:$L$1680,L213)&gt;1),"SAME FINAL NAME AS ANOTHER ROW","")))</f>
      </c>
      <c r="N213" s="6">
        <v>0</v>
      </c>
      <c r="O213" s="6" t="s">
        <v>2</v>
      </c>
    </row>
    <row r="214" spans="1:15" x14ac:dyDescent="0.25">
      <c r="A214">
        <v>213</v>
      </c>
      <c r="B214" t="s">
        <v>353</v>
      </c>
      <c r="C214" t="s">
        <v>404</v>
      </c>
      <c r="D214" t="s">
        <v>411</v>
      </c>
      <c r="E214" t="s">
        <v>292</v>
      </c>
      <c r="F214" t="s">
        <v>2</v>
      </c>
      <c r="G214" t="s">
        <v>38</v>
      </c>
      <c r="H214" t="s">
        <v>39</v>
      </c>
      <c r="I214" s="5" t="s">
        <v>294</v>
      </c>
      <c r="J214" s="5" t="s">
        <v>2</v>
      </c>
      <c r="K214" s="5" t="s">
        <v>2</v>
      </c>
      <c r="L214" s="6">
        <f>IF(I214="Cut","",IF(I214="Your call","(decide)",IF(I214="Rename",J214,IF(I214="Keep",IF(D214="",E214,D214),IF(E214="(unchanged)",D214,E214)))))</f>
      </c>
      <c r="M214" s="6">
        <f>IF(AND(I214="Cut",N214&gt;0,K214=""),"USED: say what replaces it (Note)",IF(AND(I214="Rename",J214=""),"type the new name",IF(AND(L214&lt;&gt;"",L214&lt;&gt;"(decide)",COUNTIF($L$2:$L$1680,L214)&gt;1),"SAME FINAL NAME AS ANOTHER ROW","")))</f>
      </c>
      <c r="N214" s="6">
        <v>0</v>
      </c>
      <c r="O214" s="6" t="s">
        <v>2</v>
      </c>
    </row>
    <row r="215" spans="1:15" x14ac:dyDescent="0.25">
      <c r="A215">
        <v>214</v>
      </c>
      <c r="B215" t="s">
        <v>353</v>
      </c>
      <c r="C215" t="s">
        <v>404</v>
      </c>
      <c r="D215" t="s">
        <v>412</v>
      </c>
      <c r="E215" t="s">
        <v>292</v>
      </c>
      <c r="F215" t="s">
        <v>2</v>
      </c>
      <c r="G215" t="s">
        <v>38</v>
      </c>
      <c r="H215" t="s">
        <v>39</v>
      </c>
      <c r="I215" s="5" t="s">
        <v>294</v>
      </c>
      <c r="J215" s="5" t="s">
        <v>2</v>
      </c>
      <c r="K215" s="5" t="s">
        <v>2</v>
      </c>
      <c r="L215" s="6">
        <f>IF(I215="Cut","",IF(I215="Your call","(decide)",IF(I215="Rename",J215,IF(I215="Keep",IF(D215="",E215,D215),IF(E215="(unchanged)",D215,E215)))))</f>
      </c>
      <c r="M215" s="6">
        <f>IF(AND(I215="Cut",N215&gt;0,K215=""),"USED: say what replaces it (Note)",IF(AND(I215="Rename",J215=""),"type the new name",IF(AND(L215&lt;&gt;"",L215&lt;&gt;"(decide)",COUNTIF($L$2:$L$1680,L215)&gt;1),"SAME FINAL NAME AS ANOTHER ROW","")))</f>
      </c>
      <c r="N215" s="6">
        <v>0</v>
      </c>
      <c r="O215" s="6" t="s">
        <v>2</v>
      </c>
    </row>
    <row r="216" spans="1:15" x14ac:dyDescent="0.25">
      <c r="A216">
        <v>215</v>
      </c>
      <c r="B216" t="s">
        <v>353</v>
      </c>
      <c r="C216" t="s">
        <v>404</v>
      </c>
      <c r="D216" t="s">
        <v>413</v>
      </c>
      <c r="E216" t="s">
        <v>292</v>
      </c>
      <c r="F216" t="s">
        <v>2</v>
      </c>
      <c r="G216" t="s">
        <v>38</v>
      </c>
      <c r="H216" t="s">
        <v>39</v>
      </c>
      <c r="I216" s="5" t="s">
        <v>294</v>
      </c>
      <c r="J216" s="5" t="s">
        <v>2</v>
      </c>
      <c r="K216" s="5" t="s">
        <v>2</v>
      </c>
      <c r="L216" s="6">
        <f>IF(I216="Cut","",IF(I216="Your call","(decide)",IF(I216="Rename",J216,IF(I216="Keep",IF(D216="",E216,D216),IF(E216="(unchanged)",D216,E216)))))</f>
      </c>
      <c r="M216" s="6">
        <f>IF(AND(I216="Cut",N216&gt;0,K216=""),"USED: say what replaces it (Note)",IF(AND(I216="Rename",J216=""),"type the new name",IF(AND(L216&lt;&gt;"",L216&lt;&gt;"(decide)",COUNTIF($L$2:$L$1680,L216)&gt;1),"SAME FINAL NAME AS ANOTHER ROW","")))</f>
      </c>
      <c r="N216" s="6">
        <v>0</v>
      </c>
      <c r="O216" s="6" t="s">
        <v>2</v>
      </c>
    </row>
    <row r="217" spans="1:15" x14ac:dyDescent="0.25">
      <c r="A217">
        <v>216</v>
      </c>
      <c r="B217" t="s">
        <v>353</v>
      </c>
      <c r="C217" t="s">
        <v>414</v>
      </c>
      <c r="D217" t="s">
        <v>415</v>
      </c>
      <c r="E217" t="s">
        <v>292</v>
      </c>
      <c r="F217" t="s">
        <v>2</v>
      </c>
      <c r="G217" t="s">
        <v>38</v>
      </c>
      <c r="H217" t="s">
        <v>39</v>
      </c>
      <c r="I217" s="5" t="s">
        <v>294</v>
      </c>
      <c r="J217" s="5" t="s">
        <v>2</v>
      </c>
      <c r="K217" s="5" t="s">
        <v>2</v>
      </c>
      <c r="L217" s="6">
        <f>IF(I217="Cut","",IF(I217="Your call","(decide)",IF(I217="Rename",J217,IF(I217="Keep",IF(D217="",E217,D217),IF(E217="(unchanged)",D217,E217)))))</f>
      </c>
      <c r="M217" s="6">
        <f>IF(AND(I217="Cut",N217&gt;0,K217=""),"USED: say what replaces it (Note)",IF(AND(I217="Rename",J217=""),"type the new name",IF(AND(L217&lt;&gt;"",L217&lt;&gt;"(decide)",COUNTIF($L$2:$L$1680,L217)&gt;1),"SAME FINAL NAME AS ANOTHER ROW","")))</f>
      </c>
      <c r="N217" s="6">
        <v>0</v>
      </c>
      <c r="O217" s="6" t="s">
        <v>2</v>
      </c>
    </row>
    <row r="218" spans="1:15" x14ac:dyDescent="0.25">
      <c r="A218">
        <v>217</v>
      </c>
      <c r="B218" t="s">
        <v>353</v>
      </c>
      <c r="C218" t="s">
        <v>414</v>
      </c>
      <c r="D218" t="s">
        <v>416</v>
      </c>
      <c r="E218" t="s">
        <v>292</v>
      </c>
      <c r="F218" t="s">
        <v>2</v>
      </c>
      <c r="G218" t="s">
        <v>38</v>
      </c>
      <c r="H218" t="s">
        <v>39</v>
      </c>
      <c r="I218" s="5" t="s">
        <v>294</v>
      </c>
      <c r="J218" s="5" t="s">
        <v>2</v>
      </c>
      <c r="K218" s="5" t="s">
        <v>2</v>
      </c>
      <c r="L218" s="6">
        <f>IF(I218="Cut","",IF(I218="Your call","(decide)",IF(I218="Rename",J218,IF(I218="Keep",IF(D218="",E218,D218),IF(E218="(unchanged)",D218,E218)))))</f>
      </c>
      <c r="M218" s="6">
        <f>IF(AND(I218="Cut",N218&gt;0,K218=""),"USED: say what replaces it (Note)",IF(AND(I218="Rename",J218=""),"type the new name",IF(AND(L218&lt;&gt;"",L218&lt;&gt;"(decide)",COUNTIF($L$2:$L$1680,L218)&gt;1),"SAME FINAL NAME AS ANOTHER ROW","")))</f>
      </c>
      <c r="N218" s="6">
        <v>0</v>
      </c>
      <c r="O218" s="6" t="s">
        <v>2</v>
      </c>
    </row>
    <row r="219" spans="1:15" x14ac:dyDescent="0.25">
      <c r="A219">
        <v>218</v>
      </c>
      <c r="B219" t="s">
        <v>353</v>
      </c>
      <c r="C219" t="s">
        <v>414</v>
      </c>
      <c r="D219" t="s">
        <v>417</v>
      </c>
      <c r="E219" t="s">
        <v>292</v>
      </c>
      <c r="F219" t="s">
        <v>2</v>
      </c>
      <c r="G219" t="s">
        <v>38</v>
      </c>
      <c r="H219" t="s">
        <v>39</v>
      </c>
      <c r="I219" s="5" t="s">
        <v>294</v>
      </c>
      <c r="J219" s="5" t="s">
        <v>2</v>
      </c>
      <c r="K219" s="5" t="s">
        <v>2</v>
      </c>
      <c r="L219" s="6">
        <f>IF(I219="Cut","",IF(I219="Your call","(decide)",IF(I219="Rename",J219,IF(I219="Keep",IF(D219="",E219,D219),IF(E219="(unchanged)",D219,E219)))))</f>
      </c>
      <c r="M219" s="6">
        <f>IF(AND(I219="Cut",N219&gt;0,K219=""),"USED: say what replaces it (Note)",IF(AND(I219="Rename",J219=""),"type the new name",IF(AND(L219&lt;&gt;"",L219&lt;&gt;"(decide)",COUNTIF($L$2:$L$1680,L219)&gt;1),"SAME FINAL NAME AS ANOTHER ROW","")))</f>
      </c>
      <c r="N219" s="6">
        <v>0</v>
      </c>
      <c r="O219" s="6" t="s">
        <v>2</v>
      </c>
    </row>
    <row r="220" spans="1:15" x14ac:dyDescent="0.25">
      <c r="A220">
        <v>219</v>
      </c>
      <c r="B220" t="s">
        <v>353</v>
      </c>
      <c r="C220" t="s">
        <v>414</v>
      </c>
      <c r="D220" t="s">
        <v>418</v>
      </c>
      <c r="E220" t="s">
        <v>292</v>
      </c>
      <c r="F220" t="s">
        <v>2</v>
      </c>
      <c r="G220" t="s">
        <v>38</v>
      </c>
      <c r="H220" t="s">
        <v>39</v>
      </c>
      <c r="I220" s="5" t="s">
        <v>294</v>
      </c>
      <c r="J220" s="5" t="s">
        <v>2</v>
      </c>
      <c r="K220" s="5" t="s">
        <v>2</v>
      </c>
      <c r="L220" s="6">
        <f>IF(I220="Cut","",IF(I220="Your call","(decide)",IF(I220="Rename",J220,IF(I220="Keep",IF(D220="",E220,D220),IF(E220="(unchanged)",D220,E220)))))</f>
      </c>
      <c r="M220" s="6">
        <f>IF(AND(I220="Cut",N220&gt;0,K220=""),"USED: say what replaces it (Note)",IF(AND(I220="Rename",J220=""),"type the new name",IF(AND(L220&lt;&gt;"",L220&lt;&gt;"(decide)",COUNTIF($L$2:$L$1680,L220)&gt;1),"SAME FINAL NAME AS ANOTHER ROW","")))</f>
      </c>
      <c r="N220" s="6">
        <v>0</v>
      </c>
      <c r="O220" s="6" t="s">
        <v>2</v>
      </c>
    </row>
    <row r="221" spans="1:15" x14ac:dyDescent="0.25">
      <c r="A221">
        <v>220</v>
      </c>
      <c r="B221" t="s">
        <v>353</v>
      </c>
      <c r="C221" t="s">
        <v>414</v>
      </c>
      <c r="D221" t="s">
        <v>419</v>
      </c>
      <c r="E221" t="s">
        <v>292</v>
      </c>
      <c r="F221" t="s">
        <v>2</v>
      </c>
      <c r="G221" t="s">
        <v>38</v>
      </c>
      <c r="H221" t="s">
        <v>39</v>
      </c>
      <c r="I221" s="5" t="s">
        <v>294</v>
      </c>
      <c r="J221" s="5" t="s">
        <v>2</v>
      </c>
      <c r="K221" s="5" t="s">
        <v>2</v>
      </c>
      <c r="L221" s="6">
        <f>IF(I221="Cut","",IF(I221="Your call","(decide)",IF(I221="Rename",J221,IF(I221="Keep",IF(D221="",E221,D221),IF(E221="(unchanged)",D221,E221)))))</f>
      </c>
      <c r="M221" s="6">
        <f>IF(AND(I221="Cut",N221&gt;0,K221=""),"USED: say what replaces it (Note)",IF(AND(I221="Rename",J221=""),"type the new name",IF(AND(L221&lt;&gt;"",L221&lt;&gt;"(decide)",COUNTIF($L$2:$L$1680,L221)&gt;1),"SAME FINAL NAME AS ANOTHER ROW","")))</f>
      </c>
      <c r="N221" s="6">
        <v>0</v>
      </c>
      <c r="O221" s="6" t="s">
        <v>2</v>
      </c>
    </row>
    <row r="222" spans="1:15" x14ac:dyDescent="0.25">
      <c r="A222">
        <v>221</v>
      </c>
      <c r="B222" t="s">
        <v>353</v>
      </c>
      <c r="C222" t="s">
        <v>414</v>
      </c>
      <c r="D222" t="s">
        <v>420</v>
      </c>
      <c r="E222" t="s">
        <v>292</v>
      </c>
      <c r="F222" t="s">
        <v>2</v>
      </c>
      <c r="G222" t="s">
        <v>38</v>
      </c>
      <c r="H222" t="s">
        <v>39</v>
      </c>
      <c r="I222" s="5" t="s">
        <v>294</v>
      </c>
      <c r="J222" s="5" t="s">
        <v>2</v>
      </c>
      <c r="K222" s="5" t="s">
        <v>2</v>
      </c>
      <c r="L222" s="6">
        <f>IF(I222="Cut","",IF(I222="Your call","(decide)",IF(I222="Rename",J222,IF(I222="Keep",IF(D222="",E222,D222),IF(E222="(unchanged)",D222,E222)))))</f>
      </c>
      <c r="M222" s="6">
        <f>IF(AND(I222="Cut",N222&gt;0,K222=""),"USED: say what replaces it (Note)",IF(AND(I222="Rename",J222=""),"type the new name",IF(AND(L222&lt;&gt;"",L222&lt;&gt;"(decide)",COUNTIF($L$2:$L$1680,L222)&gt;1),"SAME FINAL NAME AS ANOTHER ROW","")))</f>
      </c>
      <c r="N222" s="6">
        <v>0</v>
      </c>
      <c r="O222" s="6" t="s">
        <v>2</v>
      </c>
    </row>
    <row r="223" spans="1:15" x14ac:dyDescent="0.25">
      <c r="A223">
        <v>222</v>
      </c>
      <c r="B223" t="s">
        <v>353</v>
      </c>
      <c r="C223" t="s">
        <v>414</v>
      </c>
      <c r="D223" t="s">
        <v>421</v>
      </c>
      <c r="E223" t="s">
        <v>292</v>
      </c>
      <c r="F223" t="s">
        <v>2</v>
      </c>
      <c r="G223" t="s">
        <v>38</v>
      </c>
      <c r="H223" t="s">
        <v>39</v>
      </c>
      <c r="I223" s="5" t="s">
        <v>294</v>
      </c>
      <c r="J223" s="5" t="s">
        <v>2</v>
      </c>
      <c r="K223" s="5" t="s">
        <v>2</v>
      </c>
      <c r="L223" s="6">
        <f>IF(I223="Cut","",IF(I223="Your call","(decide)",IF(I223="Rename",J223,IF(I223="Keep",IF(D223="",E223,D223),IF(E223="(unchanged)",D223,E223)))))</f>
      </c>
      <c r="M223" s="6">
        <f>IF(AND(I223="Cut",N223&gt;0,K223=""),"USED: say what replaces it (Note)",IF(AND(I223="Rename",J223=""),"type the new name",IF(AND(L223&lt;&gt;"",L223&lt;&gt;"(decide)",COUNTIF($L$2:$L$1680,L223)&gt;1),"SAME FINAL NAME AS ANOTHER ROW","")))</f>
      </c>
      <c r="N223" s="6">
        <v>0</v>
      </c>
      <c r="O223" s="6" t="s">
        <v>2</v>
      </c>
    </row>
    <row r="224" spans="1:15" x14ac:dyDescent="0.25">
      <c r="A224">
        <v>223</v>
      </c>
      <c r="B224" t="s">
        <v>353</v>
      </c>
      <c r="C224" t="s">
        <v>414</v>
      </c>
      <c r="D224" t="s">
        <v>422</v>
      </c>
      <c r="E224" t="s">
        <v>292</v>
      </c>
      <c r="F224" t="s">
        <v>2</v>
      </c>
      <c r="G224" t="s">
        <v>38</v>
      </c>
      <c r="H224" t="s">
        <v>39</v>
      </c>
      <c r="I224" s="5" t="s">
        <v>294</v>
      </c>
      <c r="J224" s="5" t="s">
        <v>2</v>
      </c>
      <c r="K224" s="5" t="s">
        <v>2</v>
      </c>
      <c r="L224" s="6">
        <f>IF(I224="Cut","",IF(I224="Your call","(decide)",IF(I224="Rename",J224,IF(I224="Keep",IF(D224="",E224,D224),IF(E224="(unchanged)",D224,E224)))))</f>
      </c>
      <c r="M224" s="6">
        <f>IF(AND(I224="Cut",N224&gt;0,K224=""),"USED: say what replaces it (Note)",IF(AND(I224="Rename",J224=""),"type the new name",IF(AND(L224&lt;&gt;"",L224&lt;&gt;"(decide)",COUNTIF($L$2:$L$1680,L224)&gt;1),"SAME FINAL NAME AS ANOTHER ROW","")))</f>
      </c>
      <c r="N224" s="6">
        <v>0</v>
      </c>
      <c r="O224" s="6" t="s">
        <v>2</v>
      </c>
    </row>
    <row r="225" spans="1:15" x14ac:dyDescent="0.25">
      <c r="A225">
        <v>224</v>
      </c>
      <c r="B225" t="s">
        <v>353</v>
      </c>
      <c r="C225" t="s">
        <v>414</v>
      </c>
      <c r="D225" t="s">
        <v>423</v>
      </c>
      <c r="E225" t="s">
        <v>292</v>
      </c>
      <c r="F225" t="s">
        <v>2</v>
      </c>
      <c r="G225" t="s">
        <v>38</v>
      </c>
      <c r="H225" t="s">
        <v>39</v>
      </c>
      <c r="I225" s="5" t="s">
        <v>294</v>
      </c>
      <c r="J225" s="5" t="s">
        <v>2</v>
      </c>
      <c r="K225" s="5" t="s">
        <v>2</v>
      </c>
      <c r="L225" s="6">
        <f>IF(I225="Cut","",IF(I225="Your call","(decide)",IF(I225="Rename",J225,IF(I225="Keep",IF(D225="",E225,D225),IF(E225="(unchanged)",D225,E225)))))</f>
      </c>
      <c r="M225" s="6">
        <f>IF(AND(I225="Cut",N225&gt;0,K225=""),"USED: say what replaces it (Note)",IF(AND(I225="Rename",J225=""),"type the new name",IF(AND(L225&lt;&gt;"",L225&lt;&gt;"(decide)",COUNTIF($L$2:$L$1680,L225)&gt;1),"SAME FINAL NAME AS ANOTHER ROW","")))</f>
      </c>
      <c r="N225" s="6">
        <v>0</v>
      </c>
      <c r="O225" s="6" t="s">
        <v>2</v>
      </c>
    </row>
    <row r="226" spans="1:15" x14ac:dyDescent="0.25">
      <c r="A226">
        <v>225</v>
      </c>
      <c r="B226" t="s">
        <v>353</v>
      </c>
      <c r="C226" t="s">
        <v>424</v>
      </c>
      <c r="D226" t="s">
        <v>425</v>
      </c>
      <c r="E226" t="s">
        <v>292</v>
      </c>
      <c r="F226" t="s">
        <v>2</v>
      </c>
      <c r="G226" t="s">
        <v>38</v>
      </c>
      <c r="H226" t="s">
        <v>39</v>
      </c>
      <c r="I226" s="5" t="s">
        <v>294</v>
      </c>
      <c r="J226" s="5" t="s">
        <v>2</v>
      </c>
      <c r="K226" s="5" t="s">
        <v>2</v>
      </c>
      <c r="L226" s="6">
        <f>IF(I226="Cut","",IF(I226="Your call","(decide)",IF(I226="Rename",J226,IF(I226="Keep",IF(D226="",E226,D226),IF(E226="(unchanged)",D226,E226)))))</f>
      </c>
      <c r="M226" s="6">
        <f>IF(AND(I226="Cut",N226&gt;0,K226=""),"USED: say what replaces it (Note)",IF(AND(I226="Rename",J226=""),"type the new name",IF(AND(L226&lt;&gt;"",L226&lt;&gt;"(decide)",COUNTIF($L$2:$L$1680,L226)&gt;1),"SAME FINAL NAME AS ANOTHER ROW","")))</f>
      </c>
      <c r="N226" s="6">
        <v>0</v>
      </c>
      <c r="O226" s="6" t="s">
        <v>2</v>
      </c>
    </row>
    <row r="227" spans="1:15" x14ac:dyDescent="0.25">
      <c r="A227">
        <v>226</v>
      </c>
      <c r="B227" t="s">
        <v>353</v>
      </c>
      <c r="C227" t="s">
        <v>424</v>
      </c>
      <c r="D227" t="s">
        <v>426</v>
      </c>
      <c r="E227" t="s">
        <v>292</v>
      </c>
      <c r="F227" t="s">
        <v>2</v>
      </c>
      <c r="G227" t="s">
        <v>38</v>
      </c>
      <c r="H227" t="s">
        <v>39</v>
      </c>
      <c r="I227" s="5" t="s">
        <v>294</v>
      </c>
      <c r="J227" s="5" t="s">
        <v>2</v>
      </c>
      <c r="K227" s="5" t="s">
        <v>2</v>
      </c>
      <c r="L227" s="6">
        <f>IF(I227="Cut","",IF(I227="Your call","(decide)",IF(I227="Rename",J227,IF(I227="Keep",IF(D227="",E227,D227),IF(E227="(unchanged)",D227,E227)))))</f>
      </c>
      <c r="M227" s="6">
        <f>IF(AND(I227="Cut",N227&gt;0,K227=""),"USED: say what replaces it (Note)",IF(AND(I227="Rename",J227=""),"type the new name",IF(AND(L227&lt;&gt;"",L227&lt;&gt;"(decide)",COUNTIF($L$2:$L$1680,L227)&gt;1),"SAME FINAL NAME AS ANOTHER ROW","")))</f>
      </c>
      <c r="N227" s="6">
        <v>0</v>
      </c>
      <c r="O227" s="6" t="s">
        <v>2</v>
      </c>
    </row>
    <row r="228" spans="1:15" x14ac:dyDescent="0.25">
      <c r="A228">
        <v>227</v>
      </c>
      <c r="B228" t="s">
        <v>353</v>
      </c>
      <c r="C228" t="s">
        <v>424</v>
      </c>
      <c r="D228" t="s">
        <v>427</v>
      </c>
      <c r="E228" t="s">
        <v>292</v>
      </c>
      <c r="F228" t="s">
        <v>2</v>
      </c>
      <c r="G228" t="s">
        <v>38</v>
      </c>
      <c r="H228" t="s">
        <v>39</v>
      </c>
      <c r="I228" s="5" t="s">
        <v>294</v>
      </c>
      <c r="J228" s="5" t="s">
        <v>2</v>
      </c>
      <c r="K228" s="5" t="s">
        <v>2</v>
      </c>
      <c r="L228" s="6">
        <f>IF(I228="Cut","",IF(I228="Your call","(decide)",IF(I228="Rename",J228,IF(I228="Keep",IF(D228="",E228,D228),IF(E228="(unchanged)",D228,E228)))))</f>
      </c>
      <c r="M228" s="6">
        <f>IF(AND(I228="Cut",N228&gt;0,K228=""),"USED: say what replaces it (Note)",IF(AND(I228="Rename",J228=""),"type the new name",IF(AND(L228&lt;&gt;"",L228&lt;&gt;"(decide)",COUNTIF($L$2:$L$1680,L228)&gt;1),"SAME FINAL NAME AS ANOTHER ROW","")))</f>
      </c>
      <c r="N228" s="6">
        <v>0</v>
      </c>
      <c r="O228" s="6" t="s">
        <v>2</v>
      </c>
    </row>
    <row r="229" spans="1:15" x14ac:dyDescent="0.25">
      <c r="A229">
        <v>228</v>
      </c>
      <c r="B229" t="s">
        <v>353</v>
      </c>
      <c r="C229" t="s">
        <v>424</v>
      </c>
      <c r="D229" t="s">
        <v>428</v>
      </c>
      <c r="E229" t="s">
        <v>292</v>
      </c>
      <c r="F229" t="s">
        <v>2</v>
      </c>
      <c r="G229" t="s">
        <v>38</v>
      </c>
      <c r="H229" t="s">
        <v>39</v>
      </c>
      <c r="I229" s="5" t="s">
        <v>294</v>
      </c>
      <c r="J229" s="5" t="s">
        <v>2</v>
      </c>
      <c r="K229" s="5" t="s">
        <v>2</v>
      </c>
      <c r="L229" s="6">
        <f>IF(I229="Cut","",IF(I229="Your call","(decide)",IF(I229="Rename",J229,IF(I229="Keep",IF(D229="",E229,D229),IF(E229="(unchanged)",D229,E229)))))</f>
      </c>
      <c r="M229" s="6">
        <f>IF(AND(I229="Cut",N229&gt;0,K229=""),"USED: say what replaces it (Note)",IF(AND(I229="Rename",J229=""),"type the new name",IF(AND(L229&lt;&gt;"",L229&lt;&gt;"(decide)",COUNTIF($L$2:$L$1680,L229)&gt;1),"SAME FINAL NAME AS ANOTHER ROW","")))</f>
      </c>
      <c r="N229" s="6">
        <v>0</v>
      </c>
      <c r="O229" s="6" t="s">
        <v>2</v>
      </c>
    </row>
    <row r="230" spans="1:15" x14ac:dyDescent="0.25">
      <c r="A230">
        <v>229</v>
      </c>
      <c r="B230" t="s">
        <v>353</v>
      </c>
      <c r="C230" t="s">
        <v>424</v>
      </c>
      <c r="D230" t="s">
        <v>429</v>
      </c>
      <c r="E230" t="s">
        <v>292</v>
      </c>
      <c r="F230" t="s">
        <v>2</v>
      </c>
      <c r="G230" t="s">
        <v>38</v>
      </c>
      <c r="H230" t="s">
        <v>39</v>
      </c>
      <c r="I230" s="5" t="s">
        <v>294</v>
      </c>
      <c r="J230" s="5" t="s">
        <v>2</v>
      </c>
      <c r="K230" s="5" t="s">
        <v>2</v>
      </c>
      <c r="L230" s="6">
        <f>IF(I230="Cut","",IF(I230="Your call","(decide)",IF(I230="Rename",J230,IF(I230="Keep",IF(D230="",E230,D230),IF(E230="(unchanged)",D230,E230)))))</f>
      </c>
      <c r="M230" s="6">
        <f>IF(AND(I230="Cut",N230&gt;0,K230=""),"USED: say what replaces it (Note)",IF(AND(I230="Rename",J230=""),"type the new name",IF(AND(L230&lt;&gt;"",L230&lt;&gt;"(decide)",COUNTIF($L$2:$L$1680,L230)&gt;1),"SAME FINAL NAME AS ANOTHER ROW","")))</f>
      </c>
      <c r="N230" s="6">
        <v>0</v>
      </c>
      <c r="O230" s="6" t="s">
        <v>2</v>
      </c>
    </row>
    <row r="231" spans="1:15" x14ac:dyDescent="0.25">
      <c r="A231">
        <v>230</v>
      </c>
      <c r="B231" t="s">
        <v>353</v>
      </c>
      <c r="C231" t="s">
        <v>424</v>
      </c>
      <c r="D231" t="s">
        <v>430</v>
      </c>
      <c r="E231" t="s">
        <v>292</v>
      </c>
      <c r="F231" t="s">
        <v>2</v>
      </c>
      <c r="G231" t="s">
        <v>38</v>
      </c>
      <c r="H231" t="s">
        <v>39</v>
      </c>
      <c r="I231" s="5" t="s">
        <v>294</v>
      </c>
      <c r="J231" s="5" t="s">
        <v>2</v>
      </c>
      <c r="K231" s="5" t="s">
        <v>2</v>
      </c>
      <c r="L231" s="6">
        <f>IF(I231="Cut","",IF(I231="Your call","(decide)",IF(I231="Rename",J231,IF(I231="Keep",IF(D231="",E231,D231),IF(E231="(unchanged)",D231,E231)))))</f>
      </c>
      <c r="M231" s="6">
        <f>IF(AND(I231="Cut",N231&gt;0,K231=""),"USED: say what replaces it (Note)",IF(AND(I231="Rename",J231=""),"type the new name",IF(AND(L231&lt;&gt;"",L231&lt;&gt;"(decide)",COUNTIF($L$2:$L$1680,L231)&gt;1),"SAME FINAL NAME AS ANOTHER ROW","")))</f>
      </c>
      <c r="N231" s="6">
        <v>0</v>
      </c>
      <c r="O231" s="6" t="s">
        <v>2</v>
      </c>
    </row>
    <row r="232" spans="1:15" x14ac:dyDescent="0.25">
      <c r="A232">
        <v>231</v>
      </c>
      <c r="B232" t="s">
        <v>353</v>
      </c>
      <c r="C232" t="s">
        <v>424</v>
      </c>
      <c r="D232" t="s">
        <v>431</v>
      </c>
      <c r="E232" t="s">
        <v>292</v>
      </c>
      <c r="F232" t="s">
        <v>2</v>
      </c>
      <c r="G232" t="s">
        <v>38</v>
      </c>
      <c r="H232" t="s">
        <v>39</v>
      </c>
      <c r="I232" s="5" t="s">
        <v>294</v>
      </c>
      <c r="J232" s="5" t="s">
        <v>2</v>
      </c>
      <c r="K232" s="5" t="s">
        <v>2</v>
      </c>
      <c r="L232" s="6">
        <f>IF(I232="Cut","",IF(I232="Your call","(decide)",IF(I232="Rename",J232,IF(I232="Keep",IF(D232="",E232,D232),IF(E232="(unchanged)",D232,E232)))))</f>
      </c>
      <c r="M232" s="6">
        <f>IF(AND(I232="Cut",N232&gt;0,K232=""),"USED: say what replaces it (Note)",IF(AND(I232="Rename",J232=""),"type the new name",IF(AND(L232&lt;&gt;"",L232&lt;&gt;"(decide)",COUNTIF($L$2:$L$1680,L232)&gt;1),"SAME FINAL NAME AS ANOTHER ROW","")))</f>
      </c>
      <c r="N232" s="6">
        <v>0</v>
      </c>
      <c r="O232" s="6" t="s">
        <v>2</v>
      </c>
    </row>
    <row r="233" spans="1:15" x14ac:dyDescent="0.25">
      <c r="A233">
        <v>232</v>
      </c>
      <c r="B233" t="s">
        <v>353</v>
      </c>
      <c r="C233" t="s">
        <v>424</v>
      </c>
      <c r="D233" t="s">
        <v>432</v>
      </c>
      <c r="E233" t="s">
        <v>292</v>
      </c>
      <c r="F233" t="s">
        <v>2</v>
      </c>
      <c r="G233" t="s">
        <v>38</v>
      </c>
      <c r="H233" t="s">
        <v>39</v>
      </c>
      <c r="I233" s="5" t="s">
        <v>294</v>
      </c>
      <c r="J233" s="5" t="s">
        <v>2</v>
      </c>
      <c r="K233" s="5" t="s">
        <v>2</v>
      </c>
      <c r="L233" s="6">
        <f>IF(I233="Cut","",IF(I233="Your call","(decide)",IF(I233="Rename",J233,IF(I233="Keep",IF(D233="",E233,D233),IF(E233="(unchanged)",D233,E233)))))</f>
      </c>
      <c r="M233" s="6">
        <f>IF(AND(I233="Cut",N233&gt;0,K233=""),"USED: say what replaces it (Note)",IF(AND(I233="Rename",J233=""),"type the new name",IF(AND(L233&lt;&gt;"",L233&lt;&gt;"(decide)",COUNTIF($L$2:$L$1680,L233)&gt;1),"SAME FINAL NAME AS ANOTHER ROW","")))</f>
      </c>
      <c r="N233" s="6">
        <v>0</v>
      </c>
      <c r="O233" s="6" t="s">
        <v>2</v>
      </c>
    </row>
    <row r="234" spans="1:15" x14ac:dyDescent="0.25">
      <c r="A234">
        <v>233</v>
      </c>
      <c r="B234" t="s">
        <v>353</v>
      </c>
      <c r="C234" t="s">
        <v>424</v>
      </c>
      <c r="D234" t="s">
        <v>433</v>
      </c>
      <c r="E234" t="s">
        <v>292</v>
      </c>
      <c r="F234" t="s">
        <v>2</v>
      </c>
      <c r="G234" t="s">
        <v>38</v>
      </c>
      <c r="H234" t="s">
        <v>39</v>
      </c>
      <c r="I234" s="5" t="s">
        <v>294</v>
      </c>
      <c r="J234" s="5" t="s">
        <v>2</v>
      </c>
      <c r="K234" s="5" t="s">
        <v>2</v>
      </c>
      <c r="L234" s="6">
        <f>IF(I234="Cut","",IF(I234="Your call","(decide)",IF(I234="Rename",J234,IF(I234="Keep",IF(D234="",E234,D234),IF(E234="(unchanged)",D234,E234)))))</f>
      </c>
      <c r="M234" s="6">
        <f>IF(AND(I234="Cut",N234&gt;0,K234=""),"USED: say what replaces it (Note)",IF(AND(I234="Rename",J234=""),"type the new name",IF(AND(L234&lt;&gt;"",L234&lt;&gt;"(decide)",COUNTIF($L$2:$L$1680,L234)&gt;1),"SAME FINAL NAME AS ANOTHER ROW","")))</f>
      </c>
      <c r="N234" s="6">
        <v>0</v>
      </c>
      <c r="O234" s="6" t="s">
        <v>2</v>
      </c>
    </row>
    <row r="235" spans="1:15" x14ac:dyDescent="0.25">
      <c r="A235">
        <v>234</v>
      </c>
      <c r="B235" t="s">
        <v>353</v>
      </c>
      <c r="C235" t="s">
        <v>434</v>
      </c>
      <c r="D235" t="s">
        <v>435</v>
      </c>
      <c r="E235" t="s">
        <v>292</v>
      </c>
      <c r="F235" t="s">
        <v>2</v>
      </c>
      <c r="G235" t="s">
        <v>38</v>
      </c>
      <c r="H235" t="s">
        <v>39</v>
      </c>
      <c r="I235" s="5" t="s">
        <v>294</v>
      </c>
      <c r="J235" s="5" t="s">
        <v>2</v>
      </c>
      <c r="K235" s="5" t="s">
        <v>2</v>
      </c>
      <c r="L235" s="6">
        <f>IF(I235="Cut","",IF(I235="Your call","(decide)",IF(I235="Rename",J235,IF(I235="Keep",IF(D235="",E235,D235),IF(E235="(unchanged)",D235,E235)))))</f>
      </c>
      <c r="M235" s="6">
        <f>IF(AND(I235="Cut",N235&gt;0,K235=""),"USED: say what replaces it (Note)",IF(AND(I235="Rename",J235=""),"type the new name",IF(AND(L235&lt;&gt;"",L235&lt;&gt;"(decide)",COUNTIF($L$2:$L$1680,L235)&gt;1),"SAME FINAL NAME AS ANOTHER ROW","")))</f>
      </c>
      <c r="N235" s="6">
        <v>0</v>
      </c>
      <c r="O235" s="6" t="s">
        <v>2</v>
      </c>
    </row>
    <row r="236" spans="1:15" x14ac:dyDescent="0.25">
      <c r="A236">
        <v>235</v>
      </c>
      <c r="B236" t="s">
        <v>353</v>
      </c>
      <c r="C236" t="s">
        <v>434</v>
      </c>
      <c r="D236" t="s">
        <v>436</v>
      </c>
      <c r="E236" t="s">
        <v>292</v>
      </c>
      <c r="F236" t="s">
        <v>2</v>
      </c>
      <c r="G236" t="s">
        <v>38</v>
      </c>
      <c r="H236" t="s">
        <v>39</v>
      </c>
      <c r="I236" s="5" t="s">
        <v>294</v>
      </c>
      <c r="J236" s="5" t="s">
        <v>2</v>
      </c>
      <c r="K236" s="5" t="s">
        <v>2</v>
      </c>
      <c r="L236" s="6">
        <f>IF(I236="Cut","",IF(I236="Your call","(decide)",IF(I236="Rename",J236,IF(I236="Keep",IF(D236="",E236,D236),IF(E236="(unchanged)",D236,E236)))))</f>
      </c>
      <c r="M236" s="6">
        <f>IF(AND(I236="Cut",N236&gt;0,K236=""),"USED: say what replaces it (Note)",IF(AND(I236="Rename",J236=""),"type the new name",IF(AND(L236&lt;&gt;"",L236&lt;&gt;"(decide)",COUNTIF($L$2:$L$1680,L236)&gt;1),"SAME FINAL NAME AS ANOTHER ROW","")))</f>
      </c>
      <c r="N236" s="6">
        <v>0</v>
      </c>
      <c r="O236" s="6" t="s">
        <v>2</v>
      </c>
    </row>
    <row r="237" spans="1:15" x14ac:dyDescent="0.25">
      <c r="A237">
        <v>236</v>
      </c>
      <c r="B237" t="s">
        <v>353</v>
      </c>
      <c r="C237" t="s">
        <v>434</v>
      </c>
      <c r="D237" t="s">
        <v>437</v>
      </c>
      <c r="E237" t="s">
        <v>292</v>
      </c>
      <c r="F237" t="s">
        <v>2</v>
      </c>
      <c r="G237" t="s">
        <v>38</v>
      </c>
      <c r="H237" t="s">
        <v>39</v>
      </c>
      <c r="I237" s="5" t="s">
        <v>294</v>
      </c>
      <c r="J237" s="5" t="s">
        <v>2</v>
      </c>
      <c r="K237" s="5" t="s">
        <v>2</v>
      </c>
      <c r="L237" s="6">
        <f>IF(I237="Cut","",IF(I237="Your call","(decide)",IF(I237="Rename",J237,IF(I237="Keep",IF(D237="",E237,D237),IF(E237="(unchanged)",D237,E237)))))</f>
      </c>
      <c r="M237" s="6">
        <f>IF(AND(I237="Cut",N237&gt;0,K237=""),"USED: say what replaces it (Note)",IF(AND(I237="Rename",J237=""),"type the new name",IF(AND(L237&lt;&gt;"",L237&lt;&gt;"(decide)",COUNTIF($L$2:$L$1680,L237)&gt;1),"SAME FINAL NAME AS ANOTHER ROW","")))</f>
      </c>
      <c r="N237" s="6">
        <v>0</v>
      </c>
      <c r="O237" s="6" t="s">
        <v>2</v>
      </c>
    </row>
    <row r="238" spans="1:15" x14ac:dyDescent="0.25">
      <c r="A238">
        <v>237</v>
      </c>
      <c r="B238" t="s">
        <v>353</v>
      </c>
      <c r="C238" t="s">
        <v>434</v>
      </c>
      <c r="D238" t="s">
        <v>438</v>
      </c>
      <c r="E238" t="s">
        <v>292</v>
      </c>
      <c r="F238" t="s">
        <v>2</v>
      </c>
      <c r="G238" t="s">
        <v>38</v>
      </c>
      <c r="H238" t="s">
        <v>39</v>
      </c>
      <c r="I238" s="5" t="s">
        <v>294</v>
      </c>
      <c r="J238" s="5" t="s">
        <v>2</v>
      </c>
      <c r="K238" s="5" t="s">
        <v>2</v>
      </c>
      <c r="L238" s="6">
        <f>IF(I238="Cut","",IF(I238="Your call","(decide)",IF(I238="Rename",J238,IF(I238="Keep",IF(D238="",E238,D238),IF(E238="(unchanged)",D238,E238)))))</f>
      </c>
      <c r="M238" s="6">
        <f>IF(AND(I238="Cut",N238&gt;0,K238=""),"USED: say what replaces it (Note)",IF(AND(I238="Rename",J238=""),"type the new name",IF(AND(L238&lt;&gt;"",L238&lt;&gt;"(decide)",COUNTIF($L$2:$L$1680,L238)&gt;1),"SAME FINAL NAME AS ANOTHER ROW","")))</f>
      </c>
      <c r="N238" s="6">
        <v>0</v>
      </c>
      <c r="O238" s="6" t="s">
        <v>2</v>
      </c>
    </row>
    <row r="239" spans="1:15" x14ac:dyDescent="0.25">
      <c r="A239">
        <v>238</v>
      </c>
      <c r="B239" t="s">
        <v>353</v>
      </c>
      <c r="C239" t="s">
        <v>434</v>
      </c>
      <c r="D239" t="s">
        <v>439</v>
      </c>
      <c r="E239" t="s">
        <v>292</v>
      </c>
      <c r="F239" t="s">
        <v>2</v>
      </c>
      <c r="G239" t="s">
        <v>38</v>
      </c>
      <c r="H239" t="s">
        <v>39</v>
      </c>
      <c r="I239" s="5" t="s">
        <v>294</v>
      </c>
      <c r="J239" s="5" t="s">
        <v>2</v>
      </c>
      <c r="K239" s="5" t="s">
        <v>2</v>
      </c>
      <c r="L239" s="6">
        <f>IF(I239="Cut","",IF(I239="Your call","(decide)",IF(I239="Rename",J239,IF(I239="Keep",IF(D239="",E239,D239),IF(E239="(unchanged)",D239,E239)))))</f>
      </c>
      <c r="M239" s="6">
        <f>IF(AND(I239="Cut",N239&gt;0,K239=""),"USED: say what replaces it (Note)",IF(AND(I239="Rename",J239=""),"type the new name",IF(AND(L239&lt;&gt;"",L239&lt;&gt;"(decide)",COUNTIF($L$2:$L$1680,L239)&gt;1),"SAME FINAL NAME AS ANOTHER ROW","")))</f>
      </c>
      <c r="N239" s="6">
        <v>0</v>
      </c>
      <c r="O239" s="6" t="s">
        <v>2</v>
      </c>
    </row>
    <row r="240" spans="1:15" x14ac:dyDescent="0.25">
      <c r="A240">
        <v>239</v>
      </c>
      <c r="B240" t="s">
        <v>353</v>
      </c>
      <c r="C240" t="s">
        <v>434</v>
      </c>
      <c r="D240" t="s">
        <v>440</v>
      </c>
      <c r="E240" t="s">
        <v>292</v>
      </c>
      <c r="F240" t="s">
        <v>2</v>
      </c>
      <c r="G240" t="s">
        <v>38</v>
      </c>
      <c r="H240" t="s">
        <v>39</v>
      </c>
      <c r="I240" s="5" t="s">
        <v>294</v>
      </c>
      <c r="J240" s="5" t="s">
        <v>2</v>
      </c>
      <c r="K240" s="5" t="s">
        <v>2</v>
      </c>
      <c r="L240" s="6">
        <f>IF(I240="Cut","",IF(I240="Your call","(decide)",IF(I240="Rename",J240,IF(I240="Keep",IF(D240="",E240,D240),IF(E240="(unchanged)",D240,E240)))))</f>
      </c>
      <c r="M240" s="6">
        <f>IF(AND(I240="Cut",N240&gt;0,K240=""),"USED: say what replaces it (Note)",IF(AND(I240="Rename",J240=""),"type the new name",IF(AND(L240&lt;&gt;"",L240&lt;&gt;"(decide)",COUNTIF($L$2:$L$1680,L240)&gt;1),"SAME FINAL NAME AS ANOTHER ROW","")))</f>
      </c>
      <c r="N240" s="6">
        <v>0</v>
      </c>
      <c r="O240" s="6" t="s">
        <v>2</v>
      </c>
    </row>
    <row r="241" spans="1:15" x14ac:dyDescent="0.25">
      <c r="A241">
        <v>240</v>
      </c>
      <c r="B241" t="s">
        <v>353</v>
      </c>
      <c r="C241" t="s">
        <v>434</v>
      </c>
      <c r="D241" t="s">
        <v>441</v>
      </c>
      <c r="E241" t="s">
        <v>292</v>
      </c>
      <c r="F241" t="s">
        <v>2</v>
      </c>
      <c r="G241" t="s">
        <v>38</v>
      </c>
      <c r="H241" t="s">
        <v>39</v>
      </c>
      <c r="I241" s="5" t="s">
        <v>294</v>
      </c>
      <c r="J241" s="5" t="s">
        <v>2</v>
      </c>
      <c r="K241" s="5" t="s">
        <v>2</v>
      </c>
      <c r="L241" s="6">
        <f>IF(I241="Cut","",IF(I241="Your call","(decide)",IF(I241="Rename",J241,IF(I241="Keep",IF(D241="",E241,D241),IF(E241="(unchanged)",D241,E241)))))</f>
      </c>
      <c r="M241" s="6">
        <f>IF(AND(I241="Cut",N241&gt;0,K241=""),"USED: say what replaces it (Note)",IF(AND(I241="Rename",J241=""),"type the new name",IF(AND(L241&lt;&gt;"",L241&lt;&gt;"(decide)",COUNTIF($L$2:$L$1680,L241)&gt;1),"SAME FINAL NAME AS ANOTHER ROW","")))</f>
      </c>
      <c r="N241" s="6">
        <v>0</v>
      </c>
      <c r="O241" s="6" t="s">
        <v>2</v>
      </c>
    </row>
    <row r="242" spans="1:15" x14ac:dyDescent="0.25">
      <c r="A242">
        <v>241</v>
      </c>
      <c r="B242" t="s">
        <v>353</v>
      </c>
      <c r="C242" t="s">
        <v>434</v>
      </c>
      <c r="D242" t="s">
        <v>442</v>
      </c>
      <c r="E242" t="s">
        <v>292</v>
      </c>
      <c r="F242" t="s">
        <v>2</v>
      </c>
      <c r="G242" t="s">
        <v>38</v>
      </c>
      <c r="H242" t="s">
        <v>39</v>
      </c>
      <c r="I242" s="5" t="s">
        <v>294</v>
      </c>
      <c r="J242" s="5" t="s">
        <v>2</v>
      </c>
      <c r="K242" s="5" t="s">
        <v>2</v>
      </c>
      <c r="L242" s="6">
        <f>IF(I242="Cut","",IF(I242="Your call","(decide)",IF(I242="Rename",J242,IF(I242="Keep",IF(D242="",E242,D242),IF(E242="(unchanged)",D242,E242)))))</f>
      </c>
      <c r="M242" s="6">
        <f>IF(AND(I242="Cut",N242&gt;0,K242=""),"USED: say what replaces it (Note)",IF(AND(I242="Rename",J242=""),"type the new name",IF(AND(L242&lt;&gt;"",L242&lt;&gt;"(decide)",COUNTIF($L$2:$L$1680,L242)&gt;1),"SAME FINAL NAME AS ANOTHER ROW","")))</f>
      </c>
      <c r="N242" s="6">
        <v>0</v>
      </c>
      <c r="O242" s="6" t="s">
        <v>2</v>
      </c>
    </row>
    <row r="243" spans="1:15" x14ac:dyDescent="0.25">
      <c r="A243">
        <v>242</v>
      </c>
      <c r="B243" t="s">
        <v>353</v>
      </c>
      <c r="C243" t="s">
        <v>434</v>
      </c>
      <c r="D243" t="s">
        <v>443</v>
      </c>
      <c r="E243" t="s">
        <v>292</v>
      </c>
      <c r="F243" t="s">
        <v>2</v>
      </c>
      <c r="G243" t="s">
        <v>38</v>
      </c>
      <c r="H243" t="s">
        <v>39</v>
      </c>
      <c r="I243" s="5" t="s">
        <v>294</v>
      </c>
      <c r="J243" s="5" t="s">
        <v>2</v>
      </c>
      <c r="K243" s="5" t="s">
        <v>2</v>
      </c>
      <c r="L243" s="6">
        <f>IF(I243="Cut","",IF(I243="Your call","(decide)",IF(I243="Rename",J243,IF(I243="Keep",IF(D243="",E243,D243),IF(E243="(unchanged)",D243,E243)))))</f>
      </c>
      <c r="M243" s="6">
        <f>IF(AND(I243="Cut",N243&gt;0,K243=""),"USED: say what replaces it (Note)",IF(AND(I243="Rename",J243=""),"type the new name",IF(AND(L243&lt;&gt;"",L243&lt;&gt;"(decide)",COUNTIF($L$2:$L$1680,L243)&gt;1),"SAME FINAL NAME AS ANOTHER ROW","")))</f>
      </c>
      <c r="N243" s="6">
        <v>0</v>
      </c>
      <c r="O243" s="6" t="s">
        <v>2</v>
      </c>
    </row>
    <row r="244" spans="1:15" x14ac:dyDescent="0.25">
      <c r="A244">
        <v>243</v>
      </c>
      <c r="B244" t="s">
        <v>353</v>
      </c>
      <c r="C244" t="s">
        <v>444</v>
      </c>
      <c r="D244" t="s">
        <v>445</v>
      </c>
      <c r="E244" t="s">
        <v>292</v>
      </c>
      <c r="F244" t="s">
        <v>2</v>
      </c>
      <c r="G244" t="s">
        <v>58</v>
      </c>
      <c r="H244" t="s">
        <v>39</v>
      </c>
      <c r="I244" s="5" t="s">
        <v>294</v>
      </c>
      <c r="J244" s="5" t="s">
        <v>2</v>
      </c>
      <c r="K244" s="5" t="s">
        <v>2</v>
      </c>
      <c r="L244" s="6">
        <f>IF(I244="Cut","",IF(I244="Your call","(decide)",IF(I244="Rename",J244,IF(I244="Keep",IF(D244="",E244,D244),IF(E244="(unchanged)",D244,E244)))))</f>
      </c>
      <c r="M244" s="6">
        <f>IF(AND(I244="Cut",N244&gt;0,K244=""),"USED: say what replaces it (Note)",IF(AND(I244="Rename",J244=""),"type the new name",IF(AND(L244&lt;&gt;"",L244&lt;&gt;"(decide)",COUNTIF($L$2:$L$1680,L244)&gt;1),"SAME FINAL NAME AS ANOTHER ROW","")))</f>
      </c>
      <c r="N244" s="6">
        <v>3</v>
      </c>
      <c r="O244" s="6" t="s">
        <v>2</v>
      </c>
    </row>
    <row r="245" spans="1:15" x14ac:dyDescent="0.25">
      <c r="A245">
        <v>244</v>
      </c>
      <c r="B245" t="s">
        <v>353</v>
      </c>
      <c r="C245" t="s">
        <v>444</v>
      </c>
      <c r="D245" t="s">
        <v>446</v>
      </c>
      <c r="E245" t="s">
        <v>292</v>
      </c>
      <c r="F245" t="s">
        <v>2</v>
      </c>
      <c r="G245" t="s">
        <v>94</v>
      </c>
      <c r="H245" t="s">
        <v>39</v>
      </c>
      <c r="I245" s="5" t="s">
        <v>294</v>
      </c>
      <c r="J245" s="5" t="s">
        <v>2</v>
      </c>
      <c r="K245" s="5" t="s">
        <v>2</v>
      </c>
      <c r="L245" s="6">
        <f>IF(I245="Cut","",IF(I245="Your call","(decide)",IF(I245="Rename",J245,IF(I245="Keep",IF(D245="",E245,D245),IF(E245="(unchanged)",D245,E245)))))</f>
      </c>
      <c r="M245" s="6">
        <f>IF(AND(I245="Cut",N245&gt;0,K245=""),"USED: say what replaces it (Note)",IF(AND(I245="Rename",J245=""),"type the new name",IF(AND(L245&lt;&gt;"",L245&lt;&gt;"(decide)",COUNTIF($L$2:$L$1680,L245)&gt;1),"SAME FINAL NAME AS ANOTHER ROW","")))</f>
      </c>
      <c r="N245" s="6">
        <v>1</v>
      </c>
      <c r="O245" s="6" t="s">
        <v>2</v>
      </c>
    </row>
    <row r="246" spans="1:15" x14ac:dyDescent="0.25">
      <c r="A246">
        <v>245</v>
      </c>
      <c r="B246" t="s">
        <v>353</v>
      </c>
      <c r="C246" t="s">
        <v>444</v>
      </c>
      <c r="D246" t="s">
        <v>447</v>
      </c>
      <c r="E246" t="s">
        <v>292</v>
      </c>
      <c r="F246" t="s">
        <v>2</v>
      </c>
      <c r="G246" t="s">
        <v>38</v>
      </c>
      <c r="H246" t="s">
        <v>39</v>
      </c>
      <c r="I246" s="5" t="s">
        <v>294</v>
      </c>
      <c r="J246" s="5" t="s">
        <v>2</v>
      </c>
      <c r="K246" s="5" t="s">
        <v>2</v>
      </c>
      <c r="L246" s="6">
        <f>IF(I246="Cut","",IF(I246="Your call","(decide)",IF(I246="Rename",J246,IF(I246="Keep",IF(D246="",E246,D246),IF(E246="(unchanged)",D246,E246)))))</f>
      </c>
      <c r="M246" s="6">
        <f>IF(AND(I246="Cut",N246&gt;0,K246=""),"USED: say what replaces it (Note)",IF(AND(I246="Rename",J246=""),"type the new name",IF(AND(L246&lt;&gt;"",L246&lt;&gt;"(decide)",COUNTIF($L$2:$L$1680,L246)&gt;1),"SAME FINAL NAME AS ANOTHER ROW","")))</f>
      </c>
      <c r="N246" s="6">
        <v>0</v>
      </c>
      <c r="O246" s="6" t="s">
        <v>2</v>
      </c>
    </row>
    <row r="247" spans="1:15" x14ac:dyDescent="0.25">
      <c r="A247">
        <v>246</v>
      </c>
      <c r="B247" t="s">
        <v>353</v>
      </c>
      <c r="C247" t="s">
        <v>444</v>
      </c>
      <c r="D247" t="s">
        <v>448</v>
      </c>
      <c r="E247" t="s">
        <v>292</v>
      </c>
      <c r="F247" t="s">
        <v>2</v>
      </c>
      <c r="G247" t="s">
        <v>38</v>
      </c>
      <c r="H247" t="s">
        <v>39</v>
      </c>
      <c r="I247" s="5" t="s">
        <v>294</v>
      </c>
      <c r="J247" s="5" t="s">
        <v>2</v>
      </c>
      <c r="K247" s="5" t="s">
        <v>2</v>
      </c>
      <c r="L247" s="6">
        <f>IF(I247="Cut","",IF(I247="Your call","(decide)",IF(I247="Rename",J247,IF(I247="Keep",IF(D247="",E247,D247),IF(E247="(unchanged)",D247,E247)))))</f>
      </c>
      <c r="M247" s="6">
        <f>IF(AND(I247="Cut",N247&gt;0,K247=""),"USED: say what replaces it (Note)",IF(AND(I247="Rename",J247=""),"type the new name",IF(AND(L247&lt;&gt;"",L247&lt;&gt;"(decide)",COUNTIF($L$2:$L$1680,L247)&gt;1),"SAME FINAL NAME AS ANOTHER ROW","")))</f>
      </c>
      <c r="N247" s="6">
        <v>0</v>
      </c>
      <c r="O247" s="6" t="s">
        <v>2</v>
      </c>
    </row>
    <row r="248" spans="1:15" x14ac:dyDescent="0.25">
      <c r="A248">
        <v>247</v>
      </c>
      <c r="B248" t="s">
        <v>353</v>
      </c>
      <c r="C248" t="s">
        <v>444</v>
      </c>
      <c r="D248" t="s">
        <v>449</v>
      </c>
      <c r="E248" t="s">
        <v>292</v>
      </c>
      <c r="F248" t="s">
        <v>2</v>
      </c>
      <c r="G248" t="s">
        <v>38</v>
      </c>
      <c r="H248" t="s">
        <v>39</v>
      </c>
      <c r="I248" s="5" t="s">
        <v>294</v>
      </c>
      <c r="J248" s="5" t="s">
        <v>2</v>
      </c>
      <c r="K248" s="5" t="s">
        <v>2</v>
      </c>
      <c r="L248" s="6">
        <f>IF(I248="Cut","",IF(I248="Your call","(decide)",IF(I248="Rename",J248,IF(I248="Keep",IF(D248="",E248,D248),IF(E248="(unchanged)",D248,E248)))))</f>
      </c>
      <c r="M248" s="6">
        <f>IF(AND(I248="Cut",N248&gt;0,K248=""),"USED: say what replaces it (Note)",IF(AND(I248="Rename",J248=""),"type the new name",IF(AND(L248&lt;&gt;"",L248&lt;&gt;"(decide)",COUNTIF($L$2:$L$1680,L248)&gt;1),"SAME FINAL NAME AS ANOTHER ROW","")))</f>
      </c>
      <c r="N248" s="6">
        <v>0</v>
      </c>
      <c r="O248" s="6" t="s">
        <v>2</v>
      </c>
    </row>
    <row r="249" spans="1:15" x14ac:dyDescent="0.25">
      <c r="A249">
        <v>248</v>
      </c>
      <c r="B249" t="s">
        <v>353</v>
      </c>
      <c r="C249" t="s">
        <v>444</v>
      </c>
      <c r="D249" t="s">
        <v>450</v>
      </c>
      <c r="E249" t="s">
        <v>292</v>
      </c>
      <c r="F249" t="s">
        <v>2</v>
      </c>
      <c r="G249" t="s">
        <v>38</v>
      </c>
      <c r="H249" t="s">
        <v>39</v>
      </c>
      <c r="I249" s="5" t="s">
        <v>294</v>
      </c>
      <c r="J249" s="5" t="s">
        <v>2</v>
      </c>
      <c r="K249" s="5" t="s">
        <v>2</v>
      </c>
      <c r="L249" s="6">
        <f>IF(I249="Cut","",IF(I249="Your call","(decide)",IF(I249="Rename",J249,IF(I249="Keep",IF(D249="",E249,D249),IF(E249="(unchanged)",D249,E249)))))</f>
      </c>
      <c r="M249" s="6">
        <f>IF(AND(I249="Cut",N249&gt;0,K249=""),"USED: say what replaces it (Note)",IF(AND(I249="Rename",J249=""),"type the new name",IF(AND(L249&lt;&gt;"",L249&lt;&gt;"(decide)",COUNTIF($L$2:$L$1680,L249)&gt;1),"SAME FINAL NAME AS ANOTHER ROW","")))</f>
      </c>
      <c r="N249" s="6">
        <v>0</v>
      </c>
      <c r="O249" s="6" t="s">
        <v>2</v>
      </c>
    </row>
    <row r="250" spans="1:15" x14ac:dyDescent="0.25">
      <c r="A250">
        <v>249</v>
      </c>
      <c r="B250" t="s">
        <v>353</v>
      </c>
      <c r="C250" t="s">
        <v>444</v>
      </c>
      <c r="D250" t="s">
        <v>451</v>
      </c>
      <c r="E250" t="s">
        <v>292</v>
      </c>
      <c r="F250" t="s">
        <v>2</v>
      </c>
      <c r="G250" t="s">
        <v>38</v>
      </c>
      <c r="H250" t="s">
        <v>39</v>
      </c>
      <c r="I250" s="5" t="s">
        <v>294</v>
      </c>
      <c r="J250" s="5" t="s">
        <v>2</v>
      </c>
      <c r="K250" s="5" t="s">
        <v>2</v>
      </c>
      <c r="L250" s="6">
        <f>IF(I250="Cut","",IF(I250="Your call","(decide)",IF(I250="Rename",J250,IF(I250="Keep",IF(D250="",E250,D250),IF(E250="(unchanged)",D250,E250)))))</f>
      </c>
      <c r="M250" s="6">
        <f>IF(AND(I250="Cut",N250&gt;0,K250=""),"USED: say what replaces it (Note)",IF(AND(I250="Rename",J250=""),"type the new name",IF(AND(L250&lt;&gt;"",L250&lt;&gt;"(decide)",COUNTIF($L$2:$L$1680,L250)&gt;1),"SAME FINAL NAME AS ANOTHER ROW","")))</f>
      </c>
      <c r="N250" s="6">
        <v>0</v>
      </c>
      <c r="O250" s="6" t="s">
        <v>2</v>
      </c>
    </row>
    <row r="251" spans="1:15" x14ac:dyDescent="0.25">
      <c r="A251">
        <v>250</v>
      </c>
      <c r="B251" t="s">
        <v>353</v>
      </c>
      <c r="C251" t="s">
        <v>444</v>
      </c>
      <c r="D251" t="s">
        <v>452</v>
      </c>
      <c r="E251" t="s">
        <v>292</v>
      </c>
      <c r="F251" t="s">
        <v>2</v>
      </c>
      <c r="G251" t="s">
        <v>38</v>
      </c>
      <c r="H251" t="s">
        <v>39</v>
      </c>
      <c r="I251" s="5" t="s">
        <v>294</v>
      </c>
      <c r="J251" s="5" t="s">
        <v>2</v>
      </c>
      <c r="K251" s="5" t="s">
        <v>2</v>
      </c>
      <c r="L251" s="6">
        <f>IF(I251="Cut","",IF(I251="Your call","(decide)",IF(I251="Rename",J251,IF(I251="Keep",IF(D251="",E251,D251),IF(E251="(unchanged)",D251,E251)))))</f>
      </c>
      <c r="M251" s="6">
        <f>IF(AND(I251="Cut",N251&gt;0,K251=""),"USED: say what replaces it (Note)",IF(AND(I251="Rename",J251=""),"type the new name",IF(AND(L251&lt;&gt;"",L251&lt;&gt;"(decide)",COUNTIF($L$2:$L$1680,L251)&gt;1),"SAME FINAL NAME AS ANOTHER ROW","")))</f>
      </c>
      <c r="N251" s="6">
        <v>0</v>
      </c>
      <c r="O251" s="6" t="s">
        <v>2</v>
      </c>
    </row>
    <row r="252" spans="1:15" x14ac:dyDescent="0.25">
      <c r="A252">
        <v>251</v>
      </c>
      <c r="B252" t="s">
        <v>353</v>
      </c>
      <c r="C252" t="s">
        <v>444</v>
      </c>
      <c r="D252" t="s">
        <v>453</v>
      </c>
      <c r="E252" t="s">
        <v>292</v>
      </c>
      <c r="F252" t="s">
        <v>2</v>
      </c>
      <c r="G252" t="s">
        <v>38</v>
      </c>
      <c r="H252" t="s">
        <v>39</v>
      </c>
      <c r="I252" s="5" t="s">
        <v>294</v>
      </c>
      <c r="J252" s="5" t="s">
        <v>2</v>
      </c>
      <c r="K252" s="5" t="s">
        <v>2</v>
      </c>
      <c r="L252" s="6">
        <f>IF(I252="Cut","",IF(I252="Your call","(decide)",IF(I252="Rename",J252,IF(I252="Keep",IF(D252="",E252,D252),IF(E252="(unchanged)",D252,E252)))))</f>
      </c>
      <c r="M252" s="6">
        <f>IF(AND(I252="Cut",N252&gt;0,K252=""),"USED: say what replaces it (Note)",IF(AND(I252="Rename",J252=""),"type the new name",IF(AND(L252&lt;&gt;"",L252&lt;&gt;"(decide)",COUNTIF($L$2:$L$1680,L252)&gt;1),"SAME FINAL NAME AS ANOTHER ROW","")))</f>
      </c>
      <c r="N252" s="6">
        <v>0</v>
      </c>
      <c r="O252" s="6" t="s">
        <v>2</v>
      </c>
    </row>
    <row r="253" spans="1:15" x14ac:dyDescent="0.25">
      <c r="A253">
        <v>252</v>
      </c>
      <c r="B253" t="s">
        <v>353</v>
      </c>
      <c r="C253" t="s">
        <v>454</v>
      </c>
      <c r="D253" t="s">
        <v>455</v>
      </c>
      <c r="E253" t="s">
        <v>292</v>
      </c>
      <c r="F253" t="s">
        <v>2</v>
      </c>
      <c r="G253" t="s">
        <v>38</v>
      </c>
      <c r="H253" t="s">
        <v>39</v>
      </c>
      <c r="I253" s="5" t="s">
        <v>294</v>
      </c>
      <c r="J253" s="5" t="s">
        <v>2</v>
      </c>
      <c r="K253" s="5" t="s">
        <v>2</v>
      </c>
      <c r="L253" s="6">
        <f>IF(I253="Cut","",IF(I253="Your call","(decide)",IF(I253="Rename",J253,IF(I253="Keep",IF(D253="",E253,D253),IF(E253="(unchanged)",D253,E253)))))</f>
      </c>
      <c r="M253" s="6">
        <f>IF(AND(I253="Cut",N253&gt;0,K253=""),"USED: say what replaces it (Note)",IF(AND(I253="Rename",J253=""),"type the new name",IF(AND(L253&lt;&gt;"",L253&lt;&gt;"(decide)",COUNTIF($L$2:$L$1680,L253)&gt;1),"SAME FINAL NAME AS ANOTHER ROW","")))</f>
      </c>
      <c r="N253" s="6">
        <v>0</v>
      </c>
      <c r="O253" s="6" t="s">
        <v>2</v>
      </c>
    </row>
    <row r="254" spans="1:15" x14ac:dyDescent="0.25">
      <c r="A254">
        <v>253</v>
      </c>
      <c r="B254" t="s">
        <v>353</v>
      </c>
      <c r="C254" t="s">
        <v>454</v>
      </c>
      <c r="D254" t="s">
        <v>456</v>
      </c>
      <c r="E254" t="s">
        <v>292</v>
      </c>
      <c r="F254" t="s">
        <v>2</v>
      </c>
      <c r="G254" t="s">
        <v>38</v>
      </c>
      <c r="H254" t="s">
        <v>39</v>
      </c>
      <c r="I254" s="5" t="s">
        <v>294</v>
      </c>
      <c r="J254" s="5" t="s">
        <v>2</v>
      </c>
      <c r="K254" s="5" t="s">
        <v>2</v>
      </c>
      <c r="L254" s="6">
        <f>IF(I254="Cut","",IF(I254="Your call","(decide)",IF(I254="Rename",J254,IF(I254="Keep",IF(D254="",E254,D254),IF(E254="(unchanged)",D254,E254)))))</f>
      </c>
      <c r="M254" s="6">
        <f>IF(AND(I254="Cut",N254&gt;0,K254=""),"USED: say what replaces it (Note)",IF(AND(I254="Rename",J254=""),"type the new name",IF(AND(L254&lt;&gt;"",L254&lt;&gt;"(decide)",COUNTIF($L$2:$L$1680,L254)&gt;1),"SAME FINAL NAME AS ANOTHER ROW","")))</f>
      </c>
      <c r="N254" s="6">
        <v>0</v>
      </c>
      <c r="O254" s="6" t="s">
        <v>2</v>
      </c>
    </row>
    <row r="255" spans="1:15" x14ac:dyDescent="0.25">
      <c r="A255">
        <v>254</v>
      </c>
      <c r="B255" t="s">
        <v>353</v>
      </c>
      <c r="C255" t="s">
        <v>454</v>
      </c>
      <c r="D255" t="s">
        <v>457</v>
      </c>
      <c r="E255" t="s">
        <v>292</v>
      </c>
      <c r="F255" t="s">
        <v>2</v>
      </c>
      <c r="G255" t="s">
        <v>38</v>
      </c>
      <c r="H255" t="s">
        <v>39</v>
      </c>
      <c r="I255" s="5" t="s">
        <v>294</v>
      </c>
      <c r="J255" s="5" t="s">
        <v>2</v>
      </c>
      <c r="K255" s="5" t="s">
        <v>2</v>
      </c>
      <c r="L255" s="6">
        <f>IF(I255="Cut","",IF(I255="Your call","(decide)",IF(I255="Rename",J255,IF(I255="Keep",IF(D255="",E255,D255),IF(E255="(unchanged)",D255,E255)))))</f>
      </c>
      <c r="M255" s="6">
        <f>IF(AND(I255="Cut",N255&gt;0,K255=""),"USED: say what replaces it (Note)",IF(AND(I255="Rename",J255=""),"type the new name",IF(AND(L255&lt;&gt;"",L255&lt;&gt;"(decide)",COUNTIF($L$2:$L$1680,L255)&gt;1),"SAME FINAL NAME AS ANOTHER ROW","")))</f>
      </c>
      <c r="N255" s="6">
        <v>0</v>
      </c>
      <c r="O255" s="6" t="s">
        <v>2</v>
      </c>
    </row>
    <row r="256" spans="1:15" x14ac:dyDescent="0.25">
      <c r="A256">
        <v>255</v>
      </c>
      <c r="B256" t="s">
        <v>353</v>
      </c>
      <c r="C256" t="s">
        <v>454</v>
      </c>
      <c r="D256" t="s">
        <v>458</v>
      </c>
      <c r="E256" t="s">
        <v>292</v>
      </c>
      <c r="F256" t="s">
        <v>2</v>
      </c>
      <c r="G256" t="s">
        <v>38</v>
      </c>
      <c r="H256" t="s">
        <v>39</v>
      </c>
      <c r="I256" s="5" t="s">
        <v>294</v>
      </c>
      <c r="J256" s="5" t="s">
        <v>2</v>
      </c>
      <c r="K256" s="5" t="s">
        <v>2</v>
      </c>
      <c r="L256" s="6">
        <f>IF(I256="Cut","",IF(I256="Your call","(decide)",IF(I256="Rename",J256,IF(I256="Keep",IF(D256="",E256,D256),IF(E256="(unchanged)",D256,E256)))))</f>
      </c>
      <c r="M256" s="6">
        <f>IF(AND(I256="Cut",N256&gt;0,K256=""),"USED: say what replaces it (Note)",IF(AND(I256="Rename",J256=""),"type the new name",IF(AND(L256&lt;&gt;"",L256&lt;&gt;"(decide)",COUNTIF($L$2:$L$1680,L256)&gt;1),"SAME FINAL NAME AS ANOTHER ROW","")))</f>
      </c>
      <c r="N256" s="6">
        <v>0</v>
      </c>
      <c r="O256" s="6" t="s">
        <v>2</v>
      </c>
    </row>
    <row r="257" spans="1:15" x14ac:dyDescent="0.25">
      <c r="A257">
        <v>256</v>
      </c>
      <c r="B257" t="s">
        <v>353</v>
      </c>
      <c r="C257" t="s">
        <v>454</v>
      </c>
      <c r="D257" t="s">
        <v>459</v>
      </c>
      <c r="E257" t="s">
        <v>292</v>
      </c>
      <c r="F257" t="s">
        <v>2</v>
      </c>
      <c r="G257" t="s">
        <v>38</v>
      </c>
      <c r="H257" t="s">
        <v>39</v>
      </c>
      <c r="I257" s="5" t="s">
        <v>294</v>
      </c>
      <c r="J257" s="5" t="s">
        <v>2</v>
      </c>
      <c r="K257" s="5" t="s">
        <v>2</v>
      </c>
      <c r="L257" s="6">
        <f>IF(I257="Cut","",IF(I257="Your call","(decide)",IF(I257="Rename",J257,IF(I257="Keep",IF(D257="",E257,D257),IF(E257="(unchanged)",D257,E257)))))</f>
      </c>
      <c r="M257" s="6">
        <f>IF(AND(I257="Cut",N257&gt;0,K257=""),"USED: say what replaces it (Note)",IF(AND(I257="Rename",J257=""),"type the new name",IF(AND(L257&lt;&gt;"",L257&lt;&gt;"(decide)",COUNTIF($L$2:$L$1680,L257)&gt;1),"SAME FINAL NAME AS ANOTHER ROW","")))</f>
      </c>
      <c r="N257" s="6">
        <v>0</v>
      </c>
      <c r="O257" s="6" t="s">
        <v>2</v>
      </c>
    </row>
    <row r="258" spans="1:15" x14ac:dyDescent="0.25">
      <c r="A258">
        <v>257</v>
      </c>
      <c r="B258" t="s">
        <v>353</v>
      </c>
      <c r="C258" t="s">
        <v>454</v>
      </c>
      <c r="D258" t="s">
        <v>460</v>
      </c>
      <c r="E258" t="s">
        <v>292</v>
      </c>
      <c r="F258" t="s">
        <v>2</v>
      </c>
      <c r="G258" t="s">
        <v>38</v>
      </c>
      <c r="H258" t="s">
        <v>39</v>
      </c>
      <c r="I258" s="5" t="s">
        <v>294</v>
      </c>
      <c r="J258" s="5" t="s">
        <v>2</v>
      </c>
      <c r="K258" s="5" t="s">
        <v>2</v>
      </c>
      <c r="L258" s="6">
        <f>IF(I258="Cut","",IF(I258="Your call","(decide)",IF(I258="Rename",J258,IF(I258="Keep",IF(D258="",E258,D258),IF(E258="(unchanged)",D258,E258)))))</f>
      </c>
      <c r="M258" s="6">
        <f>IF(AND(I258="Cut",N258&gt;0,K258=""),"USED: say what replaces it (Note)",IF(AND(I258="Rename",J258=""),"type the new name",IF(AND(L258&lt;&gt;"",L258&lt;&gt;"(decide)",COUNTIF($L$2:$L$1680,L258)&gt;1),"SAME FINAL NAME AS ANOTHER ROW","")))</f>
      </c>
      <c r="N258" s="6">
        <v>0</v>
      </c>
      <c r="O258" s="6" t="s">
        <v>2</v>
      </c>
    </row>
    <row r="259" spans="1:15" x14ac:dyDescent="0.25">
      <c r="A259">
        <v>258</v>
      </c>
      <c r="B259" t="s">
        <v>353</v>
      </c>
      <c r="C259" t="s">
        <v>454</v>
      </c>
      <c r="D259" t="s">
        <v>461</v>
      </c>
      <c r="E259" t="s">
        <v>292</v>
      </c>
      <c r="F259" t="s">
        <v>2</v>
      </c>
      <c r="G259" t="s">
        <v>38</v>
      </c>
      <c r="H259" t="s">
        <v>39</v>
      </c>
      <c r="I259" s="5" t="s">
        <v>294</v>
      </c>
      <c r="J259" s="5" t="s">
        <v>2</v>
      </c>
      <c r="K259" s="5" t="s">
        <v>2</v>
      </c>
      <c r="L259" s="6">
        <f>IF(I259="Cut","",IF(I259="Your call","(decide)",IF(I259="Rename",J259,IF(I259="Keep",IF(D259="",E259,D259),IF(E259="(unchanged)",D259,E259)))))</f>
      </c>
      <c r="M259" s="6">
        <f>IF(AND(I259="Cut",N259&gt;0,K259=""),"USED: say what replaces it (Note)",IF(AND(I259="Rename",J259=""),"type the new name",IF(AND(L259&lt;&gt;"",L259&lt;&gt;"(decide)",COUNTIF($L$2:$L$1680,L259)&gt;1),"SAME FINAL NAME AS ANOTHER ROW","")))</f>
      </c>
      <c r="N259" s="6">
        <v>0</v>
      </c>
      <c r="O259" s="6" t="s">
        <v>2</v>
      </c>
    </row>
    <row r="260" spans="1:15" x14ac:dyDescent="0.25">
      <c r="A260">
        <v>259</v>
      </c>
      <c r="B260" t="s">
        <v>353</v>
      </c>
      <c r="C260" t="s">
        <v>454</v>
      </c>
      <c r="D260" t="s">
        <v>462</v>
      </c>
      <c r="E260" t="s">
        <v>292</v>
      </c>
      <c r="F260" t="s">
        <v>2</v>
      </c>
      <c r="G260" t="s">
        <v>38</v>
      </c>
      <c r="H260" t="s">
        <v>39</v>
      </c>
      <c r="I260" s="5" t="s">
        <v>294</v>
      </c>
      <c r="J260" s="5" t="s">
        <v>2</v>
      </c>
      <c r="K260" s="5" t="s">
        <v>2</v>
      </c>
      <c r="L260" s="6">
        <f>IF(I260="Cut","",IF(I260="Your call","(decide)",IF(I260="Rename",J260,IF(I260="Keep",IF(D260="",E260,D260),IF(E260="(unchanged)",D260,E260)))))</f>
      </c>
      <c r="M260" s="6">
        <f>IF(AND(I260="Cut",N260&gt;0,K260=""),"USED: say what replaces it (Note)",IF(AND(I260="Rename",J260=""),"type the new name",IF(AND(L260&lt;&gt;"",L260&lt;&gt;"(decide)",COUNTIF($L$2:$L$1680,L260)&gt;1),"SAME FINAL NAME AS ANOTHER ROW","")))</f>
      </c>
      <c r="N260" s="6">
        <v>0</v>
      </c>
      <c r="O260" s="6" t="s">
        <v>2</v>
      </c>
    </row>
    <row r="261" spans="1:15" x14ac:dyDescent="0.25">
      <c r="A261">
        <v>260</v>
      </c>
      <c r="B261" t="s">
        <v>353</v>
      </c>
      <c r="C261" t="s">
        <v>454</v>
      </c>
      <c r="D261" t="s">
        <v>463</v>
      </c>
      <c r="E261" t="s">
        <v>292</v>
      </c>
      <c r="F261" t="s">
        <v>2</v>
      </c>
      <c r="G261" t="s">
        <v>38</v>
      </c>
      <c r="H261" t="s">
        <v>39</v>
      </c>
      <c r="I261" s="5" t="s">
        <v>294</v>
      </c>
      <c r="J261" s="5" t="s">
        <v>2</v>
      </c>
      <c r="K261" s="5" t="s">
        <v>2</v>
      </c>
      <c r="L261" s="6">
        <f>IF(I261="Cut","",IF(I261="Your call","(decide)",IF(I261="Rename",J261,IF(I261="Keep",IF(D261="",E261,D261),IF(E261="(unchanged)",D261,E261)))))</f>
      </c>
      <c r="M261" s="6">
        <f>IF(AND(I261="Cut",N261&gt;0,K261=""),"USED: say what replaces it (Note)",IF(AND(I261="Rename",J261=""),"type the new name",IF(AND(L261&lt;&gt;"",L261&lt;&gt;"(decide)",COUNTIF($L$2:$L$1680,L261)&gt;1),"SAME FINAL NAME AS ANOTHER ROW","")))</f>
      </c>
      <c r="N261" s="6">
        <v>0</v>
      </c>
      <c r="O261" s="6" t="s">
        <v>2</v>
      </c>
    </row>
    <row r="262" spans="1:15" x14ac:dyDescent="0.25">
      <c r="A262">
        <v>261</v>
      </c>
      <c r="B262" t="s">
        <v>353</v>
      </c>
      <c r="C262" t="s">
        <v>464</v>
      </c>
      <c r="D262" t="s">
        <v>465</v>
      </c>
      <c r="E262" t="s">
        <v>292</v>
      </c>
      <c r="F262" t="s">
        <v>2</v>
      </c>
      <c r="G262" t="s">
        <v>38</v>
      </c>
      <c r="H262" t="s">
        <v>39</v>
      </c>
      <c r="I262" s="5" t="s">
        <v>294</v>
      </c>
      <c r="J262" s="5" t="s">
        <v>2</v>
      </c>
      <c r="K262" s="5" t="s">
        <v>2</v>
      </c>
      <c r="L262" s="6">
        <f>IF(I262="Cut","",IF(I262="Your call","(decide)",IF(I262="Rename",J262,IF(I262="Keep",IF(D262="",E262,D262),IF(E262="(unchanged)",D262,E262)))))</f>
      </c>
      <c r="M262" s="6">
        <f>IF(AND(I262="Cut",N262&gt;0,K262=""),"USED: say what replaces it (Note)",IF(AND(I262="Rename",J262=""),"type the new name",IF(AND(L262&lt;&gt;"",L262&lt;&gt;"(decide)",COUNTIF($L$2:$L$1680,L262)&gt;1),"SAME FINAL NAME AS ANOTHER ROW","")))</f>
      </c>
      <c r="N262" s="6">
        <v>0</v>
      </c>
      <c r="O262" s="6" t="s">
        <v>2</v>
      </c>
    </row>
    <row r="263" spans="1:15" x14ac:dyDescent="0.25">
      <c r="A263">
        <v>262</v>
      </c>
      <c r="B263" t="s">
        <v>353</v>
      </c>
      <c r="C263" t="s">
        <v>464</v>
      </c>
      <c r="D263" t="s">
        <v>466</v>
      </c>
      <c r="E263" t="s">
        <v>292</v>
      </c>
      <c r="F263" t="s">
        <v>2</v>
      </c>
      <c r="G263" t="s">
        <v>38</v>
      </c>
      <c r="H263" t="s">
        <v>39</v>
      </c>
      <c r="I263" s="5" t="s">
        <v>294</v>
      </c>
      <c r="J263" s="5" t="s">
        <v>2</v>
      </c>
      <c r="K263" s="5" t="s">
        <v>2</v>
      </c>
      <c r="L263" s="6">
        <f>IF(I263="Cut","",IF(I263="Your call","(decide)",IF(I263="Rename",J263,IF(I263="Keep",IF(D263="",E263,D263),IF(E263="(unchanged)",D263,E263)))))</f>
      </c>
      <c r="M263" s="6">
        <f>IF(AND(I263="Cut",N263&gt;0,K263=""),"USED: say what replaces it (Note)",IF(AND(I263="Rename",J263=""),"type the new name",IF(AND(L263&lt;&gt;"",L263&lt;&gt;"(decide)",COUNTIF($L$2:$L$1680,L263)&gt;1),"SAME FINAL NAME AS ANOTHER ROW","")))</f>
      </c>
      <c r="N263" s="6">
        <v>0</v>
      </c>
      <c r="O263" s="6" t="s">
        <v>2</v>
      </c>
    </row>
    <row r="264" spans="1:15" x14ac:dyDescent="0.25">
      <c r="A264">
        <v>263</v>
      </c>
      <c r="B264" t="s">
        <v>353</v>
      </c>
      <c r="C264" t="s">
        <v>464</v>
      </c>
      <c r="D264" t="s">
        <v>467</v>
      </c>
      <c r="E264" t="s">
        <v>292</v>
      </c>
      <c r="F264" t="s">
        <v>2</v>
      </c>
      <c r="G264" t="s">
        <v>38</v>
      </c>
      <c r="H264" t="s">
        <v>39</v>
      </c>
      <c r="I264" s="5" t="s">
        <v>294</v>
      </c>
      <c r="J264" s="5" t="s">
        <v>2</v>
      </c>
      <c r="K264" s="5" t="s">
        <v>2</v>
      </c>
      <c r="L264" s="6">
        <f>IF(I264="Cut","",IF(I264="Your call","(decide)",IF(I264="Rename",J264,IF(I264="Keep",IF(D264="",E264,D264),IF(E264="(unchanged)",D264,E264)))))</f>
      </c>
      <c r="M264" s="6">
        <f>IF(AND(I264="Cut",N264&gt;0,K264=""),"USED: say what replaces it (Note)",IF(AND(I264="Rename",J264=""),"type the new name",IF(AND(L264&lt;&gt;"",L264&lt;&gt;"(decide)",COUNTIF($L$2:$L$1680,L264)&gt;1),"SAME FINAL NAME AS ANOTHER ROW","")))</f>
      </c>
      <c r="N264" s="6">
        <v>0</v>
      </c>
      <c r="O264" s="6" t="s">
        <v>2</v>
      </c>
    </row>
    <row r="265" spans="1:15" x14ac:dyDescent="0.25">
      <c r="A265">
        <v>264</v>
      </c>
      <c r="B265" t="s">
        <v>353</v>
      </c>
      <c r="C265" t="s">
        <v>464</v>
      </c>
      <c r="D265" t="s">
        <v>468</v>
      </c>
      <c r="E265" t="s">
        <v>292</v>
      </c>
      <c r="F265" t="s">
        <v>2</v>
      </c>
      <c r="G265" t="s">
        <v>38</v>
      </c>
      <c r="H265" t="s">
        <v>39</v>
      </c>
      <c r="I265" s="5" t="s">
        <v>294</v>
      </c>
      <c r="J265" s="5" t="s">
        <v>2</v>
      </c>
      <c r="K265" s="5" t="s">
        <v>2</v>
      </c>
      <c r="L265" s="6">
        <f>IF(I265="Cut","",IF(I265="Your call","(decide)",IF(I265="Rename",J265,IF(I265="Keep",IF(D265="",E265,D265),IF(E265="(unchanged)",D265,E265)))))</f>
      </c>
      <c r="M265" s="6">
        <f>IF(AND(I265="Cut",N265&gt;0,K265=""),"USED: say what replaces it (Note)",IF(AND(I265="Rename",J265=""),"type the new name",IF(AND(L265&lt;&gt;"",L265&lt;&gt;"(decide)",COUNTIF($L$2:$L$1680,L265)&gt;1),"SAME FINAL NAME AS ANOTHER ROW","")))</f>
      </c>
      <c r="N265" s="6">
        <v>0</v>
      </c>
      <c r="O265" s="6" t="s">
        <v>2</v>
      </c>
    </row>
    <row r="266" spans="1:15" x14ac:dyDescent="0.25">
      <c r="A266">
        <v>265</v>
      </c>
      <c r="B266" t="s">
        <v>353</v>
      </c>
      <c r="C266" t="s">
        <v>464</v>
      </c>
      <c r="D266" t="s">
        <v>469</v>
      </c>
      <c r="E266" t="s">
        <v>292</v>
      </c>
      <c r="F266" t="s">
        <v>2</v>
      </c>
      <c r="G266" t="s">
        <v>38</v>
      </c>
      <c r="H266" t="s">
        <v>39</v>
      </c>
      <c r="I266" s="5" t="s">
        <v>294</v>
      </c>
      <c r="J266" s="5" t="s">
        <v>2</v>
      </c>
      <c r="K266" s="5" t="s">
        <v>2</v>
      </c>
      <c r="L266" s="6">
        <f>IF(I266="Cut","",IF(I266="Your call","(decide)",IF(I266="Rename",J266,IF(I266="Keep",IF(D266="",E266,D266),IF(E266="(unchanged)",D266,E266)))))</f>
      </c>
      <c r="M266" s="6">
        <f>IF(AND(I266="Cut",N266&gt;0,K266=""),"USED: say what replaces it (Note)",IF(AND(I266="Rename",J266=""),"type the new name",IF(AND(L266&lt;&gt;"",L266&lt;&gt;"(decide)",COUNTIF($L$2:$L$1680,L266)&gt;1),"SAME FINAL NAME AS ANOTHER ROW","")))</f>
      </c>
      <c r="N266" s="6">
        <v>0</v>
      </c>
      <c r="O266" s="6" t="s">
        <v>2</v>
      </c>
    </row>
    <row r="267" spans="1:15" x14ac:dyDescent="0.25">
      <c r="A267">
        <v>266</v>
      </c>
      <c r="B267" t="s">
        <v>353</v>
      </c>
      <c r="C267" t="s">
        <v>464</v>
      </c>
      <c r="D267" t="s">
        <v>470</v>
      </c>
      <c r="E267" t="s">
        <v>292</v>
      </c>
      <c r="F267" t="s">
        <v>2</v>
      </c>
      <c r="G267" t="s">
        <v>38</v>
      </c>
      <c r="H267" t="s">
        <v>39</v>
      </c>
      <c r="I267" s="5" t="s">
        <v>294</v>
      </c>
      <c r="J267" s="5" t="s">
        <v>2</v>
      </c>
      <c r="K267" s="5" t="s">
        <v>2</v>
      </c>
      <c r="L267" s="6">
        <f>IF(I267="Cut","",IF(I267="Your call","(decide)",IF(I267="Rename",J267,IF(I267="Keep",IF(D267="",E267,D267),IF(E267="(unchanged)",D267,E267)))))</f>
      </c>
      <c r="M267" s="6">
        <f>IF(AND(I267="Cut",N267&gt;0,K267=""),"USED: say what replaces it (Note)",IF(AND(I267="Rename",J267=""),"type the new name",IF(AND(L267&lt;&gt;"",L267&lt;&gt;"(decide)",COUNTIF($L$2:$L$1680,L267)&gt;1),"SAME FINAL NAME AS ANOTHER ROW","")))</f>
      </c>
      <c r="N267" s="6">
        <v>0</v>
      </c>
      <c r="O267" s="6" t="s">
        <v>2</v>
      </c>
    </row>
    <row r="268" spans="1:15" x14ac:dyDescent="0.25">
      <c r="A268">
        <v>267</v>
      </c>
      <c r="B268" t="s">
        <v>353</v>
      </c>
      <c r="C268" t="s">
        <v>464</v>
      </c>
      <c r="D268" t="s">
        <v>471</v>
      </c>
      <c r="E268" t="s">
        <v>292</v>
      </c>
      <c r="F268" t="s">
        <v>2</v>
      </c>
      <c r="G268" t="s">
        <v>38</v>
      </c>
      <c r="H268" t="s">
        <v>39</v>
      </c>
      <c r="I268" s="5" t="s">
        <v>294</v>
      </c>
      <c r="J268" s="5" t="s">
        <v>2</v>
      </c>
      <c r="K268" s="5" t="s">
        <v>2</v>
      </c>
      <c r="L268" s="6">
        <f>IF(I268="Cut","",IF(I268="Your call","(decide)",IF(I268="Rename",J268,IF(I268="Keep",IF(D268="",E268,D268),IF(E268="(unchanged)",D268,E268)))))</f>
      </c>
      <c r="M268" s="6">
        <f>IF(AND(I268="Cut",N268&gt;0,K268=""),"USED: say what replaces it (Note)",IF(AND(I268="Rename",J268=""),"type the new name",IF(AND(L268&lt;&gt;"",L268&lt;&gt;"(decide)",COUNTIF($L$2:$L$1680,L268)&gt;1),"SAME FINAL NAME AS ANOTHER ROW","")))</f>
      </c>
      <c r="N268" s="6">
        <v>0</v>
      </c>
      <c r="O268" s="6" t="s">
        <v>2</v>
      </c>
    </row>
    <row r="269" spans="1:15" x14ac:dyDescent="0.25">
      <c r="A269">
        <v>268</v>
      </c>
      <c r="B269" t="s">
        <v>353</v>
      </c>
      <c r="C269" t="s">
        <v>464</v>
      </c>
      <c r="D269" t="s">
        <v>472</v>
      </c>
      <c r="E269" t="s">
        <v>292</v>
      </c>
      <c r="F269" t="s">
        <v>2</v>
      </c>
      <c r="G269" t="s">
        <v>38</v>
      </c>
      <c r="H269" t="s">
        <v>39</v>
      </c>
      <c r="I269" s="5" t="s">
        <v>294</v>
      </c>
      <c r="J269" s="5" t="s">
        <v>2</v>
      </c>
      <c r="K269" s="5" t="s">
        <v>2</v>
      </c>
      <c r="L269" s="6">
        <f>IF(I269="Cut","",IF(I269="Your call","(decide)",IF(I269="Rename",J269,IF(I269="Keep",IF(D269="",E269,D269),IF(E269="(unchanged)",D269,E269)))))</f>
      </c>
      <c r="M269" s="6">
        <f>IF(AND(I269="Cut",N269&gt;0,K269=""),"USED: say what replaces it (Note)",IF(AND(I269="Rename",J269=""),"type the new name",IF(AND(L269&lt;&gt;"",L269&lt;&gt;"(decide)",COUNTIF($L$2:$L$1680,L269)&gt;1),"SAME FINAL NAME AS ANOTHER ROW","")))</f>
      </c>
      <c r="N269" s="6">
        <v>0</v>
      </c>
      <c r="O269" s="6" t="s">
        <v>2</v>
      </c>
    </row>
    <row r="270" spans="1:15" x14ac:dyDescent="0.25">
      <c r="A270">
        <v>269</v>
      </c>
      <c r="B270" t="s">
        <v>353</v>
      </c>
      <c r="C270" t="s">
        <v>464</v>
      </c>
      <c r="D270" t="s">
        <v>473</v>
      </c>
      <c r="E270" t="s">
        <v>292</v>
      </c>
      <c r="F270" t="s">
        <v>2</v>
      </c>
      <c r="G270" t="s">
        <v>38</v>
      </c>
      <c r="H270" t="s">
        <v>39</v>
      </c>
      <c r="I270" s="5" t="s">
        <v>294</v>
      </c>
      <c r="J270" s="5" t="s">
        <v>2</v>
      </c>
      <c r="K270" s="5" t="s">
        <v>2</v>
      </c>
      <c r="L270" s="6">
        <f>IF(I270="Cut","",IF(I270="Your call","(decide)",IF(I270="Rename",J270,IF(I270="Keep",IF(D270="",E270,D270),IF(E270="(unchanged)",D270,E270)))))</f>
      </c>
      <c r="M270" s="6">
        <f>IF(AND(I270="Cut",N270&gt;0,K270=""),"USED: say what replaces it (Note)",IF(AND(I270="Rename",J270=""),"type the new name",IF(AND(L270&lt;&gt;"",L270&lt;&gt;"(decide)",COUNTIF($L$2:$L$1680,L270)&gt;1),"SAME FINAL NAME AS ANOTHER ROW","")))</f>
      </c>
      <c r="N270" s="6">
        <v>0</v>
      </c>
      <c r="O270" s="6" t="s">
        <v>2</v>
      </c>
    </row>
    <row r="271" spans="1:15" x14ac:dyDescent="0.25">
      <c r="A271">
        <v>270</v>
      </c>
      <c r="B271" t="s">
        <v>353</v>
      </c>
      <c r="C271" t="s">
        <v>474</v>
      </c>
      <c r="D271" t="s">
        <v>475</v>
      </c>
      <c r="E271" t="s">
        <v>292</v>
      </c>
      <c r="F271" t="s">
        <v>2</v>
      </c>
      <c r="G271" t="s">
        <v>38</v>
      </c>
      <c r="H271" t="s">
        <v>39</v>
      </c>
      <c r="I271" s="5" t="s">
        <v>294</v>
      </c>
      <c r="J271" s="5" t="s">
        <v>2</v>
      </c>
      <c r="K271" s="5" t="s">
        <v>2</v>
      </c>
      <c r="L271" s="6">
        <f>IF(I271="Cut","",IF(I271="Your call","(decide)",IF(I271="Rename",J271,IF(I271="Keep",IF(D271="",E271,D271),IF(E271="(unchanged)",D271,E271)))))</f>
      </c>
      <c r="M271" s="6">
        <f>IF(AND(I271="Cut",N271&gt;0,K271=""),"USED: say what replaces it (Note)",IF(AND(I271="Rename",J271=""),"type the new name",IF(AND(L271&lt;&gt;"",L271&lt;&gt;"(decide)",COUNTIF($L$2:$L$1680,L271)&gt;1),"SAME FINAL NAME AS ANOTHER ROW","")))</f>
      </c>
      <c r="N271" s="6">
        <v>0</v>
      </c>
      <c r="O271" s="6" t="s">
        <v>2</v>
      </c>
    </row>
    <row r="272" spans="1:15" x14ac:dyDescent="0.25">
      <c r="A272">
        <v>271</v>
      </c>
      <c r="B272" t="s">
        <v>353</v>
      </c>
      <c r="C272" t="s">
        <v>474</v>
      </c>
      <c r="D272" t="s">
        <v>476</v>
      </c>
      <c r="E272" t="s">
        <v>292</v>
      </c>
      <c r="F272" t="s">
        <v>2</v>
      </c>
      <c r="G272" t="s">
        <v>38</v>
      </c>
      <c r="H272" t="s">
        <v>39</v>
      </c>
      <c r="I272" s="5" t="s">
        <v>294</v>
      </c>
      <c r="J272" s="5" t="s">
        <v>2</v>
      </c>
      <c r="K272" s="5" t="s">
        <v>2</v>
      </c>
      <c r="L272" s="6">
        <f>IF(I272="Cut","",IF(I272="Your call","(decide)",IF(I272="Rename",J272,IF(I272="Keep",IF(D272="",E272,D272),IF(E272="(unchanged)",D272,E272)))))</f>
      </c>
      <c r="M272" s="6">
        <f>IF(AND(I272="Cut",N272&gt;0,K272=""),"USED: say what replaces it (Note)",IF(AND(I272="Rename",J272=""),"type the new name",IF(AND(L272&lt;&gt;"",L272&lt;&gt;"(decide)",COUNTIF($L$2:$L$1680,L272)&gt;1),"SAME FINAL NAME AS ANOTHER ROW","")))</f>
      </c>
      <c r="N272" s="6">
        <v>0</v>
      </c>
      <c r="O272" s="6" t="s">
        <v>2</v>
      </c>
    </row>
    <row r="273" spans="1:15" x14ac:dyDescent="0.25">
      <c r="A273">
        <v>272</v>
      </c>
      <c r="B273" t="s">
        <v>353</v>
      </c>
      <c r="C273" t="s">
        <v>474</v>
      </c>
      <c r="D273" t="s">
        <v>477</v>
      </c>
      <c r="E273" t="s">
        <v>292</v>
      </c>
      <c r="F273" t="s">
        <v>2</v>
      </c>
      <c r="G273" t="s">
        <v>38</v>
      </c>
      <c r="H273" t="s">
        <v>39</v>
      </c>
      <c r="I273" s="5" t="s">
        <v>294</v>
      </c>
      <c r="J273" s="5" t="s">
        <v>2</v>
      </c>
      <c r="K273" s="5" t="s">
        <v>2</v>
      </c>
      <c r="L273" s="6">
        <f>IF(I273="Cut","",IF(I273="Your call","(decide)",IF(I273="Rename",J273,IF(I273="Keep",IF(D273="",E273,D273),IF(E273="(unchanged)",D273,E273)))))</f>
      </c>
      <c r="M273" s="6">
        <f>IF(AND(I273="Cut",N273&gt;0,K273=""),"USED: say what replaces it (Note)",IF(AND(I273="Rename",J273=""),"type the new name",IF(AND(L273&lt;&gt;"",L273&lt;&gt;"(decide)",COUNTIF($L$2:$L$1680,L273)&gt;1),"SAME FINAL NAME AS ANOTHER ROW","")))</f>
      </c>
      <c r="N273" s="6">
        <v>0</v>
      </c>
      <c r="O273" s="6" t="s">
        <v>2</v>
      </c>
    </row>
    <row r="274" spans="1:15" x14ac:dyDescent="0.25">
      <c r="A274">
        <v>273</v>
      </c>
      <c r="B274" t="s">
        <v>353</v>
      </c>
      <c r="C274" t="s">
        <v>474</v>
      </c>
      <c r="D274" t="s">
        <v>478</v>
      </c>
      <c r="E274" t="s">
        <v>292</v>
      </c>
      <c r="F274" t="s">
        <v>2</v>
      </c>
      <c r="G274" t="s">
        <v>38</v>
      </c>
      <c r="H274" t="s">
        <v>39</v>
      </c>
      <c r="I274" s="5" t="s">
        <v>294</v>
      </c>
      <c r="J274" s="5" t="s">
        <v>2</v>
      </c>
      <c r="K274" s="5" t="s">
        <v>2</v>
      </c>
      <c r="L274" s="6">
        <f>IF(I274="Cut","",IF(I274="Your call","(decide)",IF(I274="Rename",J274,IF(I274="Keep",IF(D274="",E274,D274),IF(E274="(unchanged)",D274,E274)))))</f>
      </c>
      <c r="M274" s="6">
        <f>IF(AND(I274="Cut",N274&gt;0,K274=""),"USED: say what replaces it (Note)",IF(AND(I274="Rename",J274=""),"type the new name",IF(AND(L274&lt;&gt;"",L274&lt;&gt;"(decide)",COUNTIF($L$2:$L$1680,L274)&gt;1),"SAME FINAL NAME AS ANOTHER ROW","")))</f>
      </c>
      <c r="N274" s="6">
        <v>0</v>
      </c>
      <c r="O274" s="6" t="s">
        <v>2</v>
      </c>
    </row>
    <row r="275" spans="1:15" x14ac:dyDescent="0.25">
      <c r="A275">
        <v>274</v>
      </c>
      <c r="B275" t="s">
        <v>353</v>
      </c>
      <c r="C275" t="s">
        <v>474</v>
      </c>
      <c r="D275" t="s">
        <v>479</v>
      </c>
      <c r="E275" t="s">
        <v>292</v>
      </c>
      <c r="F275" t="s">
        <v>2</v>
      </c>
      <c r="G275" t="s">
        <v>38</v>
      </c>
      <c r="H275" t="s">
        <v>39</v>
      </c>
      <c r="I275" s="5" t="s">
        <v>294</v>
      </c>
      <c r="J275" s="5" t="s">
        <v>2</v>
      </c>
      <c r="K275" s="5" t="s">
        <v>2</v>
      </c>
      <c r="L275" s="6">
        <f>IF(I275="Cut","",IF(I275="Your call","(decide)",IF(I275="Rename",J275,IF(I275="Keep",IF(D275="",E275,D275),IF(E275="(unchanged)",D275,E275)))))</f>
      </c>
      <c r="M275" s="6">
        <f>IF(AND(I275="Cut",N275&gt;0,K275=""),"USED: say what replaces it (Note)",IF(AND(I275="Rename",J275=""),"type the new name",IF(AND(L275&lt;&gt;"",L275&lt;&gt;"(decide)",COUNTIF($L$2:$L$1680,L275)&gt;1),"SAME FINAL NAME AS ANOTHER ROW","")))</f>
      </c>
      <c r="N275" s="6">
        <v>0</v>
      </c>
      <c r="O275" s="6" t="s">
        <v>2</v>
      </c>
    </row>
    <row r="276" spans="1:15" x14ac:dyDescent="0.25">
      <c r="A276">
        <v>275</v>
      </c>
      <c r="B276" t="s">
        <v>353</v>
      </c>
      <c r="C276" t="s">
        <v>474</v>
      </c>
      <c r="D276" t="s">
        <v>480</v>
      </c>
      <c r="E276" t="s">
        <v>292</v>
      </c>
      <c r="F276" t="s">
        <v>2</v>
      </c>
      <c r="G276" t="s">
        <v>38</v>
      </c>
      <c r="H276" t="s">
        <v>39</v>
      </c>
      <c r="I276" s="5" t="s">
        <v>294</v>
      </c>
      <c r="J276" s="5" t="s">
        <v>2</v>
      </c>
      <c r="K276" s="5" t="s">
        <v>2</v>
      </c>
      <c r="L276" s="6">
        <f>IF(I276="Cut","",IF(I276="Your call","(decide)",IF(I276="Rename",J276,IF(I276="Keep",IF(D276="",E276,D276),IF(E276="(unchanged)",D276,E276)))))</f>
      </c>
      <c r="M276" s="6">
        <f>IF(AND(I276="Cut",N276&gt;0,K276=""),"USED: say what replaces it (Note)",IF(AND(I276="Rename",J276=""),"type the new name",IF(AND(L276&lt;&gt;"",L276&lt;&gt;"(decide)",COUNTIF($L$2:$L$1680,L276)&gt;1),"SAME FINAL NAME AS ANOTHER ROW","")))</f>
      </c>
      <c r="N276" s="6">
        <v>0</v>
      </c>
      <c r="O276" s="6" t="s">
        <v>2</v>
      </c>
    </row>
    <row r="277" spans="1:15" x14ac:dyDescent="0.25">
      <c r="A277">
        <v>276</v>
      </c>
      <c r="B277" t="s">
        <v>353</v>
      </c>
      <c r="C277" t="s">
        <v>474</v>
      </c>
      <c r="D277" t="s">
        <v>481</v>
      </c>
      <c r="E277" t="s">
        <v>292</v>
      </c>
      <c r="F277" t="s">
        <v>2</v>
      </c>
      <c r="G277" t="s">
        <v>38</v>
      </c>
      <c r="H277" t="s">
        <v>39</v>
      </c>
      <c r="I277" s="5" t="s">
        <v>294</v>
      </c>
      <c r="J277" s="5" t="s">
        <v>2</v>
      </c>
      <c r="K277" s="5" t="s">
        <v>2</v>
      </c>
      <c r="L277" s="6">
        <f>IF(I277="Cut","",IF(I277="Your call","(decide)",IF(I277="Rename",J277,IF(I277="Keep",IF(D277="",E277,D277),IF(E277="(unchanged)",D277,E277)))))</f>
      </c>
      <c r="M277" s="6">
        <f>IF(AND(I277="Cut",N277&gt;0,K277=""),"USED: say what replaces it (Note)",IF(AND(I277="Rename",J277=""),"type the new name",IF(AND(L277&lt;&gt;"",L277&lt;&gt;"(decide)",COUNTIF($L$2:$L$1680,L277)&gt;1),"SAME FINAL NAME AS ANOTHER ROW","")))</f>
      </c>
      <c r="N277" s="6">
        <v>0</v>
      </c>
      <c r="O277" s="6" t="s">
        <v>2</v>
      </c>
    </row>
    <row r="278" spans="1:15" x14ac:dyDescent="0.25">
      <c r="A278">
        <v>277</v>
      </c>
      <c r="B278" t="s">
        <v>353</v>
      </c>
      <c r="C278" t="s">
        <v>474</v>
      </c>
      <c r="D278" t="s">
        <v>482</v>
      </c>
      <c r="E278" t="s">
        <v>292</v>
      </c>
      <c r="F278" t="s">
        <v>2</v>
      </c>
      <c r="G278" t="s">
        <v>38</v>
      </c>
      <c r="H278" t="s">
        <v>39</v>
      </c>
      <c r="I278" s="5" t="s">
        <v>294</v>
      </c>
      <c r="J278" s="5" t="s">
        <v>2</v>
      </c>
      <c r="K278" s="5" t="s">
        <v>2</v>
      </c>
      <c r="L278" s="6">
        <f>IF(I278="Cut","",IF(I278="Your call","(decide)",IF(I278="Rename",J278,IF(I278="Keep",IF(D278="",E278,D278),IF(E278="(unchanged)",D278,E278)))))</f>
      </c>
      <c r="M278" s="6">
        <f>IF(AND(I278="Cut",N278&gt;0,K278=""),"USED: say what replaces it (Note)",IF(AND(I278="Rename",J278=""),"type the new name",IF(AND(L278&lt;&gt;"",L278&lt;&gt;"(decide)",COUNTIF($L$2:$L$1680,L278)&gt;1),"SAME FINAL NAME AS ANOTHER ROW","")))</f>
      </c>
      <c r="N278" s="6">
        <v>0</v>
      </c>
      <c r="O278" s="6" t="s">
        <v>2</v>
      </c>
    </row>
    <row r="279" spans="1:15" x14ac:dyDescent="0.25">
      <c r="A279">
        <v>278</v>
      </c>
      <c r="B279" t="s">
        <v>353</v>
      </c>
      <c r="C279" t="s">
        <v>474</v>
      </c>
      <c r="D279" t="s">
        <v>483</v>
      </c>
      <c r="E279" t="s">
        <v>292</v>
      </c>
      <c r="F279" t="s">
        <v>2</v>
      </c>
      <c r="G279" t="s">
        <v>38</v>
      </c>
      <c r="H279" t="s">
        <v>39</v>
      </c>
      <c r="I279" s="5" t="s">
        <v>294</v>
      </c>
      <c r="J279" s="5" t="s">
        <v>2</v>
      </c>
      <c r="K279" s="5" t="s">
        <v>2</v>
      </c>
      <c r="L279" s="6">
        <f>IF(I279="Cut","",IF(I279="Your call","(decide)",IF(I279="Rename",J279,IF(I279="Keep",IF(D279="",E279,D279),IF(E279="(unchanged)",D279,E279)))))</f>
      </c>
      <c r="M279" s="6">
        <f>IF(AND(I279="Cut",N279&gt;0,K279=""),"USED: say what replaces it (Note)",IF(AND(I279="Rename",J279=""),"type the new name",IF(AND(L279&lt;&gt;"",L279&lt;&gt;"(decide)",COUNTIF($L$2:$L$1680,L279)&gt;1),"SAME FINAL NAME AS ANOTHER ROW","")))</f>
      </c>
      <c r="N279" s="6">
        <v>0</v>
      </c>
      <c r="O279" s="6" t="s">
        <v>2</v>
      </c>
    </row>
    <row r="280" spans="1:15" x14ac:dyDescent="0.25">
      <c r="A280">
        <v>279</v>
      </c>
      <c r="B280" t="s">
        <v>353</v>
      </c>
      <c r="C280" t="s">
        <v>2</v>
      </c>
      <c r="D280" t="s">
        <v>484</v>
      </c>
      <c r="E280" t="s">
        <v>292</v>
      </c>
      <c r="F280" t="s">
        <v>2</v>
      </c>
      <c r="G280" t="s">
        <v>38</v>
      </c>
      <c r="H280" t="s">
        <v>39</v>
      </c>
      <c r="I280" s="5" t="s">
        <v>294</v>
      </c>
      <c r="J280" s="5" t="s">
        <v>2</v>
      </c>
      <c r="K280" s="5" t="s">
        <v>2</v>
      </c>
      <c r="L280" s="6">
        <f>IF(I280="Cut","",IF(I280="Your call","(decide)",IF(I280="Rename",J280,IF(I280="Keep",IF(D280="",E280,D280),IF(E280="(unchanged)",D280,E280)))))</f>
      </c>
      <c r="M280" s="6">
        <f>IF(AND(I280="Cut",N280&gt;0,K280=""),"USED: say what replaces it (Note)",IF(AND(I280="Rename",J280=""),"type the new name",IF(AND(L280&lt;&gt;"",L280&lt;&gt;"(decide)",COUNTIF($L$2:$L$1680,L280)&gt;1),"SAME FINAL NAME AS ANOTHER ROW","")))</f>
      </c>
      <c r="N280" s="6">
        <v>0</v>
      </c>
      <c r="O280" s="6" t="s">
        <v>2</v>
      </c>
    </row>
    <row r="281" spans="1:15" x14ac:dyDescent="0.25">
      <c r="A281">
        <v>280</v>
      </c>
      <c r="B281" t="s">
        <v>353</v>
      </c>
      <c r="C281" t="s">
        <v>485</v>
      </c>
      <c r="D281" t="s">
        <v>486</v>
      </c>
      <c r="E281" t="s">
        <v>292</v>
      </c>
      <c r="F281" t="s">
        <v>2</v>
      </c>
      <c r="G281" t="s">
        <v>38</v>
      </c>
      <c r="H281" t="s">
        <v>39</v>
      </c>
      <c r="I281" s="5" t="s">
        <v>294</v>
      </c>
      <c r="J281" s="5" t="s">
        <v>2</v>
      </c>
      <c r="K281" s="5" t="s">
        <v>2</v>
      </c>
      <c r="L281" s="6">
        <f>IF(I281="Cut","",IF(I281="Your call","(decide)",IF(I281="Rename",J281,IF(I281="Keep",IF(D281="",E281,D281),IF(E281="(unchanged)",D281,E281)))))</f>
      </c>
      <c r="M281" s="6">
        <f>IF(AND(I281="Cut",N281&gt;0,K281=""),"USED: say what replaces it (Note)",IF(AND(I281="Rename",J281=""),"type the new name",IF(AND(L281&lt;&gt;"",L281&lt;&gt;"(decide)",COUNTIF($L$2:$L$1680,L281)&gt;1),"SAME FINAL NAME AS ANOTHER ROW","")))</f>
      </c>
      <c r="N281" s="6">
        <v>0</v>
      </c>
      <c r="O281" s="6" t="s">
        <v>2</v>
      </c>
    </row>
    <row r="282" spans="1:15" x14ac:dyDescent="0.25">
      <c r="A282">
        <v>281</v>
      </c>
      <c r="B282" t="s">
        <v>353</v>
      </c>
      <c r="C282" t="s">
        <v>485</v>
      </c>
      <c r="D282" t="s">
        <v>487</v>
      </c>
      <c r="E282" t="s">
        <v>292</v>
      </c>
      <c r="F282" t="s">
        <v>2</v>
      </c>
      <c r="G282" t="s">
        <v>38</v>
      </c>
      <c r="H282" t="s">
        <v>39</v>
      </c>
      <c r="I282" s="5" t="s">
        <v>294</v>
      </c>
      <c r="J282" s="5" t="s">
        <v>2</v>
      </c>
      <c r="K282" s="5" t="s">
        <v>2</v>
      </c>
      <c r="L282" s="6">
        <f>IF(I282="Cut","",IF(I282="Your call","(decide)",IF(I282="Rename",J282,IF(I282="Keep",IF(D282="",E282,D282),IF(E282="(unchanged)",D282,E282)))))</f>
      </c>
      <c r="M282" s="6">
        <f>IF(AND(I282="Cut",N282&gt;0,K282=""),"USED: say what replaces it (Note)",IF(AND(I282="Rename",J282=""),"type the new name",IF(AND(L282&lt;&gt;"",L282&lt;&gt;"(decide)",COUNTIF($L$2:$L$1680,L282)&gt;1),"SAME FINAL NAME AS ANOTHER ROW","")))</f>
      </c>
      <c r="N282" s="6">
        <v>0</v>
      </c>
      <c r="O282" s="6" t="s">
        <v>2</v>
      </c>
    </row>
    <row r="283" spans="1:15" x14ac:dyDescent="0.25">
      <c r="A283">
        <v>282</v>
      </c>
      <c r="B283" t="s">
        <v>353</v>
      </c>
      <c r="C283" t="s">
        <v>485</v>
      </c>
      <c r="D283" t="s">
        <v>488</v>
      </c>
      <c r="E283" t="s">
        <v>292</v>
      </c>
      <c r="F283" t="s">
        <v>2</v>
      </c>
      <c r="G283" t="s">
        <v>38</v>
      </c>
      <c r="H283" t="s">
        <v>39</v>
      </c>
      <c r="I283" s="5" t="s">
        <v>294</v>
      </c>
      <c r="J283" s="5" t="s">
        <v>2</v>
      </c>
      <c r="K283" s="5" t="s">
        <v>2</v>
      </c>
      <c r="L283" s="6">
        <f>IF(I283="Cut","",IF(I283="Your call","(decide)",IF(I283="Rename",J283,IF(I283="Keep",IF(D283="",E283,D283),IF(E283="(unchanged)",D283,E283)))))</f>
      </c>
      <c r="M283" s="6">
        <f>IF(AND(I283="Cut",N283&gt;0,K283=""),"USED: say what replaces it (Note)",IF(AND(I283="Rename",J283=""),"type the new name",IF(AND(L283&lt;&gt;"",L283&lt;&gt;"(decide)",COUNTIF($L$2:$L$1680,L283)&gt;1),"SAME FINAL NAME AS ANOTHER ROW","")))</f>
      </c>
      <c r="N283" s="6">
        <v>0</v>
      </c>
      <c r="O283" s="6" t="s">
        <v>2</v>
      </c>
    </row>
    <row r="284" spans="1:15" x14ac:dyDescent="0.25">
      <c r="A284">
        <v>283</v>
      </c>
      <c r="B284" t="s">
        <v>353</v>
      </c>
      <c r="C284" t="s">
        <v>485</v>
      </c>
      <c r="D284" t="s">
        <v>489</v>
      </c>
      <c r="E284" t="s">
        <v>292</v>
      </c>
      <c r="F284" t="s">
        <v>2</v>
      </c>
      <c r="G284" t="s">
        <v>38</v>
      </c>
      <c r="H284" t="s">
        <v>39</v>
      </c>
      <c r="I284" s="5" t="s">
        <v>294</v>
      </c>
      <c r="J284" s="5" t="s">
        <v>2</v>
      </c>
      <c r="K284" s="5" t="s">
        <v>2</v>
      </c>
      <c r="L284" s="6">
        <f>IF(I284="Cut","",IF(I284="Your call","(decide)",IF(I284="Rename",J284,IF(I284="Keep",IF(D284="",E284,D284),IF(E284="(unchanged)",D284,E284)))))</f>
      </c>
      <c r="M284" s="6">
        <f>IF(AND(I284="Cut",N284&gt;0,K284=""),"USED: say what replaces it (Note)",IF(AND(I284="Rename",J284=""),"type the new name",IF(AND(L284&lt;&gt;"",L284&lt;&gt;"(decide)",COUNTIF($L$2:$L$1680,L284)&gt;1),"SAME FINAL NAME AS ANOTHER ROW","")))</f>
      </c>
      <c r="N284" s="6">
        <v>0</v>
      </c>
      <c r="O284" s="6" t="s">
        <v>2</v>
      </c>
    </row>
    <row r="285" spans="1:15" x14ac:dyDescent="0.25">
      <c r="A285">
        <v>284</v>
      </c>
      <c r="B285" t="s">
        <v>353</v>
      </c>
      <c r="C285" t="s">
        <v>485</v>
      </c>
      <c r="D285" t="s">
        <v>490</v>
      </c>
      <c r="E285" t="s">
        <v>292</v>
      </c>
      <c r="F285" t="s">
        <v>2</v>
      </c>
      <c r="G285" t="s">
        <v>38</v>
      </c>
      <c r="H285" t="s">
        <v>39</v>
      </c>
      <c r="I285" s="5" t="s">
        <v>294</v>
      </c>
      <c r="J285" s="5" t="s">
        <v>2</v>
      </c>
      <c r="K285" s="5" t="s">
        <v>2</v>
      </c>
      <c r="L285" s="6">
        <f>IF(I285="Cut","",IF(I285="Your call","(decide)",IF(I285="Rename",J285,IF(I285="Keep",IF(D285="",E285,D285),IF(E285="(unchanged)",D285,E285)))))</f>
      </c>
      <c r="M285" s="6">
        <f>IF(AND(I285="Cut",N285&gt;0,K285=""),"USED: say what replaces it (Note)",IF(AND(I285="Rename",J285=""),"type the new name",IF(AND(L285&lt;&gt;"",L285&lt;&gt;"(decide)",COUNTIF($L$2:$L$1680,L285)&gt;1),"SAME FINAL NAME AS ANOTHER ROW","")))</f>
      </c>
      <c r="N285" s="6">
        <v>0</v>
      </c>
      <c r="O285" s="6" t="s">
        <v>2</v>
      </c>
    </row>
    <row r="286" spans="1:15" x14ac:dyDescent="0.25">
      <c r="A286">
        <v>285</v>
      </c>
      <c r="B286" t="s">
        <v>353</v>
      </c>
      <c r="C286" t="s">
        <v>485</v>
      </c>
      <c r="D286" t="s">
        <v>491</v>
      </c>
      <c r="E286" t="s">
        <v>292</v>
      </c>
      <c r="F286" t="s">
        <v>2</v>
      </c>
      <c r="G286" t="s">
        <v>38</v>
      </c>
      <c r="H286" t="s">
        <v>39</v>
      </c>
      <c r="I286" s="5" t="s">
        <v>294</v>
      </c>
      <c r="J286" s="5" t="s">
        <v>2</v>
      </c>
      <c r="K286" s="5" t="s">
        <v>2</v>
      </c>
      <c r="L286" s="6">
        <f>IF(I286="Cut","",IF(I286="Your call","(decide)",IF(I286="Rename",J286,IF(I286="Keep",IF(D286="",E286,D286),IF(E286="(unchanged)",D286,E286)))))</f>
      </c>
      <c r="M286" s="6">
        <f>IF(AND(I286="Cut",N286&gt;0,K286=""),"USED: say what replaces it (Note)",IF(AND(I286="Rename",J286=""),"type the new name",IF(AND(L286&lt;&gt;"",L286&lt;&gt;"(decide)",COUNTIF($L$2:$L$1680,L286)&gt;1),"SAME FINAL NAME AS ANOTHER ROW","")))</f>
      </c>
      <c r="N286" s="6">
        <v>0</v>
      </c>
      <c r="O286" s="6" t="s">
        <v>2</v>
      </c>
    </row>
    <row r="287" spans="1:15" x14ac:dyDescent="0.25">
      <c r="A287">
        <v>286</v>
      </c>
      <c r="B287" t="s">
        <v>353</v>
      </c>
      <c r="C287" t="s">
        <v>485</v>
      </c>
      <c r="D287" t="s">
        <v>492</v>
      </c>
      <c r="E287" t="s">
        <v>292</v>
      </c>
      <c r="F287" t="s">
        <v>2</v>
      </c>
      <c r="G287" t="s">
        <v>38</v>
      </c>
      <c r="H287" t="s">
        <v>39</v>
      </c>
      <c r="I287" s="5" t="s">
        <v>294</v>
      </c>
      <c r="J287" s="5" t="s">
        <v>2</v>
      </c>
      <c r="K287" s="5" t="s">
        <v>2</v>
      </c>
      <c r="L287" s="6">
        <f>IF(I287="Cut","",IF(I287="Your call","(decide)",IF(I287="Rename",J287,IF(I287="Keep",IF(D287="",E287,D287),IF(E287="(unchanged)",D287,E287)))))</f>
      </c>
      <c r="M287" s="6">
        <f>IF(AND(I287="Cut",N287&gt;0,K287=""),"USED: say what replaces it (Note)",IF(AND(I287="Rename",J287=""),"type the new name",IF(AND(L287&lt;&gt;"",L287&lt;&gt;"(decide)",COUNTIF($L$2:$L$1680,L287)&gt;1),"SAME FINAL NAME AS ANOTHER ROW","")))</f>
      </c>
      <c r="N287" s="6">
        <v>0</v>
      </c>
      <c r="O287" s="6" t="s">
        <v>2</v>
      </c>
    </row>
    <row r="288" spans="1:15" x14ac:dyDescent="0.25">
      <c r="A288">
        <v>287</v>
      </c>
      <c r="B288" t="s">
        <v>353</v>
      </c>
      <c r="C288" t="s">
        <v>485</v>
      </c>
      <c r="D288" t="s">
        <v>493</v>
      </c>
      <c r="E288" t="s">
        <v>292</v>
      </c>
      <c r="F288" t="s">
        <v>2</v>
      </c>
      <c r="G288" t="s">
        <v>38</v>
      </c>
      <c r="H288" t="s">
        <v>39</v>
      </c>
      <c r="I288" s="5" t="s">
        <v>294</v>
      </c>
      <c r="J288" s="5" t="s">
        <v>2</v>
      </c>
      <c r="K288" s="5" t="s">
        <v>2</v>
      </c>
      <c r="L288" s="6">
        <f>IF(I288="Cut","",IF(I288="Your call","(decide)",IF(I288="Rename",J288,IF(I288="Keep",IF(D288="",E288,D288),IF(E288="(unchanged)",D288,E288)))))</f>
      </c>
      <c r="M288" s="6">
        <f>IF(AND(I288="Cut",N288&gt;0,K288=""),"USED: say what replaces it (Note)",IF(AND(I288="Rename",J288=""),"type the new name",IF(AND(L288&lt;&gt;"",L288&lt;&gt;"(decide)",COUNTIF($L$2:$L$1680,L288)&gt;1),"SAME FINAL NAME AS ANOTHER ROW","")))</f>
      </c>
      <c r="N288" s="6">
        <v>0</v>
      </c>
      <c r="O288" s="6" t="s">
        <v>2</v>
      </c>
    </row>
    <row r="289" spans="1:15" x14ac:dyDescent="0.25">
      <c r="A289">
        <v>288</v>
      </c>
      <c r="B289" t="s">
        <v>353</v>
      </c>
      <c r="C289" t="s">
        <v>485</v>
      </c>
      <c r="D289" t="s">
        <v>494</v>
      </c>
      <c r="E289" t="s">
        <v>292</v>
      </c>
      <c r="F289" t="s">
        <v>2</v>
      </c>
      <c r="G289" t="s">
        <v>38</v>
      </c>
      <c r="H289" t="s">
        <v>39</v>
      </c>
      <c r="I289" s="5" t="s">
        <v>294</v>
      </c>
      <c r="J289" s="5" t="s">
        <v>2</v>
      </c>
      <c r="K289" s="5" t="s">
        <v>2</v>
      </c>
      <c r="L289" s="6">
        <f>IF(I289="Cut","",IF(I289="Your call","(decide)",IF(I289="Rename",J289,IF(I289="Keep",IF(D289="",E289,D289),IF(E289="(unchanged)",D289,E289)))))</f>
      </c>
      <c r="M289" s="6">
        <f>IF(AND(I289="Cut",N289&gt;0,K289=""),"USED: say what replaces it (Note)",IF(AND(I289="Rename",J289=""),"type the new name",IF(AND(L289&lt;&gt;"",L289&lt;&gt;"(decide)",COUNTIF($L$2:$L$1680,L289)&gt;1),"SAME FINAL NAME AS ANOTHER ROW","")))</f>
      </c>
      <c r="N289" s="6">
        <v>0</v>
      </c>
      <c r="O289" s="6" t="s">
        <v>2</v>
      </c>
    </row>
    <row r="290" spans="1:15" x14ac:dyDescent="0.25">
      <c r="A290">
        <v>289</v>
      </c>
      <c r="B290" t="s">
        <v>353</v>
      </c>
      <c r="C290" t="s">
        <v>495</v>
      </c>
      <c r="D290" t="s">
        <v>496</v>
      </c>
      <c r="E290" t="s">
        <v>292</v>
      </c>
      <c r="F290" t="s">
        <v>2</v>
      </c>
      <c r="G290" t="s">
        <v>38</v>
      </c>
      <c r="H290" t="s">
        <v>39</v>
      </c>
      <c r="I290" s="5" t="s">
        <v>294</v>
      </c>
      <c r="J290" s="5" t="s">
        <v>2</v>
      </c>
      <c r="K290" s="5" t="s">
        <v>2</v>
      </c>
      <c r="L290" s="6">
        <f>IF(I290="Cut","",IF(I290="Your call","(decide)",IF(I290="Rename",J290,IF(I290="Keep",IF(D290="",E290,D290),IF(E290="(unchanged)",D290,E290)))))</f>
      </c>
      <c r="M290" s="6">
        <f>IF(AND(I290="Cut",N290&gt;0,K290=""),"USED: say what replaces it (Note)",IF(AND(I290="Rename",J290=""),"type the new name",IF(AND(L290&lt;&gt;"",L290&lt;&gt;"(decide)",COUNTIF($L$2:$L$1680,L290)&gt;1),"SAME FINAL NAME AS ANOTHER ROW","")))</f>
      </c>
      <c r="N290" s="6">
        <v>0</v>
      </c>
      <c r="O290" s="6" t="s">
        <v>2</v>
      </c>
    </row>
    <row r="291" spans="1:15" x14ac:dyDescent="0.25">
      <c r="A291">
        <v>290</v>
      </c>
      <c r="B291" t="s">
        <v>353</v>
      </c>
      <c r="C291" t="s">
        <v>495</v>
      </c>
      <c r="D291" t="s">
        <v>497</v>
      </c>
      <c r="E291" t="s">
        <v>292</v>
      </c>
      <c r="F291" t="s">
        <v>2</v>
      </c>
      <c r="G291" t="s">
        <v>38</v>
      </c>
      <c r="H291" t="s">
        <v>39</v>
      </c>
      <c r="I291" s="5" t="s">
        <v>294</v>
      </c>
      <c r="J291" s="5" t="s">
        <v>2</v>
      </c>
      <c r="K291" s="5" t="s">
        <v>2</v>
      </c>
      <c r="L291" s="6">
        <f>IF(I291="Cut","",IF(I291="Your call","(decide)",IF(I291="Rename",J291,IF(I291="Keep",IF(D291="",E291,D291),IF(E291="(unchanged)",D291,E291)))))</f>
      </c>
      <c r="M291" s="6">
        <f>IF(AND(I291="Cut",N291&gt;0,K291=""),"USED: say what replaces it (Note)",IF(AND(I291="Rename",J291=""),"type the new name",IF(AND(L291&lt;&gt;"",L291&lt;&gt;"(decide)",COUNTIF($L$2:$L$1680,L291)&gt;1),"SAME FINAL NAME AS ANOTHER ROW","")))</f>
      </c>
      <c r="N291" s="6">
        <v>0</v>
      </c>
      <c r="O291" s="6" t="s">
        <v>2</v>
      </c>
    </row>
    <row r="292" spans="1:15" x14ac:dyDescent="0.25">
      <c r="A292">
        <v>291</v>
      </c>
      <c r="B292" t="s">
        <v>353</v>
      </c>
      <c r="C292" t="s">
        <v>495</v>
      </c>
      <c r="D292" t="s">
        <v>498</v>
      </c>
      <c r="E292" t="s">
        <v>292</v>
      </c>
      <c r="F292" t="s">
        <v>2</v>
      </c>
      <c r="G292" t="s">
        <v>38</v>
      </c>
      <c r="H292" t="s">
        <v>39</v>
      </c>
      <c r="I292" s="5" t="s">
        <v>294</v>
      </c>
      <c r="J292" s="5" t="s">
        <v>2</v>
      </c>
      <c r="K292" s="5" t="s">
        <v>2</v>
      </c>
      <c r="L292" s="6">
        <f>IF(I292="Cut","",IF(I292="Your call","(decide)",IF(I292="Rename",J292,IF(I292="Keep",IF(D292="",E292,D292),IF(E292="(unchanged)",D292,E292)))))</f>
      </c>
      <c r="M292" s="6">
        <f>IF(AND(I292="Cut",N292&gt;0,K292=""),"USED: say what replaces it (Note)",IF(AND(I292="Rename",J292=""),"type the new name",IF(AND(L292&lt;&gt;"",L292&lt;&gt;"(decide)",COUNTIF($L$2:$L$1680,L292)&gt;1),"SAME FINAL NAME AS ANOTHER ROW","")))</f>
      </c>
      <c r="N292" s="6">
        <v>0</v>
      </c>
      <c r="O292" s="6" t="s">
        <v>2</v>
      </c>
    </row>
    <row r="293" spans="1:15" x14ac:dyDescent="0.25">
      <c r="A293">
        <v>292</v>
      </c>
      <c r="B293" t="s">
        <v>353</v>
      </c>
      <c r="C293" t="s">
        <v>495</v>
      </c>
      <c r="D293" t="s">
        <v>499</v>
      </c>
      <c r="E293" t="s">
        <v>292</v>
      </c>
      <c r="F293" t="s">
        <v>2</v>
      </c>
      <c r="G293" t="s">
        <v>38</v>
      </c>
      <c r="H293" t="s">
        <v>39</v>
      </c>
      <c r="I293" s="5" t="s">
        <v>294</v>
      </c>
      <c r="J293" s="5" t="s">
        <v>2</v>
      </c>
      <c r="K293" s="5" t="s">
        <v>2</v>
      </c>
      <c r="L293" s="6">
        <f>IF(I293="Cut","",IF(I293="Your call","(decide)",IF(I293="Rename",J293,IF(I293="Keep",IF(D293="",E293,D293),IF(E293="(unchanged)",D293,E293)))))</f>
      </c>
      <c r="M293" s="6">
        <f>IF(AND(I293="Cut",N293&gt;0,K293=""),"USED: say what replaces it (Note)",IF(AND(I293="Rename",J293=""),"type the new name",IF(AND(L293&lt;&gt;"",L293&lt;&gt;"(decide)",COUNTIF($L$2:$L$1680,L293)&gt;1),"SAME FINAL NAME AS ANOTHER ROW","")))</f>
      </c>
      <c r="N293" s="6">
        <v>0</v>
      </c>
      <c r="O293" s="6" t="s">
        <v>2</v>
      </c>
    </row>
    <row r="294" spans="1:15" x14ac:dyDescent="0.25">
      <c r="A294">
        <v>293</v>
      </c>
      <c r="B294" t="s">
        <v>353</v>
      </c>
      <c r="C294" t="s">
        <v>495</v>
      </c>
      <c r="D294" t="s">
        <v>500</v>
      </c>
      <c r="E294" t="s">
        <v>292</v>
      </c>
      <c r="F294" t="s">
        <v>2</v>
      </c>
      <c r="G294" t="s">
        <v>38</v>
      </c>
      <c r="H294" t="s">
        <v>39</v>
      </c>
      <c r="I294" s="5" t="s">
        <v>294</v>
      </c>
      <c r="J294" s="5" t="s">
        <v>2</v>
      </c>
      <c r="K294" s="5" t="s">
        <v>2</v>
      </c>
      <c r="L294" s="6">
        <f>IF(I294="Cut","",IF(I294="Your call","(decide)",IF(I294="Rename",J294,IF(I294="Keep",IF(D294="",E294,D294),IF(E294="(unchanged)",D294,E294)))))</f>
      </c>
      <c r="M294" s="6">
        <f>IF(AND(I294="Cut",N294&gt;0,K294=""),"USED: say what replaces it (Note)",IF(AND(I294="Rename",J294=""),"type the new name",IF(AND(L294&lt;&gt;"",L294&lt;&gt;"(decide)",COUNTIF($L$2:$L$1680,L294)&gt;1),"SAME FINAL NAME AS ANOTHER ROW","")))</f>
      </c>
      <c r="N294" s="6">
        <v>0</v>
      </c>
      <c r="O294" s="6" t="s">
        <v>2</v>
      </c>
    </row>
    <row r="295" spans="1:15" x14ac:dyDescent="0.25">
      <c r="A295">
        <v>294</v>
      </c>
      <c r="B295" t="s">
        <v>353</v>
      </c>
      <c r="C295" t="s">
        <v>495</v>
      </c>
      <c r="D295" t="s">
        <v>501</v>
      </c>
      <c r="E295" t="s">
        <v>292</v>
      </c>
      <c r="F295" t="s">
        <v>2</v>
      </c>
      <c r="G295" t="s">
        <v>38</v>
      </c>
      <c r="H295" t="s">
        <v>39</v>
      </c>
      <c r="I295" s="5" t="s">
        <v>294</v>
      </c>
      <c r="J295" s="5" t="s">
        <v>2</v>
      </c>
      <c r="K295" s="5" t="s">
        <v>2</v>
      </c>
      <c r="L295" s="6">
        <f>IF(I295="Cut","",IF(I295="Your call","(decide)",IF(I295="Rename",J295,IF(I295="Keep",IF(D295="",E295,D295),IF(E295="(unchanged)",D295,E295)))))</f>
      </c>
      <c r="M295" s="6">
        <f>IF(AND(I295="Cut",N295&gt;0,K295=""),"USED: say what replaces it (Note)",IF(AND(I295="Rename",J295=""),"type the new name",IF(AND(L295&lt;&gt;"",L295&lt;&gt;"(decide)",COUNTIF($L$2:$L$1680,L295)&gt;1),"SAME FINAL NAME AS ANOTHER ROW","")))</f>
      </c>
      <c r="N295" s="6">
        <v>0</v>
      </c>
      <c r="O295" s="6" t="s">
        <v>2</v>
      </c>
    </row>
    <row r="296" spans="1:15" x14ac:dyDescent="0.25">
      <c r="A296">
        <v>295</v>
      </c>
      <c r="B296" t="s">
        <v>353</v>
      </c>
      <c r="C296" t="s">
        <v>495</v>
      </c>
      <c r="D296" t="s">
        <v>502</v>
      </c>
      <c r="E296" t="s">
        <v>292</v>
      </c>
      <c r="F296" t="s">
        <v>2</v>
      </c>
      <c r="G296" t="s">
        <v>38</v>
      </c>
      <c r="H296" t="s">
        <v>39</v>
      </c>
      <c r="I296" s="5" t="s">
        <v>294</v>
      </c>
      <c r="J296" s="5" t="s">
        <v>2</v>
      </c>
      <c r="K296" s="5" t="s">
        <v>2</v>
      </c>
      <c r="L296" s="6">
        <f>IF(I296="Cut","",IF(I296="Your call","(decide)",IF(I296="Rename",J296,IF(I296="Keep",IF(D296="",E296,D296),IF(E296="(unchanged)",D296,E296)))))</f>
      </c>
      <c r="M296" s="6">
        <f>IF(AND(I296="Cut",N296&gt;0,K296=""),"USED: say what replaces it (Note)",IF(AND(I296="Rename",J296=""),"type the new name",IF(AND(L296&lt;&gt;"",L296&lt;&gt;"(decide)",COUNTIF($L$2:$L$1680,L296)&gt;1),"SAME FINAL NAME AS ANOTHER ROW","")))</f>
      </c>
      <c r="N296" s="6">
        <v>0</v>
      </c>
      <c r="O296" s="6" t="s">
        <v>2</v>
      </c>
    </row>
    <row r="297" spans="1:15" x14ac:dyDescent="0.25">
      <c r="A297">
        <v>296</v>
      </c>
      <c r="B297" t="s">
        <v>353</v>
      </c>
      <c r="C297" t="s">
        <v>495</v>
      </c>
      <c r="D297" t="s">
        <v>503</v>
      </c>
      <c r="E297" t="s">
        <v>292</v>
      </c>
      <c r="F297" t="s">
        <v>2</v>
      </c>
      <c r="G297" t="s">
        <v>38</v>
      </c>
      <c r="H297" t="s">
        <v>39</v>
      </c>
      <c r="I297" s="5" t="s">
        <v>294</v>
      </c>
      <c r="J297" s="5" t="s">
        <v>2</v>
      </c>
      <c r="K297" s="5" t="s">
        <v>2</v>
      </c>
      <c r="L297" s="6">
        <f>IF(I297="Cut","",IF(I297="Your call","(decide)",IF(I297="Rename",J297,IF(I297="Keep",IF(D297="",E297,D297),IF(E297="(unchanged)",D297,E297)))))</f>
      </c>
      <c r="M297" s="6">
        <f>IF(AND(I297="Cut",N297&gt;0,K297=""),"USED: say what replaces it (Note)",IF(AND(I297="Rename",J297=""),"type the new name",IF(AND(L297&lt;&gt;"",L297&lt;&gt;"(decide)",COUNTIF($L$2:$L$1680,L297)&gt;1),"SAME FINAL NAME AS ANOTHER ROW","")))</f>
      </c>
      <c r="N297" s="6">
        <v>0</v>
      </c>
      <c r="O297" s="6" t="s">
        <v>2</v>
      </c>
    </row>
    <row r="298" spans="1:15" x14ac:dyDescent="0.25">
      <c r="A298">
        <v>297</v>
      </c>
      <c r="B298" t="s">
        <v>353</v>
      </c>
      <c r="C298" t="s">
        <v>495</v>
      </c>
      <c r="D298" t="s">
        <v>504</v>
      </c>
      <c r="E298" t="s">
        <v>292</v>
      </c>
      <c r="F298" t="s">
        <v>2</v>
      </c>
      <c r="G298" t="s">
        <v>38</v>
      </c>
      <c r="H298" t="s">
        <v>39</v>
      </c>
      <c r="I298" s="5" t="s">
        <v>294</v>
      </c>
      <c r="J298" s="5" t="s">
        <v>2</v>
      </c>
      <c r="K298" s="5" t="s">
        <v>2</v>
      </c>
      <c r="L298" s="6">
        <f>IF(I298="Cut","",IF(I298="Your call","(decide)",IF(I298="Rename",J298,IF(I298="Keep",IF(D298="",E298,D298),IF(E298="(unchanged)",D298,E298)))))</f>
      </c>
      <c r="M298" s="6">
        <f>IF(AND(I298="Cut",N298&gt;0,K298=""),"USED: say what replaces it (Note)",IF(AND(I298="Rename",J298=""),"type the new name",IF(AND(L298&lt;&gt;"",L298&lt;&gt;"(decide)",COUNTIF($L$2:$L$1680,L298)&gt;1),"SAME FINAL NAME AS ANOTHER ROW","")))</f>
      </c>
      <c r="N298" s="6">
        <v>0</v>
      </c>
      <c r="O298" s="6" t="s">
        <v>2</v>
      </c>
    </row>
    <row r="299" spans="1:15" x14ac:dyDescent="0.25">
      <c r="A299">
        <v>298</v>
      </c>
      <c r="B299" t="s">
        <v>353</v>
      </c>
      <c r="C299" t="s">
        <v>505</v>
      </c>
      <c r="D299" t="s">
        <v>506</v>
      </c>
      <c r="E299" t="s">
        <v>292</v>
      </c>
      <c r="F299" t="s">
        <v>2</v>
      </c>
      <c r="G299" t="s">
        <v>38</v>
      </c>
      <c r="H299" t="s">
        <v>39</v>
      </c>
      <c r="I299" s="5" t="s">
        <v>294</v>
      </c>
      <c r="J299" s="5" t="s">
        <v>2</v>
      </c>
      <c r="K299" s="5" t="s">
        <v>2</v>
      </c>
      <c r="L299" s="6">
        <f>IF(I299="Cut","",IF(I299="Your call","(decide)",IF(I299="Rename",J299,IF(I299="Keep",IF(D299="",E299,D299),IF(E299="(unchanged)",D299,E299)))))</f>
      </c>
      <c r="M299" s="6">
        <f>IF(AND(I299="Cut",N299&gt;0,K299=""),"USED: say what replaces it (Note)",IF(AND(I299="Rename",J299=""),"type the new name",IF(AND(L299&lt;&gt;"",L299&lt;&gt;"(decide)",COUNTIF($L$2:$L$1680,L299)&gt;1),"SAME FINAL NAME AS ANOTHER ROW","")))</f>
      </c>
      <c r="N299" s="6">
        <v>0</v>
      </c>
      <c r="O299" s="6" t="s">
        <v>2</v>
      </c>
    </row>
    <row r="300" spans="1:15" x14ac:dyDescent="0.25">
      <c r="A300">
        <v>299</v>
      </c>
      <c r="B300" t="s">
        <v>353</v>
      </c>
      <c r="C300" t="s">
        <v>505</v>
      </c>
      <c r="D300" t="s">
        <v>507</v>
      </c>
      <c r="E300" t="s">
        <v>292</v>
      </c>
      <c r="F300" t="s">
        <v>2</v>
      </c>
      <c r="G300" t="s">
        <v>38</v>
      </c>
      <c r="H300" t="s">
        <v>39</v>
      </c>
      <c r="I300" s="5" t="s">
        <v>294</v>
      </c>
      <c r="J300" s="5" t="s">
        <v>2</v>
      </c>
      <c r="K300" s="5" t="s">
        <v>2</v>
      </c>
      <c r="L300" s="6">
        <f>IF(I300="Cut","",IF(I300="Your call","(decide)",IF(I300="Rename",J300,IF(I300="Keep",IF(D300="",E300,D300),IF(E300="(unchanged)",D300,E300)))))</f>
      </c>
      <c r="M300" s="6">
        <f>IF(AND(I300="Cut",N300&gt;0,K300=""),"USED: say what replaces it (Note)",IF(AND(I300="Rename",J300=""),"type the new name",IF(AND(L300&lt;&gt;"",L300&lt;&gt;"(decide)",COUNTIF($L$2:$L$1680,L300)&gt;1),"SAME FINAL NAME AS ANOTHER ROW","")))</f>
      </c>
      <c r="N300" s="6">
        <v>0</v>
      </c>
      <c r="O300" s="6" t="s">
        <v>2</v>
      </c>
    </row>
    <row r="301" spans="1:15" x14ac:dyDescent="0.25">
      <c r="A301">
        <v>300</v>
      </c>
      <c r="B301" t="s">
        <v>353</v>
      </c>
      <c r="C301" t="s">
        <v>505</v>
      </c>
      <c r="D301" t="s">
        <v>508</v>
      </c>
      <c r="E301" t="s">
        <v>292</v>
      </c>
      <c r="F301" t="s">
        <v>2</v>
      </c>
      <c r="G301" t="s">
        <v>38</v>
      </c>
      <c r="H301" t="s">
        <v>39</v>
      </c>
      <c r="I301" s="5" t="s">
        <v>294</v>
      </c>
      <c r="J301" s="5" t="s">
        <v>2</v>
      </c>
      <c r="K301" s="5" t="s">
        <v>2</v>
      </c>
      <c r="L301" s="6">
        <f>IF(I301="Cut","",IF(I301="Your call","(decide)",IF(I301="Rename",J301,IF(I301="Keep",IF(D301="",E301,D301),IF(E301="(unchanged)",D301,E301)))))</f>
      </c>
      <c r="M301" s="6">
        <f>IF(AND(I301="Cut",N301&gt;0,K301=""),"USED: say what replaces it (Note)",IF(AND(I301="Rename",J301=""),"type the new name",IF(AND(L301&lt;&gt;"",L301&lt;&gt;"(decide)",COUNTIF($L$2:$L$1680,L301)&gt;1),"SAME FINAL NAME AS ANOTHER ROW","")))</f>
      </c>
      <c r="N301" s="6">
        <v>0</v>
      </c>
      <c r="O301" s="6" t="s">
        <v>2</v>
      </c>
    </row>
    <row r="302" spans="1:15" x14ac:dyDescent="0.25">
      <c r="A302">
        <v>301</v>
      </c>
      <c r="B302" t="s">
        <v>353</v>
      </c>
      <c r="C302" t="s">
        <v>505</v>
      </c>
      <c r="D302" t="s">
        <v>509</v>
      </c>
      <c r="E302" t="s">
        <v>292</v>
      </c>
      <c r="F302" t="s">
        <v>2</v>
      </c>
      <c r="G302" t="s">
        <v>38</v>
      </c>
      <c r="H302" t="s">
        <v>39</v>
      </c>
      <c r="I302" s="5" t="s">
        <v>294</v>
      </c>
      <c r="J302" s="5" t="s">
        <v>2</v>
      </c>
      <c r="K302" s="5" t="s">
        <v>2</v>
      </c>
      <c r="L302" s="6">
        <f>IF(I302="Cut","",IF(I302="Your call","(decide)",IF(I302="Rename",J302,IF(I302="Keep",IF(D302="",E302,D302),IF(E302="(unchanged)",D302,E302)))))</f>
      </c>
      <c r="M302" s="6">
        <f>IF(AND(I302="Cut",N302&gt;0,K302=""),"USED: say what replaces it (Note)",IF(AND(I302="Rename",J302=""),"type the new name",IF(AND(L302&lt;&gt;"",L302&lt;&gt;"(decide)",COUNTIF($L$2:$L$1680,L302)&gt;1),"SAME FINAL NAME AS ANOTHER ROW","")))</f>
      </c>
      <c r="N302" s="6">
        <v>0</v>
      </c>
      <c r="O302" s="6" t="s">
        <v>2</v>
      </c>
    </row>
    <row r="303" spans="1:15" x14ac:dyDescent="0.25">
      <c r="A303">
        <v>302</v>
      </c>
      <c r="B303" t="s">
        <v>353</v>
      </c>
      <c r="C303" t="s">
        <v>505</v>
      </c>
      <c r="D303" t="s">
        <v>510</v>
      </c>
      <c r="E303" t="s">
        <v>292</v>
      </c>
      <c r="F303" t="s">
        <v>2</v>
      </c>
      <c r="G303" t="s">
        <v>38</v>
      </c>
      <c r="H303" t="s">
        <v>39</v>
      </c>
      <c r="I303" s="5" t="s">
        <v>294</v>
      </c>
      <c r="J303" s="5" t="s">
        <v>2</v>
      </c>
      <c r="K303" s="5" t="s">
        <v>2</v>
      </c>
      <c r="L303" s="6">
        <f>IF(I303="Cut","",IF(I303="Your call","(decide)",IF(I303="Rename",J303,IF(I303="Keep",IF(D303="",E303,D303),IF(E303="(unchanged)",D303,E303)))))</f>
      </c>
      <c r="M303" s="6">
        <f>IF(AND(I303="Cut",N303&gt;0,K303=""),"USED: say what replaces it (Note)",IF(AND(I303="Rename",J303=""),"type the new name",IF(AND(L303&lt;&gt;"",L303&lt;&gt;"(decide)",COUNTIF($L$2:$L$1680,L303)&gt;1),"SAME FINAL NAME AS ANOTHER ROW","")))</f>
      </c>
      <c r="N303" s="6">
        <v>0</v>
      </c>
      <c r="O303" s="6" t="s">
        <v>2</v>
      </c>
    </row>
    <row r="304" spans="1:15" x14ac:dyDescent="0.25">
      <c r="A304">
        <v>303</v>
      </c>
      <c r="B304" t="s">
        <v>353</v>
      </c>
      <c r="C304" t="s">
        <v>505</v>
      </c>
      <c r="D304" t="s">
        <v>511</v>
      </c>
      <c r="E304" t="s">
        <v>292</v>
      </c>
      <c r="F304" t="s">
        <v>2</v>
      </c>
      <c r="G304" t="s">
        <v>38</v>
      </c>
      <c r="H304" t="s">
        <v>39</v>
      </c>
      <c r="I304" s="5" t="s">
        <v>294</v>
      </c>
      <c r="J304" s="5" t="s">
        <v>2</v>
      </c>
      <c r="K304" s="5" t="s">
        <v>2</v>
      </c>
      <c r="L304" s="6">
        <f>IF(I304="Cut","",IF(I304="Your call","(decide)",IF(I304="Rename",J304,IF(I304="Keep",IF(D304="",E304,D304),IF(E304="(unchanged)",D304,E304)))))</f>
      </c>
      <c r="M304" s="6">
        <f>IF(AND(I304="Cut",N304&gt;0,K304=""),"USED: say what replaces it (Note)",IF(AND(I304="Rename",J304=""),"type the new name",IF(AND(L304&lt;&gt;"",L304&lt;&gt;"(decide)",COUNTIF($L$2:$L$1680,L304)&gt;1),"SAME FINAL NAME AS ANOTHER ROW","")))</f>
      </c>
      <c r="N304" s="6">
        <v>0</v>
      </c>
      <c r="O304" s="6" t="s">
        <v>2</v>
      </c>
    </row>
    <row r="305" spans="1:15" x14ac:dyDescent="0.25">
      <c r="A305">
        <v>304</v>
      </c>
      <c r="B305" t="s">
        <v>353</v>
      </c>
      <c r="C305" t="s">
        <v>505</v>
      </c>
      <c r="D305" t="s">
        <v>512</v>
      </c>
      <c r="E305" t="s">
        <v>292</v>
      </c>
      <c r="F305" t="s">
        <v>2</v>
      </c>
      <c r="G305" t="s">
        <v>38</v>
      </c>
      <c r="H305" t="s">
        <v>39</v>
      </c>
      <c r="I305" s="5" t="s">
        <v>294</v>
      </c>
      <c r="J305" s="5" t="s">
        <v>2</v>
      </c>
      <c r="K305" s="5" t="s">
        <v>2</v>
      </c>
      <c r="L305" s="6">
        <f>IF(I305="Cut","",IF(I305="Your call","(decide)",IF(I305="Rename",J305,IF(I305="Keep",IF(D305="",E305,D305),IF(E305="(unchanged)",D305,E305)))))</f>
      </c>
      <c r="M305" s="6">
        <f>IF(AND(I305="Cut",N305&gt;0,K305=""),"USED: say what replaces it (Note)",IF(AND(I305="Rename",J305=""),"type the new name",IF(AND(L305&lt;&gt;"",L305&lt;&gt;"(decide)",COUNTIF($L$2:$L$1680,L305)&gt;1),"SAME FINAL NAME AS ANOTHER ROW","")))</f>
      </c>
      <c r="N305" s="6">
        <v>0</v>
      </c>
      <c r="O305" s="6" t="s">
        <v>2</v>
      </c>
    </row>
    <row r="306" spans="1:15" x14ac:dyDescent="0.25">
      <c r="A306">
        <v>305</v>
      </c>
      <c r="B306" t="s">
        <v>353</v>
      </c>
      <c r="C306" t="s">
        <v>513</v>
      </c>
      <c r="D306" t="s">
        <v>514</v>
      </c>
      <c r="E306" t="s">
        <v>292</v>
      </c>
      <c r="F306" t="s">
        <v>2</v>
      </c>
      <c r="G306" t="s">
        <v>38</v>
      </c>
      <c r="H306" t="s">
        <v>39</v>
      </c>
      <c r="I306" s="5" t="s">
        <v>294</v>
      </c>
      <c r="J306" s="5" t="s">
        <v>2</v>
      </c>
      <c r="K306" s="5" t="s">
        <v>2</v>
      </c>
      <c r="L306" s="6">
        <f>IF(I306="Cut","",IF(I306="Your call","(decide)",IF(I306="Rename",J306,IF(I306="Keep",IF(D306="",E306,D306),IF(E306="(unchanged)",D306,E306)))))</f>
      </c>
      <c r="M306" s="6">
        <f>IF(AND(I306="Cut",N306&gt;0,K306=""),"USED: say what replaces it (Note)",IF(AND(I306="Rename",J306=""),"type the new name",IF(AND(L306&lt;&gt;"",L306&lt;&gt;"(decide)",COUNTIF($L$2:$L$1680,L306)&gt;1),"SAME FINAL NAME AS ANOTHER ROW","")))</f>
      </c>
      <c r="N306" s="6">
        <v>0</v>
      </c>
      <c r="O306" s="6" t="s">
        <v>2</v>
      </c>
    </row>
    <row r="307" spans="1:15" x14ac:dyDescent="0.25">
      <c r="A307">
        <v>306</v>
      </c>
      <c r="B307" t="s">
        <v>353</v>
      </c>
      <c r="C307" t="s">
        <v>513</v>
      </c>
      <c r="D307" t="s">
        <v>515</v>
      </c>
      <c r="E307" t="s">
        <v>292</v>
      </c>
      <c r="F307" t="s">
        <v>2</v>
      </c>
      <c r="G307" t="s">
        <v>38</v>
      </c>
      <c r="H307" t="s">
        <v>39</v>
      </c>
      <c r="I307" s="5" t="s">
        <v>294</v>
      </c>
      <c r="J307" s="5" t="s">
        <v>2</v>
      </c>
      <c r="K307" s="5" t="s">
        <v>2</v>
      </c>
      <c r="L307" s="6">
        <f>IF(I307="Cut","",IF(I307="Your call","(decide)",IF(I307="Rename",J307,IF(I307="Keep",IF(D307="",E307,D307),IF(E307="(unchanged)",D307,E307)))))</f>
      </c>
      <c r="M307" s="6">
        <f>IF(AND(I307="Cut",N307&gt;0,K307=""),"USED: say what replaces it (Note)",IF(AND(I307="Rename",J307=""),"type the new name",IF(AND(L307&lt;&gt;"",L307&lt;&gt;"(decide)",COUNTIF($L$2:$L$1680,L307)&gt;1),"SAME FINAL NAME AS ANOTHER ROW","")))</f>
      </c>
      <c r="N307" s="6">
        <v>0</v>
      </c>
      <c r="O307" s="6" t="s">
        <v>2</v>
      </c>
    </row>
    <row r="308" spans="1:15" x14ac:dyDescent="0.25">
      <c r="A308">
        <v>307</v>
      </c>
      <c r="B308" t="s">
        <v>353</v>
      </c>
      <c r="C308" t="s">
        <v>513</v>
      </c>
      <c r="D308" t="s">
        <v>516</v>
      </c>
      <c r="E308" t="s">
        <v>292</v>
      </c>
      <c r="F308" t="s">
        <v>2</v>
      </c>
      <c r="G308" t="s">
        <v>38</v>
      </c>
      <c r="H308" t="s">
        <v>39</v>
      </c>
      <c r="I308" s="5" t="s">
        <v>294</v>
      </c>
      <c r="J308" s="5" t="s">
        <v>2</v>
      </c>
      <c r="K308" s="5" t="s">
        <v>2</v>
      </c>
      <c r="L308" s="6">
        <f>IF(I308="Cut","",IF(I308="Your call","(decide)",IF(I308="Rename",J308,IF(I308="Keep",IF(D308="",E308,D308),IF(E308="(unchanged)",D308,E308)))))</f>
      </c>
      <c r="M308" s="6">
        <f>IF(AND(I308="Cut",N308&gt;0,K308=""),"USED: say what replaces it (Note)",IF(AND(I308="Rename",J308=""),"type the new name",IF(AND(L308&lt;&gt;"",L308&lt;&gt;"(decide)",COUNTIF($L$2:$L$1680,L308)&gt;1),"SAME FINAL NAME AS ANOTHER ROW","")))</f>
      </c>
      <c r="N308" s="6">
        <v>0</v>
      </c>
      <c r="O308" s="6" t="s">
        <v>2</v>
      </c>
    </row>
    <row r="309" spans="1:15" x14ac:dyDescent="0.25">
      <c r="A309">
        <v>308</v>
      </c>
      <c r="B309" t="s">
        <v>353</v>
      </c>
      <c r="C309" t="s">
        <v>513</v>
      </c>
      <c r="D309" t="s">
        <v>517</v>
      </c>
      <c r="E309" t="s">
        <v>292</v>
      </c>
      <c r="F309" t="s">
        <v>2</v>
      </c>
      <c r="G309" t="s">
        <v>38</v>
      </c>
      <c r="H309" t="s">
        <v>39</v>
      </c>
      <c r="I309" s="5" t="s">
        <v>294</v>
      </c>
      <c r="J309" s="5" t="s">
        <v>2</v>
      </c>
      <c r="K309" s="5" t="s">
        <v>2</v>
      </c>
      <c r="L309" s="6">
        <f>IF(I309="Cut","",IF(I309="Your call","(decide)",IF(I309="Rename",J309,IF(I309="Keep",IF(D309="",E309,D309),IF(E309="(unchanged)",D309,E309)))))</f>
      </c>
      <c r="M309" s="6">
        <f>IF(AND(I309="Cut",N309&gt;0,K309=""),"USED: say what replaces it (Note)",IF(AND(I309="Rename",J309=""),"type the new name",IF(AND(L309&lt;&gt;"",L309&lt;&gt;"(decide)",COUNTIF($L$2:$L$1680,L309)&gt;1),"SAME FINAL NAME AS ANOTHER ROW","")))</f>
      </c>
      <c r="N309" s="6">
        <v>0</v>
      </c>
      <c r="O309" s="6" t="s">
        <v>2</v>
      </c>
    </row>
    <row r="310" spans="1:15" x14ac:dyDescent="0.25">
      <c r="A310">
        <v>309</v>
      </c>
      <c r="B310" t="s">
        <v>353</v>
      </c>
      <c r="C310" t="s">
        <v>513</v>
      </c>
      <c r="D310" t="s">
        <v>518</v>
      </c>
      <c r="E310" t="s">
        <v>292</v>
      </c>
      <c r="F310" t="s">
        <v>2</v>
      </c>
      <c r="G310" t="s">
        <v>38</v>
      </c>
      <c r="H310" t="s">
        <v>39</v>
      </c>
      <c r="I310" s="5" t="s">
        <v>294</v>
      </c>
      <c r="J310" s="5" t="s">
        <v>2</v>
      </c>
      <c r="K310" s="5" t="s">
        <v>2</v>
      </c>
      <c r="L310" s="6">
        <f>IF(I310="Cut","",IF(I310="Your call","(decide)",IF(I310="Rename",J310,IF(I310="Keep",IF(D310="",E310,D310),IF(E310="(unchanged)",D310,E310)))))</f>
      </c>
      <c r="M310" s="6">
        <f>IF(AND(I310="Cut",N310&gt;0,K310=""),"USED: say what replaces it (Note)",IF(AND(I310="Rename",J310=""),"type the new name",IF(AND(L310&lt;&gt;"",L310&lt;&gt;"(decide)",COUNTIF($L$2:$L$1680,L310)&gt;1),"SAME FINAL NAME AS ANOTHER ROW","")))</f>
      </c>
      <c r="N310" s="6">
        <v>0</v>
      </c>
      <c r="O310" s="6" t="s">
        <v>2</v>
      </c>
    </row>
    <row r="311" spans="1:15" x14ac:dyDescent="0.25">
      <c r="A311">
        <v>310</v>
      </c>
      <c r="B311" t="s">
        <v>353</v>
      </c>
      <c r="C311" t="s">
        <v>513</v>
      </c>
      <c r="D311" t="s">
        <v>519</v>
      </c>
      <c r="E311" t="s">
        <v>292</v>
      </c>
      <c r="F311" t="s">
        <v>2</v>
      </c>
      <c r="G311" t="s">
        <v>38</v>
      </c>
      <c r="H311" t="s">
        <v>39</v>
      </c>
      <c r="I311" s="5" t="s">
        <v>294</v>
      </c>
      <c r="J311" s="5" t="s">
        <v>2</v>
      </c>
      <c r="K311" s="5" t="s">
        <v>2</v>
      </c>
      <c r="L311" s="6">
        <f>IF(I311="Cut","",IF(I311="Your call","(decide)",IF(I311="Rename",J311,IF(I311="Keep",IF(D311="",E311,D311),IF(E311="(unchanged)",D311,E311)))))</f>
      </c>
      <c r="M311" s="6">
        <f>IF(AND(I311="Cut",N311&gt;0,K311=""),"USED: say what replaces it (Note)",IF(AND(I311="Rename",J311=""),"type the new name",IF(AND(L311&lt;&gt;"",L311&lt;&gt;"(decide)",COUNTIF($L$2:$L$1680,L311)&gt;1),"SAME FINAL NAME AS ANOTHER ROW","")))</f>
      </c>
      <c r="N311" s="6">
        <v>0</v>
      </c>
      <c r="O311" s="6" t="s">
        <v>2</v>
      </c>
    </row>
    <row r="312" spans="1:15" x14ac:dyDescent="0.25">
      <c r="A312">
        <v>311</v>
      </c>
      <c r="B312" t="s">
        <v>353</v>
      </c>
      <c r="C312" t="s">
        <v>513</v>
      </c>
      <c r="D312" t="s">
        <v>520</v>
      </c>
      <c r="E312" t="s">
        <v>292</v>
      </c>
      <c r="F312" t="s">
        <v>2</v>
      </c>
      <c r="G312" t="s">
        <v>38</v>
      </c>
      <c r="H312" t="s">
        <v>39</v>
      </c>
      <c r="I312" s="5" t="s">
        <v>294</v>
      </c>
      <c r="J312" s="5" t="s">
        <v>2</v>
      </c>
      <c r="K312" s="5" t="s">
        <v>2</v>
      </c>
      <c r="L312" s="6">
        <f>IF(I312="Cut","",IF(I312="Your call","(decide)",IF(I312="Rename",J312,IF(I312="Keep",IF(D312="",E312,D312),IF(E312="(unchanged)",D312,E312)))))</f>
      </c>
      <c r="M312" s="6">
        <f>IF(AND(I312="Cut",N312&gt;0,K312=""),"USED: say what replaces it (Note)",IF(AND(I312="Rename",J312=""),"type the new name",IF(AND(L312&lt;&gt;"",L312&lt;&gt;"(decide)",COUNTIF($L$2:$L$1680,L312)&gt;1),"SAME FINAL NAME AS ANOTHER ROW","")))</f>
      </c>
      <c r="N312" s="6">
        <v>0</v>
      </c>
      <c r="O312" s="6" t="s">
        <v>2</v>
      </c>
    </row>
    <row r="313" spans="1:15" x14ac:dyDescent="0.25">
      <c r="A313">
        <v>312</v>
      </c>
      <c r="B313" t="s">
        <v>353</v>
      </c>
      <c r="C313" t="s">
        <v>521</v>
      </c>
      <c r="D313" t="s">
        <v>522</v>
      </c>
      <c r="E313" t="s">
        <v>292</v>
      </c>
      <c r="F313" t="s">
        <v>2</v>
      </c>
      <c r="G313" t="s">
        <v>38</v>
      </c>
      <c r="H313" t="s">
        <v>39</v>
      </c>
      <c r="I313" s="5" t="s">
        <v>294</v>
      </c>
      <c r="J313" s="5" t="s">
        <v>2</v>
      </c>
      <c r="K313" s="5" t="s">
        <v>2</v>
      </c>
      <c r="L313" s="6">
        <f>IF(I313="Cut","",IF(I313="Your call","(decide)",IF(I313="Rename",J313,IF(I313="Keep",IF(D313="",E313,D313),IF(E313="(unchanged)",D313,E313)))))</f>
      </c>
      <c r="M313" s="6">
        <f>IF(AND(I313="Cut",N313&gt;0,K313=""),"USED: say what replaces it (Note)",IF(AND(I313="Rename",J313=""),"type the new name",IF(AND(L313&lt;&gt;"",L313&lt;&gt;"(decide)",COUNTIF($L$2:$L$1680,L313)&gt;1),"SAME FINAL NAME AS ANOTHER ROW","")))</f>
      </c>
      <c r="N313" s="6">
        <v>0</v>
      </c>
      <c r="O313" s="6" t="s">
        <v>2</v>
      </c>
    </row>
    <row r="314" spans="1:15" x14ac:dyDescent="0.25">
      <c r="A314">
        <v>313</v>
      </c>
      <c r="B314" t="s">
        <v>353</v>
      </c>
      <c r="C314" t="s">
        <v>521</v>
      </c>
      <c r="D314" t="s">
        <v>523</v>
      </c>
      <c r="E314" t="s">
        <v>292</v>
      </c>
      <c r="F314" t="s">
        <v>2</v>
      </c>
      <c r="G314" t="s">
        <v>38</v>
      </c>
      <c r="H314" t="s">
        <v>39</v>
      </c>
      <c r="I314" s="5" t="s">
        <v>294</v>
      </c>
      <c r="J314" s="5" t="s">
        <v>2</v>
      </c>
      <c r="K314" s="5" t="s">
        <v>2</v>
      </c>
      <c r="L314" s="6">
        <f>IF(I314="Cut","",IF(I314="Your call","(decide)",IF(I314="Rename",J314,IF(I314="Keep",IF(D314="",E314,D314),IF(E314="(unchanged)",D314,E314)))))</f>
      </c>
      <c r="M314" s="6">
        <f>IF(AND(I314="Cut",N314&gt;0,K314=""),"USED: say what replaces it (Note)",IF(AND(I314="Rename",J314=""),"type the new name",IF(AND(L314&lt;&gt;"",L314&lt;&gt;"(decide)",COUNTIF($L$2:$L$1680,L314)&gt;1),"SAME FINAL NAME AS ANOTHER ROW","")))</f>
      </c>
      <c r="N314" s="6">
        <v>0</v>
      </c>
      <c r="O314" s="6" t="s">
        <v>2</v>
      </c>
    </row>
    <row r="315" spans="1:15" x14ac:dyDescent="0.25">
      <c r="A315">
        <v>314</v>
      </c>
      <c r="B315" t="s">
        <v>353</v>
      </c>
      <c r="C315" t="s">
        <v>521</v>
      </c>
      <c r="D315" t="s">
        <v>524</v>
      </c>
      <c r="E315" t="s">
        <v>292</v>
      </c>
      <c r="F315" t="s">
        <v>2</v>
      </c>
      <c r="G315" t="s">
        <v>38</v>
      </c>
      <c r="H315" t="s">
        <v>39</v>
      </c>
      <c r="I315" s="5" t="s">
        <v>294</v>
      </c>
      <c r="J315" s="5" t="s">
        <v>2</v>
      </c>
      <c r="K315" s="5" t="s">
        <v>2</v>
      </c>
      <c r="L315" s="6">
        <f>IF(I315="Cut","",IF(I315="Your call","(decide)",IF(I315="Rename",J315,IF(I315="Keep",IF(D315="",E315,D315),IF(E315="(unchanged)",D315,E315)))))</f>
      </c>
      <c r="M315" s="6">
        <f>IF(AND(I315="Cut",N315&gt;0,K315=""),"USED: say what replaces it (Note)",IF(AND(I315="Rename",J315=""),"type the new name",IF(AND(L315&lt;&gt;"",L315&lt;&gt;"(decide)",COUNTIF($L$2:$L$1680,L315)&gt;1),"SAME FINAL NAME AS ANOTHER ROW","")))</f>
      </c>
      <c r="N315" s="6">
        <v>0</v>
      </c>
      <c r="O315" s="6" t="s">
        <v>2</v>
      </c>
    </row>
    <row r="316" spans="1:15" x14ac:dyDescent="0.25">
      <c r="A316">
        <v>315</v>
      </c>
      <c r="B316" t="s">
        <v>353</v>
      </c>
      <c r="C316" t="s">
        <v>521</v>
      </c>
      <c r="D316" t="s">
        <v>525</v>
      </c>
      <c r="E316" t="s">
        <v>292</v>
      </c>
      <c r="F316" t="s">
        <v>2</v>
      </c>
      <c r="G316" t="s">
        <v>38</v>
      </c>
      <c r="H316" t="s">
        <v>39</v>
      </c>
      <c r="I316" s="5" t="s">
        <v>294</v>
      </c>
      <c r="J316" s="5" t="s">
        <v>2</v>
      </c>
      <c r="K316" s="5" t="s">
        <v>2</v>
      </c>
      <c r="L316" s="6">
        <f>IF(I316="Cut","",IF(I316="Your call","(decide)",IF(I316="Rename",J316,IF(I316="Keep",IF(D316="",E316,D316),IF(E316="(unchanged)",D316,E316)))))</f>
      </c>
      <c r="M316" s="6">
        <f>IF(AND(I316="Cut",N316&gt;0,K316=""),"USED: say what replaces it (Note)",IF(AND(I316="Rename",J316=""),"type the new name",IF(AND(L316&lt;&gt;"",L316&lt;&gt;"(decide)",COUNTIF($L$2:$L$1680,L316)&gt;1),"SAME FINAL NAME AS ANOTHER ROW","")))</f>
      </c>
      <c r="N316" s="6">
        <v>0</v>
      </c>
      <c r="O316" s="6" t="s">
        <v>2</v>
      </c>
    </row>
    <row r="317" spans="1:15" x14ac:dyDescent="0.25">
      <c r="A317">
        <v>316</v>
      </c>
      <c r="B317" t="s">
        <v>353</v>
      </c>
      <c r="C317" t="s">
        <v>521</v>
      </c>
      <c r="D317" t="s">
        <v>526</v>
      </c>
      <c r="E317" t="s">
        <v>292</v>
      </c>
      <c r="F317" t="s">
        <v>2</v>
      </c>
      <c r="G317" t="s">
        <v>38</v>
      </c>
      <c r="H317" t="s">
        <v>39</v>
      </c>
      <c r="I317" s="5" t="s">
        <v>294</v>
      </c>
      <c r="J317" s="5" t="s">
        <v>2</v>
      </c>
      <c r="K317" s="5" t="s">
        <v>2</v>
      </c>
      <c r="L317" s="6">
        <f>IF(I317="Cut","",IF(I317="Your call","(decide)",IF(I317="Rename",J317,IF(I317="Keep",IF(D317="",E317,D317),IF(E317="(unchanged)",D317,E317)))))</f>
      </c>
      <c r="M317" s="6">
        <f>IF(AND(I317="Cut",N317&gt;0,K317=""),"USED: say what replaces it (Note)",IF(AND(I317="Rename",J317=""),"type the new name",IF(AND(L317&lt;&gt;"",L317&lt;&gt;"(decide)",COUNTIF($L$2:$L$1680,L317)&gt;1),"SAME FINAL NAME AS ANOTHER ROW","")))</f>
      </c>
      <c r="N317" s="6">
        <v>0</v>
      </c>
      <c r="O317" s="6" t="s">
        <v>2</v>
      </c>
    </row>
    <row r="318" spans="1:15" x14ac:dyDescent="0.25">
      <c r="A318">
        <v>317</v>
      </c>
      <c r="B318" t="s">
        <v>353</v>
      </c>
      <c r="C318" t="s">
        <v>521</v>
      </c>
      <c r="D318" t="s">
        <v>527</v>
      </c>
      <c r="E318" t="s">
        <v>292</v>
      </c>
      <c r="F318" t="s">
        <v>2</v>
      </c>
      <c r="G318" t="s">
        <v>38</v>
      </c>
      <c r="H318" t="s">
        <v>39</v>
      </c>
      <c r="I318" s="5" t="s">
        <v>294</v>
      </c>
      <c r="J318" s="5" t="s">
        <v>2</v>
      </c>
      <c r="K318" s="5" t="s">
        <v>2</v>
      </c>
      <c r="L318" s="6">
        <f>IF(I318="Cut","",IF(I318="Your call","(decide)",IF(I318="Rename",J318,IF(I318="Keep",IF(D318="",E318,D318),IF(E318="(unchanged)",D318,E318)))))</f>
      </c>
      <c r="M318" s="6">
        <f>IF(AND(I318="Cut",N318&gt;0,K318=""),"USED: say what replaces it (Note)",IF(AND(I318="Rename",J318=""),"type the new name",IF(AND(L318&lt;&gt;"",L318&lt;&gt;"(decide)",COUNTIF($L$2:$L$1680,L318)&gt;1),"SAME FINAL NAME AS ANOTHER ROW","")))</f>
      </c>
      <c r="N318" s="6">
        <v>0</v>
      </c>
      <c r="O318" s="6" t="s">
        <v>2</v>
      </c>
    </row>
    <row r="319" spans="1:15" x14ac:dyDescent="0.25">
      <c r="A319">
        <v>318</v>
      </c>
      <c r="B319" t="s">
        <v>353</v>
      </c>
      <c r="C319" t="s">
        <v>521</v>
      </c>
      <c r="D319" t="s">
        <v>528</v>
      </c>
      <c r="E319" t="s">
        <v>292</v>
      </c>
      <c r="F319" t="s">
        <v>2</v>
      </c>
      <c r="G319" t="s">
        <v>38</v>
      </c>
      <c r="H319" t="s">
        <v>39</v>
      </c>
      <c r="I319" s="5" t="s">
        <v>294</v>
      </c>
      <c r="J319" s="5" t="s">
        <v>2</v>
      </c>
      <c r="K319" s="5" t="s">
        <v>2</v>
      </c>
      <c r="L319" s="6">
        <f>IF(I319="Cut","",IF(I319="Your call","(decide)",IF(I319="Rename",J319,IF(I319="Keep",IF(D319="",E319,D319),IF(E319="(unchanged)",D319,E319)))))</f>
      </c>
      <c r="M319" s="6">
        <f>IF(AND(I319="Cut",N319&gt;0,K319=""),"USED: say what replaces it (Note)",IF(AND(I319="Rename",J319=""),"type the new name",IF(AND(L319&lt;&gt;"",L319&lt;&gt;"(decide)",COUNTIF($L$2:$L$1680,L319)&gt;1),"SAME FINAL NAME AS ANOTHER ROW","")))</f>
      </c>
      <c r="N319" s="6">
        <v>0</v>
      </c>
      <c r="O319" s="6" t="s">
        <v>2</v>
      </c>
    </row>
    <row r="320" spans="1:15" x14ac:dyDescent="0.25">
      <c r="A320">
        <v>319</v>
      </c>
      <c r="B320" t="s">
        <v>353</v>
      </c>
      <c r="C320" t="s">
        <v>521</v>
      </c>
      <c r="D320" t="s">
        <v>529</v>
      </c>
      <c r="E320" t="s">
        <v>292</v>
      </c>
      <c r="F320" t="s">
        <v>2</v>
      </c>
      <c r="G320" t="s">
        <v>38</v>
      </c>
      <c r="H320" t="s">
        <v>39</v>
      </c>
      <c r="I320" s="5" t="s">
        <v>294</v>
      </c>
      <c r="J320" s="5" t="s">
        <v>2</v>
      </c>
      <c r="K320" s="5" t="s">
        <v>2</v>
      </c>
      <c r="L320" s="6">
        <f>IF(I320="Cut","",IF(I320="Your call","(decide)",IF(I320="Rename",J320,IF(I320="Keep",IF(D320="",E320,D320),IF(E320="(unchanged)",D320,E320)))))</f>
      </c>
      <c r="M320" s="6">
        <f>IF(AND(I320="Cut",N320&gt;0,K320=""),"USED: say what replaces it (Note)",IF(AND(I320="Rename",J320=""),"type the new name",IF(AND(L320&lt;&gt;"",L320&lt;&gt;"(decide)",COUNTIF($L$2:$L$1680,L320)&gt;1),"SAME FINAL NAME AS ANOTHER ROW","")))</f>
      </c>
      <c r="N320" s="6">
        <v>0</v>
      </c>
      <c r="O320" s="6" t="s">
        <v>2</v>
      </c>
    </row>
    <row r="321" spans="1:15" x14ac:dyDescent="0.25">
      <c r="A321">
        <v>320</v>
      </c>
      <c r="B321" t="s">
        <v>353</v>
      </c>
      <c r="C321" t="s">
        <v>521</v>
      </c>
      <c r="D321" t="s">
        <v>530</v>
      </c>
      <c r="E321" t="s">
        <v>292</v>
      </c>
      <c r="F321" t="s">
        <v>2</v>
      </c>
      <c r="G321" t="s">
        <v>38</v>
      </c>
      <c r="H321" t="s">
        <v>39</v>
      </c>
      <c r="I321" s="5" t="s">
        <v>294</v>
      </c>
      <c r="J321" s="5" t="s">
        <v>2</v>
      </c>
      <c r="K321" s="5" t="s">
        <v>2</v>
      </c>
      <c r="L321" s="6">
        <f>IF(I321="Cut","",IF(I321="Your call","(decide)",IF(I321="Rename",J321,IF(I321="Keep",IF(D321="",E321,D321),IF(E321="(unchanged)",D321,E321)))))</f>
      </c>
      <c r="M321" s="6">
        <f>IF(AND(I321="Cut",N321&gt;0,K321=""),"USED: say what replaces it (Note)",IF(AND(I321="Rename",J321=""),"type the new name",IF(AND(L321&lt;&gt;"",L321&lt;&gt;"(decide)",COUNTIF($L$2:$L$1680,L321)&gt;1),"SAME FINAL NAME AS ANOTHER ROW","")))</f>
      </c>
      <c r="N321" s="6">
        <v>0</v>
      </c>
      <c r="O321" s="6" t="s">
        <v>2</v>
      </c>
    </row>
    <row r="322" spans="1:15" x14ac:dyDescent="0.25">
      <c r="A322">
        <v>321</v>
      </c>
      <c r="B322" t="s">
        <v>353</v>
      </c>
      <c r="C322" t="s">
        <v>531</v>
      </c>
      <c r="D322" t="s">
        <v>532</v>
      </c>
      <c r="E322" t="s">
        <v>292</v>
      </c>
      <c r="F322" t="s">
        <v>2</v>
      </c>
      <c r="G322" t="s">
        <v>38</v>
      </c>
      <c r="H322" t="s">
        <v>39</v>
      </c>
      <c r="I322" s="5" t="s">
        <v>294</v>
      </c>
      <c r="J322" s="5" t="s">
        <v>2</v>
      </c>
      <c r="K322" s="5" t="s">
        <v>2</v>
      </c>
      <c r="L322" s="6">
        <f>IF(I322="Cut","",IF(I322="Your call","(decide)",IF(I322="Rename",J322,IF(I322="Keep",IF(D322="",E322,D322),IF(E322="(unchanged)",D322,E322)))))</f>
      </c>
      <c r="M322" s="6">
        <f>IF(AND(I322="Cut",N322&gt;0,K322=""),"USED: say what replaces it (Note)",IF(AND(I322="Rename",J322=""),"type the new name",IF(AND(L322&lt;&gt;"",L322&lt;&gt;"(decide)",COUNTIF($L$2:$L$1680,L322)&gt;1),"SAME FINAL NAME AS ANOTHER ROW","")))</f>
      </c>
      <c r="N322" s="6">
        <v>0</v>
      </c>
      <c r="O322" s="6" t="s">
        <v>2</v>
      </c>
    </row>
    <row r="323" spans="1:15" x14ac:dyDescent="0.25">
      <c r="A323">
        <v>322</v>
      </c>
      <c r="B323" t="s">
        <v>353</v>
      </c>
      <c r="C323" t="s">
        <v>531</v>
      </c>
      <c r="D323" t="s">
        <v>533</v>
      </c>
      <c r="E323" t="s">
        <v>292</v>
      </c>
      <c r="F323" t="s">
        <v>2</v>
      </c>
      <c r="G323" t="s">
        <v>38</v>
      </c>
      <c r="H323" t="s">
        <v>39</v>
      </c>
      <c r="I323" s="5" t="s">
        <v>294</v>
      </c>
      <c r="J323" s="5" t="s">
        <v>2</v>
      </c>
      <c r="K323" s="5" t="s">
        <v>2</v>
      </c>
      <c r="L323" s="6">
        <f>IF(I323="Cut","",IF(I323="Your call","(decide)",IF(I323="Rename",J323,IF(I323="Keep",IF(D323="",E323,D323),IF(E323="(unchanged)",D323,E323)))))</f>
      </c>
      <c r="M323" s="6">
        <f>IF(AND(I323="Cut",N323&gt;0,K323=""),"USED: say what replaces it (Note)",IF(AND(I323="Rename",J323=""),"type the new name",IF(AND(L323&lt;&gt;"",L323&lt;&gt;"(decide)",COUNTIF($L$2:$L$1680,L323)&gt;1),"SAME FINAL NAME AS ANOTHER ROW","")))</f>
      </c>
      <c r="N323" s="6">
        <v>0</v>
      </c>
      <c r="O323" s="6" t="s">
        <v>2</v>
      </c>
    </row>
    <row r="324" spans="1:15" x14ac:dyDescent="0.25">
      <c r="A324">
        <v>323</v>
      </c>
      <c r="B324" t="s">
        <v>353</v>
      </c>
      <c r="C324" t="s">
        <v>531</v>
      </c>
      <c r="D324" t="s">
        <v>534</v>
      </c>
      <c r="E324" t="s">
        <v>292</v>
      </c>
      <c r="F324" t="s">
        <v>2</v>
      </c>
      <c r="G324" t="s">
        <v>38</v>
      </c>
      <c r="H324" t="s">
        <v>39</v>
      </c>
      <c r="I324" s="5" t="s">
        <v>294</v>
      </c>
      <c r="J324" s="5" t="s">
        <v>2</v>
      </c>
      <c r="K324" s="5" t="s">
        <v>2</v>
      </c>
      <c r="L324" s="6">
        <f>IF(I324="Cut","",IF(I324="Your call","(decide)",IF(I324="Rename",J324,IF(I324="Keep",IF(D324="",E324,D324),IF(E324="(unchanged)",D324,E324)))))</f>
      </c>
      <c r="M324" s="6">
        <f>IF(AND(I324="Cut",N324&gt;0,K324=""),"USED: say what replaces it (Note)",IF(AND(I324="Rename",J324=""),"type the new name",IF(AND(L324&lt;&gt;"",L324&lt;&gt;"(decide)",COUNTIF($L$2:$L$1680,L324)&gt;1),"SAME FINAL NAME AS ANOTHER ROW","")))</f>
      </c>
      <c r="N324" s="6">
        <v>0</v>
      </c>
      <c r="O324" s="6" t="s">
        <v>2</v>
      </c>
    </row>
    <row r="325" spans="1:15" x14ac:dyDescent="0.25">
      <c r="A325">
        <v>324</v>
      </c>
      <c r="B325" t="s">
        <v>353</v>
      </c>
      <c r="C325" t="s">
        <v>531</v>
      </c>
      <c r="D325" t="s">
        <v>535</v>
      </c>
      <c r="E325" t="s">
        <v>292</v>
      </c>
      <c r="F325" t="s">
        <v>2</v>
      </c>
      <c r="G325" t="s">
        <v>38</v>
      </c>
      <c r="H325" t="s">
        <v>39</v>
      </c>
      <c r="I325" s="5" t="s">
        <v>294</v>
      </c>
      <c r="J325" s="5" t="s">
        <v>2</v>
      </c>
      <c r="K325" s="5" t="s">
        <v>2</v>
      </c>
      <c r="L325" s="6">
        <f>IF(I325="Cut","",IF(I325="Your call","(decide)",IF(I325="Rename",J325,IF(I325="Keep",IF(D325="",E325,D325),IF(E325="(unchanged)",D325,E325)))))</f>
      </c>
      <c r="M325" s="6">
        <f>IF(AND(I325="Cut",N325&gt;0,K325=""),"USED: say what replaces it (Note)",IF(AND(I325="Rename",J325=""),"type the new name",IF(AND(L325&lt;&gt;"",L325&lt;&gt;"(decide)",COUNTIF($L$2:$L$1680,L325)&gt;1),"SAME FINAL NAME AS ANOTHER ROW","")))</f>
      </c>
      <c r="N325" s="6">
        <v>0</v>
      </c>
      <c r="O325" s="6" t="s">
        <v>2</v>
      </c>
    </row>
    <row r="326" spans="1:15" x14ac:dyDescent="0.25">
      <c r="A326">
        <v>325</v>
      </c>
      <c r="B326" t="s">
        <v>353</v>
      </c>
      <c r="C326" t="s">
        <v>531</v>
      </c>
      <c r="D326" t="s">
        <v>536</v>
      </c>
      <c r="E326" t="s">
        <v>292</v>
      </c>
      <c r="F326" t="s">
        <v>2</v>
      </c>
      <c r="G326" t="s">
        <v>38</v>
      </c>
      <c r="H326" t="s">
        <v>39</v>
      </c>
      <c r="I326" s="5" t="s">
        <v>294</v>
      </c>
      <c r="J326" s="5" t="s">
        <v>2</v>
      </c>
      <c r="K326" s="5" t="s">
        <v>2</v>
      </c>
      <c r="L326" s="6">
        <f>IF(I326="Cut","",IF(I326="Your call","(decide)",IF(I326="Rename",J326,IF(I326="Keep",IF(D326="",E326,D326),IF(E326="(unchanged)",D326,E326)))))</f>
      </c>
      <c r="M326" s="6">
        <f>IF(AND(I326="Cut",N326&gt;0,K326=""),"USED: say what replaces it (Note)",IF(AND(I326="Rename",J326=""),"type the new name",IF(AND(L326&lt;&gt;"",L326&lt;&gt;"(decide)",COUNTIF($L$2:$L$1680,L326)&gt;1),"SAME FINAL NAME AS ANOTHER ROW","")))</f>
      </c>
      <c r="N326" s="6">
        <v>0</v>
      </c>
      <c r="O326" s="6" t="s">
        <v>2</v>
      </c>
    </row>
    <row r="327" spans="1:15" x14ac:dyDescent="0.25">
      <c r="A327">
        <v>326</v>
      </c>
      <c r="B327" t="s">
        <v>353</v>
      </c>
      <c r="C327" t="s">
        <v>531</v>
      </c>
      <c r="D327" t="s">
        <v>537</v>
      </c>
      <c r="E327" t="s">
        <v>292</v>
      </c>
      <c r="F327" t="s">
        <v>2</v>
      </c>
      <c r="G327" t="s">
        <v>38</v>
      </c>
      <c r="H327" t="s">
        <v>39</v>
      </c>
      <c r="I327" s="5" t="s">
        <v>294</v>
      </c>
      <c r="J327" s="5" t="s">
        <v>2</v>
      </c>
      <c r="K327" s="5" t="s">
        <v>2</v>
      </c>
      <c r="L327" s="6">
        <f>IF(I327="Cut","",IF(I327="Your call","(decide)",IF(I327="Rename",J327,IF(I327="Keep",IF(D327="",E327,D327),IF(E327="(unchanged)",D327,E327)))))</f>
      </c>
      <c r="M327" s="6">
        <f>IF(AND(I327="Cut",N327&gt;0,K327=""),"USED: say what replaces it (Note)",IF(AND(I327="Rename",J327=""),"type the new name",IF(AND(L327&lt;&gt;"",L327&lt;&gt;"(decide)",COUNTIF($L$2:$L$1680,L327)&gt;1),"SAME FINAL NAME AS ANOTHER ROW","")))</f>
      </c>
      <c r="N327" s="6">
        <v>0</v>
      </c>
      <c r="O327" s="6" t="s">
        <v>2</v>
      </c>
    </row>
    <row r="328" spans="1:15" x14ac:dyDescent="0.25">
      <c r="A328">
        <v>327</v>
      </c>
      <c r="B328" t="s">
        <v>353</v>
      </c>
      <c r="C328" t="s">
        <v>531</v>
      </c>
      <c r="D328" t="s">
        <v>538</v>
      </c>
      <c r="E328" t="s">
        <v>292</v>
      </c>
      <c r="F328" t="s">
        <v>2</v>
      </c>
      <c r="G328" t="s">
        <v>38</v>
      </c>
      <c r="H328" t="s">
        <v>39</v>
      </c>
      <c r="I328" s="5" t="s">
        <v>294</v>
      </c>
      <c r="J328" s="5" t="s">
        <v>2</v>
      </c>
      <c r="K328" s="5" t="s">
        <v>2</v>
      </c>
      <c r="L328" s="6">
        <f>IF(I328="Cut","",IF(I328="Your call","(decide)",IF(I328="Rename",J328,IF(I328="Keep",IF(D328="",E328,D328),IF(E328="(unchanged)",D328,E328)))))</f>
      </c>
      <c r="M328" s="6">
        <f>IF(AND(I328="Cut",N328&gt;0,K328=""),"USED: say what replaces it (Note)",IF(AND(I328="Rename",J328=""),"type the new name",IF(AND(L328&lt;&gt;"",L328&lt;&gt;"(decide)",COUNTIF($L$2:$L$1680,L328)&gt;1),"SAME FINAL NAME AS ANOTHER ROW","")))</f>
      </c>
      <c r="N328" s="6">
        <v>0</v>
      </c>
      <c r="O328" s="6" t="s">
        <v>2</v>
      </c>
    </row>
    <row r="329" spans="1:15" x14ac:dyDescent="0.25">
      <c r="A329">
        <v>328</v>
      </c>
      <c r="B329" t="s">
        <v>353</v>
      </c>
      <c r="C329" t="s">
        <v>539</v>
      </c>
      <c r="D329" t="s">
        <v>540</v>
      </c>
      <c r="E329" t="s">
        <v>292</v>
      </c>
      <c r="F329" t="s">
        <v>2</v>
      </c>
      <c r="G329" t="s">
        <v>38</v>
      </c>
      <c r="H329" t="s">
        <v>39</v>
      </c>
      <c r="I329" s="5" t="s">
        <v>294</v>
      </c>
      <c r="J329" s="5" t="s">
        <v>2</v>
      </c>
      <c r="K329" s="5" t="s">
        <v>2</v>
      </c>
      <c r="L329" s="6">
        <f>IF(I329="Cut","",IF(I329="Your call","(decide)",IF(I329="Rename",J329,IF(I329="Keep",IF(D329="",E329,D329),IF(E329="(unchanged)",D329,E329)))))</f>
      </c>
      <c r="M329" s="6">
        <f>IF(AND(I329="Cut",N329&gt;0,K329=""),"USED: say what replaces it (Note)",IF(AND(I329="Rename",J329=""),"type the new name",IF(AND(L329&lt;&gt;"",L329&lt;&gt;"(decide)",COUNTIF($L$2:$L$1680,L329)&gt;1),"SAME FINAL NAME AS ANOTHER ROW","")))</f>
      </c>
      <c r="N329" s="6">
        <v>0</v>
      </c>
      <c r="O329" s="6" t="s">
        <v>2</v>
      </c>
    </row>
    <row r="330" spans="1:15" x14ac:dyDescent="0.25">
      <c r="A330">
        <v>329</v>
      </c>
      <c r="B330" t="s">
        <v>353</v>
      </c>
      <c r="C330" t="s">
        <v>539</v>
      </c>
      <c r="D330" t="s">
        <v>541</v>
      </c>
      <c r="E330" t="s">
        <v>292</v>
      </c>
      <c r="F330" t="s">
        <v>2</v>
      </c>
      <c r="G330" t="s">
        <v>38</v>
      </c>
      <c r="H330" t="s">
        <v>39</v>
      </c>
      <c r="I330" s="5" t="s">
        <v>294</v>
      </c>
      <c r="J330" s="5" t="s">
        <v>2</v>
      </c>
      <c r="K330" s="5" t="s">
        <v>2</v>
      </c>
      <c r="L330" s="6">
        <f>IF(I330="Cut","",IF(I330="Your call","(decide)",IF(I330="Rename",J330,IF(I330="Keep",IF(D330="",E330,D330),IF(E330="(unchanged)",D330,E330)))))</f>
      </c>
      <c r="M330" s="6">
        <f>IF(AND(I330="Cut",N330&gt;0,K330=""),"USED: say what replaces it (Note)",IF(AND(I330="Rename",J330=""),"type the new name",IF(AND(L330&lt;&gt;"",L330&lt;&gt;"(decide)",COUNTIF($L$2:$L$1680,L330)&gt;1),"SAME FINAL NAME AS ANOTHER ROW","")))</f>
      </c>
      <c r="N330" s="6">
        <v>0</v>
      </c>
      <c r="O330" s="6" t="s">
        <v>2</v>
      </c>
    </row>
    <row r="331" spans="1:15" x14ac:dyDescent="0.25">
      <c r="A331">
        <v>330</v>
      </c>
      <c r="B331" t="s">
        <v>353</v>
      </c>
      <c r="C331" t="s">
        <v>539</v>
      </c>
      <c r="D331" t="s">
        <v>542</v>
      </c>
      <c r="E331" t="s">
        <v>292</v>
      </c>
      <c r="F331" t="s">
        <v>2</v>
      </c>
      <c r="G331" t="s">
        <v>38</v>
      </c>
      <c r="H331" t="s">
        <v>39</v>
      </c>
      <c r="I331" s="5" t="s">
        <v>294</v>
      </c>
      <c r="J331" s="5" t="s">
        <v>2</v>
      </c>
      <c r="K331" s="5" t="s">
        <v>2</v>
      </c>
      <c r="L331" s="6">
        <f>IF(I331="Cut","",IF(I331="Your call","(decide)",IF(I331="Rename",J331,IF(I331="Keep",IF(D331="",E331,D331),IF(E331="(unchanged)",D331,E331)))))</f>
      </c>
      <c r="M331" s="6">
        <f>IF(AND(I331="Cut",N331&gt;0,K331=""),"USED: say what replaces it (Note)",IF(AND(I331="Rename",J331=""),"type the new name",IF(AND(L331&lt;&gt;"",L331&lt;&gt;"(decide)",COUNTIF($L$2:$L$1680,L331)&gt;1),"SAME FINAL NAME AS ANOTHER ROW","")))</f>
      </c>
      <c r="N331" s="6">
        <v>0</v>
      </c>
      <c r="O331" s="6" t="s">
        <v>2</v>
      </c>
    </row>
    <row r="332" spans="1:15" x14ac:dyDescent="0.25">
      <c r="A332">
        <v>331</v>
      </c>
      <c r="B332" t="s">
        <v>353</v>
      </c>
      <c r="C332" t="s">
        <v>539</v>
      </c>
      <c r="D332" t="s">
        <v>543</v>
      </c>
      <c r="E332" t="s">
        <v>292</v>
      </c>
      <c r="F332" t="s">
        <v>2</v>
      </c>
      <c r="G332" t="s">
        <v>38</v>
      </c>
      <c r="H332" t="s">
        <v>39</v>
      </c>
      <c r="I332" s="5" t="s">
        <v>294</v>
      </c>
      <c r="J332" s="5" t="s">
        <v>2</v>
      </c>
      <c r="K332" s="5" t="s">
        <v>2</v>
      </c>
      <c r="L332" s="6">
        <f>IF(I332="Cut","",IF(I332="Your call","(decide)",IF(I332="Rename",J332,IF(I332="Keep",IF(D332="",E332,D332),IF(E332="(unchanged)",D332,E332)))))</f>
      </c>
      <c r="M332" s="6">
        <f>IF(AND(I332="Cut",N332&gt;0,K332=""),"USED: say what replaces it (Note)",IF(AND(I332="Rename",J332=""),"type the new name",IF(AND(L332&lt;&gt;"",L332&lt;&gt;"(decide)",COUNTIF($L$2:$L$1680,L332)&gt;1),"SAME FINAL NAME AS ANOTHER ROW","")))</f>
      </c>
      <c r="N332" s="6">
        <v>0</v>
      </c>
      <c r="O332" s="6" t="s">
        <v>2</v>
      </c>
    </row>
    <row r="333" spans="1:15" x14ac:dyDescent="0.25">
      <c r="A333">
        <v>332</v>
      </c>
      <c r="B333" t="s">
        <v>353</v>
      </c>
      <c r="C333" t="s">
        <v>539</v>
      </c>
      <c r="D333" t="s">
        <v>544</v>
      </c>
      <c r="E333" t="s">
        <v>292</v>
      </c>
      <c r="F333" t="s">
        <v>2</v>
      </c>
      <c r="G333" t="s">
        <v>38</v>
      </c>
      <c r="H333" t="s">
        <v>39</v>
      </c>
      <c r="I333" s="5" t="s">
        <v>294</v>
      </c>
      <c r="J333" s="5" t="s">
        <v>2</v>
      </c>
      <c r="K333" s="5" t="s">
        <v>2</v>
      </c>
      <c r="L333" s="6">
        <f>IF(I333="Cut","",IF(I333="Your call","(decide)",IF(I333="Rename",J333,IF(I333="Keep",IF(D333="",E333,D333),IF(E333="(unchanged)",D333,E333)))))</f>
      </c>
      <c r="M333" s="6">
        <f>IF(AND(I333="Cut",N333&gt;0,K333=""),"USED: say what replaces it (Note)",IF(AND(I333="Rename",J333=""),"type the new name",IF(AND(L333&lt;&gt;"",L333&lt;&gt;"(decide)",COUNTIF($L$2:$L$1680,L333)&gt;1),"SAME FINAL NAME AS ANOTHER ROW","")))</f>
      </c>
      <c r="N333" s="6">
        <v>0</v>
      </c>
      <c r="O333" s="6" t="s">
        <v>2</v>
      </c>
    </row>
    <row r="334" spans="1:15" x14ac:dyDescent="0.25">
      <c r="A334">
        <v>333</v>
      </c>
      <c r="B334" t="s">
        <v>353</v>
      </c>
      <c r="C334" t="s">
        <v>539</v>
      </c>
      <c r="D334" t="s">
        <v>545</v>
      </c>
      <c r="E334" t="s">
        <v>292</v>
      </c>
      <c r="F334" t="s">
        <v>2</v>
      </c>
      <c r="G334" t="s">
        <v>38</v>
      </c>
      <c r="H334" t="s">
        <v>39</v>
      </c>
      <c r="I334" s="5" t="s">
        <v>294</v>
      </c>
      <c r="J334" s="5" t="s">
        <v>2</v>
      </c>
      <c r="K334" s="5" t="s">
        <v>2</v>
      </c>
      <c r="L334" s="6">
        <f>IF(I334="Cut","",IF(I334="Your call","(decide)",IF(I334="Rename",J334,IF(I334="Keep",IF(D334="",E334,D334),IF(E334="(unchanged)",D334,E334)))))</f>
      </c>
      <c r="M334" s="6">
        <f>IF(AND(I334="Cut",N334&gt;0,K334=""),"USED: say what replaces it (Note)",IF(AND(I334="Rename",J334=""),"type the new name",IF(AND(L334&lt;&gt;"",L334&lt;&gt;"(decide)",COUNTIF($L$2:$L$1680,L334)&gt;1),"SAME FINAL NAME AS ANOTHER ROW","")))</f>
      </c>
      <c r="N334" s="6">
        <v>0</v>
      </c>
      <c r="O334" s="6" t="s">
        <v>2</v>
      </c>
    </row>
    <row r="335" spans="1:15" x14ac:dyDescent="0.25">
      <c r="A335">
        <v>334</v>
      </c>
      <c r="B335" t="s">
        <v>353</v>
      </c>
      <c r="C335" t="s">
        <v>539</v>
      </c>
      <c r="D335" t="s">
        <v>546</v>
      </c>
      <c r="E335" t="s">
        <v>292</v>
      </c>
      <c r="F335" t="s">
        <v>2</v>
      </c>
      <c r="G335" t="s">
        <v>38</v>
      </c>
      <c r="H335" t="s">
        <v>39</v>
      </c>
      <c r="I335" s="5" t="s">
        <v>294</v>
      </c>
      <c r="J335" s="5" t="s">
        <v>2</v>
      </c>
      <c r="K335" s="5" t="s">
        <v>2</v>
      </c>
      <c r="L335" s="6">
        <f>IF(I335="Cut","",IF(I335="Your call","(decide)",IF(I335="Rename",J335,IF(I335="Keep",IF(D335="",E335,D335),IF(E335="(unchanged)",D335,E335)))))</f>
      </c>
      <c r="M335" s="6">
        <f>IF(AND(I335="Cut",N335&gt;0,K335=""),"USED: say what replaces it (Note)",IF(AND(I335="Rename",J335=""),"type the new name",IF(AND(L335&lt;&gt;"",L335&lt;&gt;"(decide)",COUNTIF($L$2:$L$1680,L335)&gt;1),"SAME FINAL NAME AS ANOTHER ROW","")))</f>
      </c>
      <c r="N335" s="6">
        <v>0</v>
      </c>
      <c r="O335" s="6" t="s">
        <v>2</v>
      </c>
    </row>
    <row r="336" spans="1:15" x14ac:dyDescent="0.25">
      <c r="A336">
        <v>335</v>
      </c>
      <c r="B336" t="s">
        <v>353</v>
      </c>
      <c r="C336" t="s">
        <v>547</v>
      </c>
      <c r="D336" t="s">
        <v>548</v>
      </c>
      <c r="E336" t="s">
        <v>292</v>
      </c>
      <c r="F336" t="s">
        <v>2</v>
      </c>
      <c r="G336" t="s">
        <v>38</v>
      </c>
      <c r="H336" t="s">
        <v>39</v>
      </c>
      <c r="I336" s="5" t="s">
        <v>294</v>
      </c>
      <c r="J336" s="5" t="s">
        <v>2</v>
      </c>
      <c r="K336" s="5" t="s">
        <v>2</v>
      </c>
      <c r="L336" s="6">
        <f>IF(I336="Cut","",IF(I336="Your call","(decide)",IF(I336="Rename",J336,IF(I336="Keep",IF(D336="",E336,D336),IF(E336="(unchanged)",D336,E336)))))</f>
      </c>
      <c r="M336" s="6">
        <f>IF(AND(I336="Cut",N336&gt;0,K336=""),"USED: say what replaces it (Note)",IF(AND(I336="Rename",J336=""),"type the new name",IF(AND(L336&lt;&gt;"",L336&lt;&gt;"(decide)",COUNTIF($L$2:$L$1680,L336)&gt;1),"SAME FINAL NAME AS ANOTHER ROW","")))</f>
      </c>
      <c r="N336" s="6">
        <v>0</v>
      </c>
      <c r="O336" s="6" t="s">
        <v>2</v>
      </c>
    </row>
    <row r="337" spans="1:15" x14ac:dyDescent="0.25">
      <c r="A337">
        <v>336</v>
      </c>
      <c r="B337" t="s">
        <v>353</v>
      </c>
      <c r="C337" t="s">
        <v>547</v>
      </c>
      <c r="D337" t="s">
        <v>549</v>
      </c>
      <c r="E337" t="s">
        <v>292</v>
      </c>
      <c r="F337" t="s">
        <v>2</v>
      </c>
      <c r="G337" t="s">
        <v>38</v>
      </c>
      <c r="H337" t="s">
        <v>39</v>
      </c>
      <c r="I337" s="5" t="s">
        <v>294</v>
      </c>
      <c r="J337" s="5" t="s">
        <v>2</v>
      </c>
      <c r="K337" s="5" t="s">
        <v>2</v>
      </c>
      <c r="L337" s="6">
        <f>IF(I337="Cut","",IF(I337="Your call","(decide)",IF(I337="Rename",J337,IF(I337="Keep",IF(D337="",E337,D337),IF(E337="(unchanged)",D337,E337)))))</f>
      </c>
      <c r="M337" s="6">
        <f>IF(AND(I337="Cut",N337&gt;0,K337=""),"USED: say what replaces it (Note)",IF(AND(I337="Rename",J337=""),"type the new name",IF(AND(L337&lt;&gt;"",L337&lt;&gt;"(decide)",COUNTIF($L$2:$L$1680,L337)&gt;1),"SAME FINAL NAME AS ANOTHER ROW","")))</f>
      </c>
      <c r="N337" s="6">
        <v>0</v>
      </c>
      <c r="O337" s="6" t="s">
        <v>2</v>
      </c>
    </row>
    <row r="338" spans="1:15" x14ac:dyDescent="0.25">
      <c r="A338">
        <v>337</v>
      </c>
      <c r="B338" t="s">
        <v>353</v>
      </c>
      <c r="C338" t="s">
        <v>547</v>
      </c>
      <c r="D338" t="s">
        <v>550</v>
      </c>
      <c r="E338" t="s">
        <v>292</v>
      </c>
      <c r="F338" t="s">
        <v>2</v>
      </c>
      <c r="G338" t="s">
        <v>38</v>
      </c>
      <c r="H338" t="s">
        <v>39</v>
      </c>
      <c r="I338" s="5" t="s">
        <v>294</v>
      </c>
      <c r="J338" s="5" t="s">
        <v>2</v>
      </c>
      <c r="K338" s="5" t="s">
        <v>2</v>
      </c>
      <c r="L338" s="6">
        <f>IF(I338="Cut","",IF(I338="Your call","(decide)",IF(I338="Rename",J338,IF(I338="Keep",IF(D338="",E338,D338),IF(E338="(unchanged)",D338,E338)))))</f>
      </c>
      <c r="M338" s="6">
        <f>IF(AND(I338="Cut",N338&gt;0,K338=""),"USED: say what replaces it (Note)",IF(AND(I338="Rename",J338=""),"type the new name",IF(AND(L338&lt;&gt;"",L338&lt;&gt;"(decide)",COUNTIF($L$2:$L$1680,L338)&gt;1),"SAME FINAL NAME AS ANOTHER ROW","")))</f>
      </c>
      <c r="N338" s="6">
        <v>0</v>
      </c>
      <c r="O338" s="6" t="s">
        <v>2</v>
      </c>
    </row>
    <row r="339" spans="1:15" x14ac:dyDescent="0.25">
      <c r="A339">
        <v>338</v>
      </c>
      <c r="B339" t="s">
        <v>353</v>
      </c>
      <c r="C339" t="s">
        <v>547</v>
      </c>
      <c r="D339" t="s">
        <v>551</v>
      </c>
      <c r="E339" t="s">
        <v>292</v>
      </c>
      <c r="F339" t="s">
        <v>2</v>
      </c>
      <c r="G339" t="s">
        <v>38</v>
      </c>
      <c r="H339" t="s">
        <v>39</v>
      </c>
      <c r="I339" s="5" t="s">
        <v>294</v>
      </c>
      <c r="J339" s="5" t="s">
        <v>2</v>
      </c>
      <c r="K339" s="5" t="s">
        <v>2</v>
      </c>
      <c r="L339" s="6">
        <f>IF(I339="Cut","",IF(I339="Your call","(decide)",IF(I339="Rename",J339,IF(I339="Keep",IF(D339="",E339,D339),IF(E339="(unchanged)",D339,E339)))))</f>
      </c>
      <c r="M339" s="6">
        <f>IF(AND(I339="Cut",N339&gt;0,K339=""),"USED: say what replaces it (Note)",IF(AND(I339="Rename",J339=""),"type the new name",IF(AND(L339&lt;&gt;"",L339&lt;&gt;"(decide)",COUNTIF($L$2:$L$1680,L339)&gt;1),"SAME FINAL NAME AS ANOTHER ROW","")))</f>
      </c>
      <c r="N339" s="6">
        <v>0</v>
      </c>
      <c r="O339" s="6" t="s">
        <v>2</v>
      </c>
    </row>
    <row r="340" spans="1:15" x14ac:dyDescent="0.25">
      <c r="A340">
        <v>339</v>
      </c>
      <c r="B340" t="s">
        <v>353</v>
      </c>
      <c r="C340" t="s">
        <v>547</v>
      </c>
      <c r="D340" t="s">
        <v>552</v>
      </c>
      <c r="E340" t="s">
        <v>292</v>
      </c>
      <c r="F340" t="s">
        <v>2</v>
      </c>
      <c r="G340" t="s">
        <v>38</v>
      </c>
      <c r="H340" t="s">
        <v>39</v>
      </c>
      <c r="I340" s="5" t="s">
        <v>294</v>
      </c>
      <c r="J340" s="5" t="s">
        <v>2</v>
      </c>
      <c r="K340" s="5" t="s">
        <v>2</v>
      </c>
      <c r="L340" s="6">
        <f>IF(I340="Cut","",IF(I340="Your call","(decide)",IF(I340="Rename",J340,IF(I340="Keep",IF(D340="",E340,D340),IF(E340="(unchanged)",D340,E340)))))</f>
      </c>
      <c r="M340" s="6">
        <f>IF(AND(I340="Cut",N340&gt;0,K340=""),"USED: say what replaces it (Note)",IF(AND(I340="Rename",J340=""),"type the new name",IF(AND(L340&lt;&gt;"",L340&lt;&gt;"(decide)",COUNTIF($L$2:$L$1680,L340)&gt;1),"SAME FINAL NAME AS ANOTHER ROW","")))</f>
      </c>
      <c r="N340" s="6">
        <v>0</v>
      </c>
      <c r="O340" s="6" t="s">
        <v>2</v>
      </c>
    </row>
    <row r="341" spans="1:15" x14ac:dyDescent="0.25">
      <c r="A341">
        <v>340</v>
      </c>
      <c r="B341" t="s">
        <v>353</v>
      </c>
      <c r="C341" t="s">
        <v>547</v>
      </c>
      <c r="D341" t="s">
        <v>553</v>
      </c>
      <c r="E341" t="s">
        <v>292</v>
      </c>
      <c r="F341" t="s">
        <v>2</v>
      </c>
      <c r="G341" t="s">
        <v>38</v>
      </c>
      <c r="H341" t="s">
        <v>39</v>
      </c>
      <c r="I341" s="5" t="s">
        <v>294</v>
      </c>
      <c r="J341" s="5" t="s">
        <v>2</v>
      </c>
      <c r="K341" s="5" t="s">
        <v>2</v>
      </c>
      <c r="L341" s="6">
        <f>IF(I341="Cut","",IF(I341="Your call","(decide)",IF(I341="Rename",J341,IF(I341="Keep",IF(D341="",E341,D341),IF(E341="(unchanged)",D341,E341)))))</f>
      </c>
      <c r="M341" s="6">
        <f>IF(AND(I341="Cut",N341&gt;0,K341=""),"USED: say what replaces it (Note)",IF(AND(I341="Rename",J341=""),"type the new name",IF(AND(L341&lt;&gt;"",L341&lt;&gt;"(decide)",COUNTIF($L$2:$L$1680,L341)&gt;1),"SAME FINAL NAME AS ANOTHER ROW","")))</f>
      </c>
      <c r="N341" s="6">
        <v>0</v>
      </c>
      <c r="O341" s="6" t="s">
        <v>2</v>
      </c>
    </row>
    <row r="342" spans="1:15" x14ac:dyDescent="0.25">
      <c r="A342">
        <v>341</v>
      </c>
      <c r="B342" t="s">
        <v>353</v>
      </c>
      <c r="C342" t="s">
        <v>547</v>
      </c>
      <c r="D342" t="s">
        <v>554</v>
      </c>
      <c r="E342" t="s">
        <v>292</v>
      </c>
      <c r="F342" t="s">
        <v>2</v>
      </c>
      <c r="G342" t="s">
        <v>38</v>
      </c>
      <c r="H342" t="s">
        <v>39</v>
      </c>
      <c r="I342" s="5" t="s">
        <v>294</v>
      </c>
      <c r="J342" s="5" t="s">
        <v>2</v>
      </c>
      <c r="K342" s="5" t="s">
        <v>2</v>
      </c>
      <c r="L342" s="6">
        <f>IF(I342="Cut","",IF(I342="Your call","(decide)",IF(I342="Rename",J342,IF(I342="Keep",IF(D342="",E342,D342),IF(E342="(unchanged)",D342,E342)))))</f>
      </c>
      <c r="M342" s="6">
        <f>IF(AND(I342="Cut",N342&gt;0,K342=""),"USED: say what replaces it (Note)",IF(AND(I342="Rename",J342=""),"type the new name",IF(AND(L342&lt;&gt;"",L342&lt;&gt;"(decide)",COUNTIF($L$2:$L$1680,L342)&gt;1),"SAME FINAL NAME AS ANOTHER ROW","")))</f>
      </c>
      <c r="N342" s="6">
        <v>0</v>
      </c>
      <c r="O342" s="6" t="s">
        <v>2</v>
      </c>
    </row>
    <row r="343" spans="1:15" x14ac:dyDescent="0.25">
      <c r="A343">
        <v>342</v>
      </c>
      <c r="B343" t="s">
        <v>353</v>
      </c>
      <c r="C343" t="s">
        <v>547</v>
      </c>
      <c r="D343" t="s">
        <v>555</v>
      </c>
      <c r="E343" t="s">
        <v>292</v>
      </c>
      <c r="F343" t="s">
        <v>2</v>
      </c>
      <c r="G343" t="s">
        <v>38</v>
      </c>
      <c r="H343" t="s">
        <v>39</v>
      </c>
      <c r="I343" s="5" t="s">
        <v>294</v>
      </c>
      <c r="J343" s="5" t="s">
        <v>2</v>
      </c>
      <c r="K343" s="5" t="s">
        <v>2</v>
      </c>
      <c r="L343" s="6">
        <f>IF(I343="Cut","",IF(I343="Your call","(decide)",IF(I343="Rename",J343,IF(I343="Keep",IF(D343="",E343,D343),IF(E343="(unchanged)",D343,E343)))))</f>
      </c>
      <c r="M343" s="6">
        <f>IF(AND(I343="Cut",N343&gt;0,K343=""),"USED: say what replaces it (Note)",IF(AND(I343="Rename",J343=""),"type the new name",IF(AND(L343&lt;&gt;"",L343&lt;&gt;"(decide)",COUNTIF($L$2:$L$1680,L343)&gt;1),"SAME FINAL NAME AS ANOTHER ROW","")))</f>
      </c>
      <c r="N343" s="6">
        <v>0</v>
      </c>
      <c r="O343" s="6" t="s">
        <v>2</v>
      </c>
    </row>
    <row r="344" spans="1:15" x14ac:dyDescent="0.25">
      <c r="A344">
        <v>343</v>
      </c>
      <c r="B344" t="s">
        <v>353</v>
      </c>
      <c r="C344" t="s">
        <v>547</v>
      </c>
      <c r="D344" t="s">
        <v>556</v>
      </c>
      <c r="E344" t="s">
        <v>292</v>
      </c>
      <c r="F344" t="s">
        <v>2</v>
      </c>
      <c r="G344" t="s">
        <v>38</v>
      </c>
      <c r="H344" t="s">
        <v>39</v>
      </c>
      <c r="I344" s="5" t="s">
        <v>294</v>
      </c>
      <c r="J344" s="5" t="s">
        <v>2</v>
      </c>
      <c r="K344" s="5" t="s">
        <v>2</v>
      </c>
      <c r="L344" s="6">
        <f>IF(I344="Cut","",IF(I344="Your call","(decide)",IF(I344="Rename",J344,IF(I344="Keep",IF(D344="",E344,D344),IF(E344="(unchanged)",D344,E344)))))</f>
      </c>
      <c r="M344" s="6">
        <f>IF(AND(I344="Cut",N344&gt;0,K344=""),"USED: say what replaces it (Note)",IF(AND(I344="Rename",J344=""),"type the new name",IF(AND(L344&lt;&gt;"",L344&lt;&gt;"(decide)",COUNTIF($L$2:$L$1680,L344)&gt;1),"SAME FINAL NAME AS ANOTHER ROW","")))</f>
      </c>
      <c r="N344" s="6">
        <v>0</v>
      </c>
      <c r="O344" s="6" t="s">
        <v>2</v>
      </c>
    </row>
    <row r="345" spans="1:15" x14ac:dyDescent="0.25">
      <c r="A345">
        <v>344</v>
      </c>
      <c r="B345" t="s">
        <v>353</v>
      </c>
      <c r="C345" t="s">
        <v>557</v>
      </c>
      <c r="D345" t="s">
        <v>558</v>
      </c>
      <c r="E345" t="s">
        <v>292</v>
      </c>
      <c r="F345" t="s">
        <v>2</v>
      </c>
      <c r="G345" t="s">
        <v>38</v>
      </c>
      <c r="H345" t="s">
        <v>39</v>
      </c>
      <c r="I345" s="5" t="s">
        <v>294</v>
      </c>
      <c r="J345" s="5" t="s">
        <v>2</v>
      </c>
      <c r="K345" s="5" t="s">
        <v>2</v>
      </c>
      <c r="L345" s="6">
        <f>IF(I345="Cut","",IF(I345="Your call","(decide)",IF(I345="Rename",J345,IF(I345="Keep",IF(D345="",E345,D345),IF(E345="(unchanged)",D345,E345)))))</f>
      </c>
      <c r="M345" s="6">
        <f>IF(AND(I345="Cut",N345&gt;0,K345=""),"USED: say what replaces it (Note)",IF(AND(I345="Rename",J345=""),"type the new name",IF(AND(L345&lt;&gt;"",L345&lt;&gt;"(decide)",COUNTIF($L$2:$L$1680,L345)&gt;1),"SAME FINAL NAME AS ANOTHER ROW","")))</f>
      </c>
      <c r="N345" s="6">
        <v>0</v>
      </c>
      <c r="O345" s="6" t="s">
        <v>2</v>
      </c>
    </row>
    <row r="346" spans="1:15" x14ac:dyDescent="0.25">
      <c r="A346">
        <v>345</v>
      </c>
      <c r="B346" t="s">
        <v>353</v>
      </c>
      <c r="C346" t="s">
        <v>557</v>
      </c>
      <c r="D346" t="s">
        <v>559</v>
      </c>
      <c r="E346" t="s">
        <v>292</v>
      </c>
      <c r="F346" t="s">
        <v>2</v>
      </c>
      <c r="G346" t="s">
        <v>38</v>
      </c>
      <c r="H346" t="s">
        <v>39</v>
      </c>
      <c r="I346" s="5" t="s">
        <v>294</v>
      </c>
      <c r="J346" s="5" t="s">
        <v>2</v>
      </c>
      <c r="K346" s="5" t="s">
        <v>2</v>
      </c>
      <c r="L346" s="6">
        <f>IF(I346="Cut","",IF(I346="Your call","(decide)",IF(I346="Rename",J346,IF(I346="Keep",IF(D346="",E346,D346),IF(E346="(unchanged)",D346,E346)))))</f>
      </c>
      <c r="M346" s="6">
        <f>IF(AND(I346="Cut",N346&gt;0,K346=""),"USED: say what replaces it (Note)",IF(AND(I346="Rename",J346=""),"type the new name",IF(AND(L346&lt;&gt;"",L346&lt;&gt;"(decide)",COUNTIF($L$2:$L$1680,L346)&gt;1),"SAME FINAL NAME AS ANOTHER ROW","")))</f>
      </c>
      <c r="N346" s="6">
        <v>0</v>
      </c>
      <c r="O346" s="6" t="s">
        <v>2</v>
      </c>
    </row>
    <row r="347" spans="1:15" x14ac:dyDescent="0.25">
      <c r="A347">
        <v>346</v>
      </c>
      <c r="B347" t="s">
        <v>353</v>
      </c>
      <c r="C347" t="s">
        <v>557</v>
      </c>
      <c r="D347" t="s">
        <v>560</v>
      </c>
      <c r="E347" t="s">
        <v>292</v>
      </c>
      <c r="F347" t="s">
        <v>2</v>
      </c>
      <c r="G347" t="s">
        <v>38</v>
      </c>
      <c r="H347" t="s">
        <v>39</v>
      </c>
      <c r="I347" s="5" t="s">
        <v>294</v>
      </c>
      <c r="J347" s="5" t="s">
        <v>2</v>
      </c>
      <c r="K347" s="5" t="s">
        <v>2</v>
      </c>
      <c r="L347" s="6">
        <f>IF(I347="Cut","",IF(I347="Your call","(decide)",IF(I347="Rename",J347,IF(I347="Keep",IF(D347="",E347,D347),IF(E347="(unchanged)",D347,E347)))))</f>
      </c>
      <c r="M347" s="6">
        <f>IF(AND(I347="Cut",N347&gt;0,K347=""),"USED: say what replaces it (Note)",IF(AND(I347="Rename",J347=""),"type the new name",IF(AND(L347&lt;&gt;"",L347&lt;&gt;"(decide)",COUNTIF($L$2:$L$1680,L347)&gt;1),"SAME FINAL NAME AS ANOTHER ROW","")))</f>
      </c>
      <c r="N347" s="6">
        <v>0</v>
      </c>
      <c r="O347" s="6" t="s">
        <v>2</v>
      </c>
    </row>
    <row r="348" spans="1:15" x14ac:dyDescent="0.25">
      <c r="A348">
        <v>347</v>
      </c>
      <c r="B348" t="s">
        <v>353</v>
      </c>
      <c r="C348" t="s">
        <v>557</v>
      </c>
      <c r="D348" t="s">
        <v>561</v>
      </c>
      <c r="E348" t="s">
        <v>292</v>
      </c>
      <c r="F348" t="s">
        <v>2</v>
      </c>
      <c r="G348" t="s">
        <v>38</v>
      </c>
      <c r="H348" t="s">
        <v>39</v>
      </c>
      <c r="I348" s="5" t="s">
        <v>294</v>
      </c>
      <c r="J348" s="5" t="s">
        <v>2</v>
      </c>
      <c r="K348" s="5" t="s">
        <v>2</v>
      </c>
      <c r="L348" s="6">
        <f>IF(I348="Cut","",IF(I348="Your call","(decide)",IF(I348="Rename",J348,IF(I348="Keep",IF(D348="",E348,D348),IF(E348="(unchanged)",D348,E348)))))</f>
      </c>
      <c r="M348" s="6">
        <f>IF(AND(I348="Cut",N348&gt;0,K348=""),"USED: say what replaces it (Note)",IF(AND(I348="Rename",J348=""),"type the new name",IF(AND(L348&lt;&gt;"",L348&lt;&gt;"(decide)",COUNTIF($L$2:$L$1680,L348)&gt;1),"SAME FINAL NAME AS ANOTHER ROW","")))</f>
      </c>
      <c r="N348" s="6">
        <v>0</v>
      </c>
      <c r="O348" s="6" t="s">
        <v>2</v>
      </c>
    </row>
    <row r="349" spans="1:15" x14ac:dyDescent="0.25">
      <c r="A349">
        <v>348</v>
      </c>
      <c r="B349" t="s">
        <v>353</v>
      </c>
      <c r="C349" t="s">
        <v>557</v>
      </c>
      <c r="D349" t="s">
        <v>562</v>
      </c>
      <c r="E349" t="s">
        <v>292</v>
      </c>
      <c r="F349" t="s">
        <v>2</v>
      </c>
      <c r="G349" t="s">
        <v>38</v>
      </c>
      <c r="H349" t="s">
        <v>39</v>
      </c>
      <c r="I349" s="5" t="s">
        <v>294</v>
      </c>
      <c r="J349" s="5" t="s">
        <v>2</v>
      </c>
      <c r="K349" s="5" t="s">
        <v>2</v>
      </c>
      <c r="L349" s="6">
        <f>IF(I349="Cut","",IF(I349="Your call","(decide)",IF(I349="Rename",J349,IF(I349="Keep",IF(D349="",E349,D349),IF(E349="(unchanged)",D349,E349)))))</f>
      </c>
      <c r="M349" s="6">
        <f>IF(AND(I349="Cut",N349&gt;0,K349=""),"USED: say what replaces it (Note)",IF(AND(I349="Rename",J349=""),"type the new name",IF(AND(L349&lt;&gt;"",L349&lt;&gt;"(decide)",COUNTIF($L$2:$L$1680,L349)&gt;1),"SAME FINAL NAME AS ANOTHER ROW","")))</f>
      </c>
      <c r="N349" s="6">
        <v>0</v>
      </c>
      <c r="O349" s="6" t="s">
        <v>2</v>
      </c>
    </row>
    <row r="350" spans="1:15" x14ac:dyDescent="0.25">
      <c r="A350">
        <v>349</v>
      </c>
      <c r="B350" t="s">
        <v>353</v>
      </c>
      <c r="C350" t="s">
        <v>557</v>
      </c>
      <c r="D350" t="s">
        <v>563</v>
      </c>
      <c r="E350" t="s">
        <v>292</v>
      </c>
      <c r="F350" t="s">
        <v>2</v>
      </c>
      <c r="G350" t="s">
        <v>38</v>
      </c>
      <c r="H350" t="s">
        <v>39</v>
      </c>
      <c r="I350" s="5" t="s">
        <v>294</v>
      </c>
      <c r="J350" s="5" t="s">
        <v>2</v>
      </c>
      <c r="K350" s="5" t="s">
        <v>2</v>
      </c>
      <c r="L350" s="6">
        <f>IF(I350="Cut","",IF(I350="Your call","(decide)",IF(I350="Rename",J350,IF(I350="Keep",IF(D350="",E350,D350),IF(E350="(unchanged)",D350,E350)))))</f>
      </c>
      <c r="M350" s="6">
        <f>IF(AND(I350="Cut",N350&gt;0,K350=""),"USED: say what replaces it (Note)",IF(AND(I350="Rename",J350=""),"type the new name",IF(AND(L350&lt;&gt;"",L350&lt;&gt;"(decide)",COUNTIF($L$2:$L$1680,L350)&gt;1),"SAME FINAL NAME AS ANOTHER ROW","")))</f>
      </c>
      <c r="N350" s="6">
        <v>0</v>
      </c>
      <c r="O350" s="6" t="s">
        <v>2</v>
      </c>
    </row>
    <row r="351" spans="1:15" x14ac:dyDescent="0.25">
      <c r="A351">
        <v>350</v>
      </c>
      <c r="B351" t="s">
        <v>353</v>
      </c>
      <c r="C351" t="s">
        <v>557</v>
      </c>
      <c r="D351" t="s">
        <v>564</v>
      </c>
      <c r="E351" t="s">
        <v>292</v>
      </c>
      <c r="F351" t="s">
        <v>2</v>
      </c>
      <c r="G351" t="s">
        <v>38</v>
      </c>
      <c r="H351" t="s">
        <v>39</v>
      </c>
      <c r="I351" s="5" t="s">
        <v>294</v>
      </c>
      <c r="J351" s="5" t="s">
        <v>2</v>
      </c>
      <c r="K351" s="5" t="s">
        <v>2</v>
      </c>
      <c r="L351" s="6">
        <f>IF(I351="Cut","",IF(I351="Your call","(decide)",IF(I351="Rename",J351,IF(I351="Keep",IF(D351="",E351,D351),IF(E351="(unchanged)",D351,E351)))))</f>
      </c>
      <c r="M351" s="6">
        <f>IF(AND(I351="Cut",N351&gt;0,K351=""),"USED: say what replaces it (Note)",IF(AND(I351="Rename",J351=""),"type the new name",IF(AND(L351&lt;&gt;"",L351&lt;&gt;"(decide)",COUNTIF($L$2:$L$1680,L351)&gt;1),"SAME FINAL NAME AS ANOTHER ROW","")))</f>
      </c>
      <c r="N351" s="6">
        <v>0</v>
      </c>
      <c r="O351" s="6" t="s">
        <v>2</v>
      </c>
    </row>
    <row r="352" spans="1:15" x14ac:dyDescent="0.25">
      <c r="A352">
        <v>351</v>
      </c>
      <c r="B352" t="s">
        <v>353</v>
      </c>
      <c r="C352" t="s">
        <v>557</v>
      </c>
      <c r="D352" t="s">
        <v>565</v>
      </c>
      <c r="E352" t="s">
        <v>292</v>
      </c>
      <c r="F352" t="s">
        <v>2</v>
      </c>
      <c r="G352" t="s">
        <v>38</v>
      </c>
      <c r="H352" t="s">
        <v>39</v>
      </c>
      <c r="I352" s="5" t="s">
        <v>294</v>
      </c>
      <c r="J352" s="5" t="s">
        <v>2</v>
      </c>
      <c r="K352" s="5" t="s">
        <v>2</v>
      </c>
      <c r="L352" s="6">
        <f>IF(I352="Cut","",IF(I352="Your call","(decide)",IF(I352="Rename",J352,IF(I352="Keep",IF(D352="",E352,D352),IF(E352="(unchanged)",D352,E352)))))</f>
      </c>
      <c r="M352" s="6">
        <f>IF(AND(I352="Cut",N352&gt;0,K352=""),"USED: say what replaces it (Note)",IF(AND(I352="Rename",J352=""),"type the new name",IF(AND(L352&lt;&gt;"",L352&lt;&gt;"(decide)",COUNTIF($L$2:$L$1680,L352)&gt;1),"SAME FINAL NAME AS ANOTHER ROW","")))</f>
      </c>
      <c r="N352" s="6">
        <v>0</v>
      </c>
      <c r="O352" s="6" t="s">
        <v>2</v>
      </c>
    </row>
    <row r="353" spans="1:15" x14ac:dyDescent="0.25">
      <c r="A353">
        <v>352</v>
      </c>
      <c r="B353" t="s">
        <v>353</v>
      </c>
      <c r="C353" t="s">
        <v>557</v>
      </c>
      <c r="D353" t="s">
        <v>566</v>
      </c>
      <c r="E353" t="s">
        <v>292</v>
      </c>
      <c r="F353" t="s">
        <v>2</v>
      </c>
      <c r="G353" t="s">
        <v>38</v>
      </c>
      <c r="H353" t="s">
        <v>39</v>
      </c>
      <c r="I353" s="5" t="s">
        <v>294</v>
      </c>
      <c r="J353" s="5" t="s">
        <v>2</v>
      </c>
      <c r="K353" s="5" t="s">
        <v>2</v>
      </c>
      <c r="L353" s="6">
        <f>IF(I353="Cut","",IF(I353="Your call","(decide)",IF(I353="Rename",J353,IF(I353="Keep",IF(D353="",E353,D353),IF(E353="(unchanged)",D353,E353)))))</f>
      </c>
      <c r="M353" s="6">
        <f>IF(AND(I353="Cut",N353&gt;0,K353=""),"USED: say what replaces it (Note)",IF(AND(I353="Rename",J353=""),"type the new name",IF(AND(L353&lt;&gt;"",L353&lt;&gt;"(decide)",COUNTIF($L$2:$L$1680,L353)&gt;1),"SAME FINAL NAME AS ANOTHER ROW","")))</f>
      </c>
      <c r="N353" s="6">
        <v>0</v>
      </c>
      <c r="O353" s="6" t="s">
        <v>2</v>
      </c>
    </row>
    <row r="354" spans="1:15" x14ac:dyDescent="0.25">
      <c r="A354">
        <v>353</v>
      </c>
      <c r="B354" t="s">
        <v>353</v>
      </c>
      <c r="C354" t="s">
        <v>567</v>
      </c>
      <c r="D354" t="s">
        <v>568</v>
      </c>
      <c r="E354" t="s">
        <v>292</v>
      </c>
      <c r="F354" t="s">
        <v>2</v>
      </c>
      <c r="G354" t="s">
        <v>38</v>
      </c>
      <c r="H354" t="s">
        <v>39</v>
      </c>
      <c r="I354" s="5" t="s">
        <v>294</v>
      </c>
      <c r="J354" s="5" t="s">
        <v>2</v>
      </c>
      <c r="K354" s="5" t="s">
        <v>2</v>
      </c>
      <c r="L354" s="6">
        <f>IF(I354="Cut","",IF(I354="Your call","(decide)",IF(I354="Rename",J354,IF(I354="Keep",IF(D354="",E354,D354),IF(E354="(unchanged)",D354,E354)))))</f>
      </c>
      <c r="M354" s="6">
        <f>IF(AND(I354="Cut",N354&gt;0,K354=""),"USED: say what replaces it (Note)",IF(AND(I354="Rename",J354=""),"type the new name",IF(AND(L354&lt;&gt;"",L354&lt;&gt;"(decide)",COUNTIF($L$2:$L$1680,L354)&gt;1),"SAME FINAL NAME AS ANOTHER ROW","")))</f>
      </c>
      <c r="N354" s="6">
        <v>0</v>
      </c>
      <c r="O354" s="6" t="s">
        <v>2</v>
      </c>
    </row>
    <row r="355" spans="1:15" x14ac:dyDescent="0.25">
      <c r="A355">
        <v>354</v>
      </c>
      <c r="B355" t="s">
        <v>353</v>
      </c>
      <c r="C355" t="s">
        <v>567</v>
      </c>
      <c r="D355" t="s">
        <v>569</v>
      </c>
      <c r="E355" t="s">
        <v>292</v>
      </c>
      <c r="F355" t="s">
        <v>2</v>
      </c>
      <c r="G355" t="s">
        <v>38</v>
      </c>
      <c r="H355" t="s">
        <v>39</v>
      </c>
      <c r="I355" s="5" t="s">
        <v>294</v>
      </c>
      <c r="J355" s="5" t="s">
        <v>2</v>
      </c>
      <c r="K355" s="5" t="s">
        <v>2</v>
      </c>
      <c r="L355" s="6">
        <f>IF(I355="Cut","",IF(I355="Your call","(decide)",IF(I355="Rename",J355,IF(I355="Keep",IF(D355="",E355,D355),IF(E355="(unchanged)",D355,E355)))))</f>
      </c>
      <c r="M355" s="6">
        <f>IF(AND(I355="Cut",N355&gt;0,K355=""),"USED: say what replaces it (Note)",IF(AND(I355="Rename",J355=""),"type the new name",IF(AND(L355&lt;&gt;"",L355&lt;&gt;"(decide)",COUNTIF($L$2:$L$1680,L355)&gt;1),"SAME FINAL NAME AS ANOTHER ROW","")))</f>
      </c>
      <c r="N355" s="6">
        <v>0</v>
      </c>
      <c r="O355" s="6" t="s">
        <v>2</v>
      </c>
    </row>
    <row r="356" spans="1:15" x14ac:dyDescent="0.25">
      <c r="A356">
        <v>355</v>
      </c>
      <c r="B356" t="s">
        <v>353</v>
      </c>
      <c r="C356" t="s">
        <v>567</v>
      </c>
      <c r="D356" t="s">
        <v>570</v>
      </c>
      <c r="E356" t="s">
        <v>292</v>
      </c>
      <c r="F356" t="s">
        <v>2</v>
      </c>
      <c r="G356" t="s">
        <v>38</v>
      </c>
      <c r="H356" t="s">
        <v>39</v>
      </c>
      <c r="I356" s="5" t="s">
        <v>294</v>
      </c>
      <c r="J356" s="5" t="s">
        <v>2</v>
      </c>
      <c r="K356" s="5" t="s">
        <v>2</v>
      </c>
      <c r="L356" s="6">
        <f>IF(I356="Cut","",IF(I356="Your call","(decide)",IF(I356="Rename",J356,IF(I356="Keep",IF(D356="",E356,D356),IF(E356="(unchanged)",D356,E356)))))</f>
      </c>
      <c r="M356" s="6">
        <f>IF(AND(I356="Cut",N356&gt;0,K356=""),"USED: say what replaces it (Note)",IF(AND(I356="Rename",J356=""),"type the new name",IF(AND(L356&lt;&gt;"",L356&lt;&gt;"(decide)",COUNTIF($L$2:$L$1680,L356)&gt;1),"SAME FINAL NAME AS ANOTHER ROW","")))</f>
      </c>
      <c r="N356" s="6">
        <v>0</v>
      </c>
      <c r="O356" s="6" t="s">
        <v>2</v>
      </c>
    </row>
    <row r="357" spans="1:15" x14ac:dyDescent="0.25">
      <c r="A357">
        <v>356</v>
      </c>
      <c r="B357" t="s">
        <v>353</v>
      </c>
      <c r="C357" t="s">
        <v>567</v>
      </c>
      <c r="D357" t="s">
        <v>571</v>
      </c>
      <c r="E357" t="s">
        <v>292</v>
      </c>
      <c r="F357" t="s">
        <v>2</v>
      </c>
      <c r="G357" t="s">
        <v>38</v>
      </c>
      <c r="H357" t="s">
        <v>39</v>
      </c>
      <c r="I357" s="5" t="s">
        <v>294</v>
      </c>
      <c r="J357" s="5" t="s">
        <v>2</v>
      </c>
      <c r="K357" s="5" t="s">
        <v>2</v>
      </c>
      <c r="L357" s="6">
        <f>IF(I357="Cut","",IF(I357="Your call","(decide)",IF(I357="Rename",J357,IF(I357="Keep",IF(D357="",E357,D357),IF(E357="(unchanged)",D357,E357)))))</f>
      </c>
      <c r="M357" s="6">
        <f>IF(AND(I357="Cut",N357&gt;0,K357=""),"USED: say what replaces it (Note)",IF(AND(I357="Rename",J357=""),"type the new name",IF(AND(L357&lt;&gt;"",L357&lt;&gt;"(decide)",COUNTIF($L$2:$L$1680,L357)&gt;1),"SAME FINAL NAME AS ANOTHER ROW","")))</f>
      </c>
      <c r="N357" s="6">
        <v>0</v>
      </c>
      <c r="O357" s="6" t="s">
        <v>2</v>
      </c>
    </row>
    <row r="358" spans="1:15" x14ac:dyDescent="0.25">
      <c r="A358">
        <v>357</v>
      </c>
      <c r="B358" t="s">
        <v>353</v>
      </c>
      <c r="C358" t="s">
        <v>567</v>
      </c>
      <c r="D358" t="s">
        <v>572</v>
      </c>
      <c r="E358" t="s">
        <v>292</v>
      </c>
      <c r="F358" t="s">
        <v>2</v>
      </c>
      <c r="G358" t="s">
        <v>38</v>
      </c>
      <c r="H358" t="s">
        <v>39</v>
      </c>
      <c r="I358" s="5" t="s">
        <v>294</v>
      </c>
      <c r="J358" s="5" t="s">
        <v>2</v>
      </c>
      <c r="K358" s="5" t="s">
        <v>2</v>
      </c>
      <c r="L358" s="6">
        <f>IF(I358="Cut","",IF(I358="Your call","(decide)",IF(I358="Rename",J358,IF(I358="Keep",IF(D358="",E358,D358),IF(E358="(unchanged)",D358,E358)))))</f>
      </c>
      <c r="M358" s="6">
        <f>IF(AND(I358="Cut",N358&gt;0,K358=""),"USED: say what replaces it (Note)",IF(AND(I358="Rename",J358=""),"type the new name",IF(AND(L358&lt;&gt;"",L358&lt;&gt;"(decide)",COUNTIF($L$2:$L$1680,L358)&gt;1),"SAME FINAL NAME AS ANOTHER ROW","")))</f>
      </c>
      <c r="N358" s="6">
        <v>0</v>
      </c>
      <c r="O358" s="6" t="s">
        <v>2</v>
      </c>
    </row>
    <row r="359" spans="1:15" x14ac:dyDescent="0.25">
      <c r="A359">
        <v>358</v>
      </c>
      <c r="B359" t="s">
        <v>353</v>
      </c>
      <c r="C359" t="s">
        <v>567</v>
      </c>
      <c r="D359" t="s">
        <v>573</v>
      </c>
      <c r="E359" t="s">
        <v>292</v>
      </c>
      <c r="F359" t="s">
        <v>2</v>
      </c>
      <c r="G359" t="s">
        <v>38</v>
      </c>
      <c r="H359" t="s">
        <v>39</v>
      </c>
      <c r="I359" s="5" t="s">
        <v>294</v>
      </c>
      <c r="J359" s="5" t="s">
        <v>2</v>
      </c>
      <c r="K359" s="5" t="s">
        <v>2</v>
      </c>
      <c r="L359" s="6">
        <f>IF(I359="Cut","",IF(I359="Your call","(decide)",IF(I359="Rename",J359,IF(I359="Keep",IF(D359="",E359,D359),IF(E359="(unchanged)",D359,E359)))))</f>
      </c>
      <c r="M359" s="6">
        <f>IF(AND(I359="Cut",N359&gt;0,K359=""),"USED: say what replaces it (Note)",IF(AND(I359="Rename",J359=""),"type the new name",IF(AND(L359&lt;&gt;"",L359&lt;&gt;"(decide)",COUNTIF($L$2:$L$1680,L359)&gt;1),"SAME FINAL NAME AS ANOTHER ROW","")))</f>
      </c>
      <c r="N359" s="6">
        <v>0</v>
      </c>
      <c r="O359" s="6" t="s">
        <v>2</v>
      </c>
    </row>
    <row r="360" spans="1:15" x14ac:dyDescent="0.25">
      <c r="A360">
        <v>359</v>
      </c>
      <c r="B360" t="s">
        <v>353</v>
      </c>
      <c r="C360" t="s">
        <v>567</v>
      </c>
      <c r="D360" t="s">
        <v>574</v>
      </c>
      <c r="E360" t="s">
        <v>292</v>
      </c>
      <c r="F360" t="s">
        <v>2</v>
      </c>
      <c r="G360" t="s">
        <v>38</v>
      </c>
      <c r="H360" t="s">
        <v>39</v>
      </c>
      <c r="I360" s="5" t="s">
        <v>294</v>
      </c>
      <c r="J360" s="5" t="s">
        <v>2</v>
      </c>
      <c r="K360" s="5" t="s">
        <v>2</v>
      </c>
      <c r="L360" s="6">
        <f>IF(I360="Cut","",IF(I360="Your call","(decide)",IF(I360="Rename",J360,IF(I360="Keep",IF(D360="",E360,D360),IF(E360="(unchanged)",D360,E360)))))</f>
      </c>
      <c r="M360" s="6">
        <f>IF(AND(I360="Cut",N360&gt;0,K360=""),"USED: say what replaces it (Note)",IF(AND(I360="Rename",J360=""),"type the new name",IF(AND(L360&lt;&gt;"",L360&lt;&gt;"(decide)",COUNTIF($L$2:$L$1680,L360)&gt;1),"SAME FINAL NAME AS ANOTHER ROW","")))</f>
      </c>
      <c r="N360" s="6">
        <v>0</v>
      </c>
      <c r="O360" s="6" t="s">
        <v>2</v>
      </c>
    </row>
    <row r="361" spans="1:15" x14ac:dyDescent="0.25">
      <c r="A361">
        <v>360</v>
      </c>
      <c r="B361" t="s">
        <v>353</v>
      </c>
      <c r="C361" t="s">
        <v>567</v>
      </c>
      <c r="D361" t="s">
        <v>575</v>
      </c>
      <c r="E361" t="s">
        <v>292</v>
      </c>
      <c r="F361" t="s">
        <v>2</v>
      </c>
      <c r="G361" t="s">
        <v>38</v>
      </c>
      <c r="H361" t="s">
        <v>39</v>
      </c>
      <c r="I361" s="5" t="s">
        <v>294</v>
      </c>
      <c r="J361" s="5" t="s">
        <v>2</v>
      </c>
      <c r="K361" s="5" t="s">
        <v>2</v>
      </c>
      <c r="L361" s="6">
        <f>IF(I361="Cut","",IF(I361="Your call","(decide)",IF(I361="Rename",J361,IF(I361="Keep",IF(D361="",E361,D361),IF(E361="(unchanged)",D361,E361)))))</f>
      </c>
      <c r="M361" s="6">
        <f>IF(AND(I361="Cut",N361&gt;0,K361=""),"USED: say what replaces it (Note)",IF(AND(I361="Rename",J361=""),"type the new name",IF(AND(L361&lt;&gt;"",L361&lt;&gt;"(decide)",COUNTIF($L$2:$L$1680,L361)&gt;1),"SAME FINAL NAME AS ANOTHER ROW","")))</f>
      </c>
      <c r="N361" s="6">
        <v>0</v>
      </c>
      <c r="O361" s="6" t="s">
        <v>2</v>
      </c>
    </row>
    <row r="362" spans="1:15" x14ac:dyDescent="0.25">
      <c r="A362">
        <v>361</v>
      </c>
      <c r="B362" t="s">
        <v>353</v>
      </c>
      <c r="C362" t="s">
        <v>567</v>
      </c>
      <c r="D362" t="s">
        <v>576</v>
      </c>
      <c r="E362" t="s">
        <v>292</v>
      </c>
      <c r="F362" t="s">
        <v>2</v>
      </c>
      <c r="G362" t="s">
        <v>38</v>
      </c>
      <c r="H362" t="s">
        <v>39</v>
      </c>
      <c r="I362" s="5" t="s">
        <v>294</v>
      </c>
      <c r="J362" s="5" t="s">
        <v>2</v>
      </c>
      <c r="K362" s="5" t="s">
        <v>2</v>
      </c>
      <c r="L362" s="6">
        <f>IF(I362="Cut","",IF(I362="Your call","(decide)",IF(I362="Rename",J362,IF(I362="Keep",IF(D362="",E362,D362),IF(E362="(unchanged)",D362,E362)))))</f>
      </c>
      <c r="M362" s="6">
        <f>IF(AND(I362="Cut",N362&gt;0,K362=""),"USED: say what replaces it (Note)",IF(AND(I362="Rename",J362=""),"type the new name",IF(AND(L362&lt;&gt;"",L362&lt;&gt;"(decide)",COUNTIF($L$2:$L$1680,L362)&gt;1),"SAME FINAL NAME AS ANOTHER ROW","")))</f>
      </c>
      <c r="N362" s="6">
        <v>0</v>
      </c>
      <c r="O362" s="6" t="s">
        <v>2</v>
      </c>
    </row>
    <row r="363" spans="1:15" x14ac:dyDescent="0.25">
      <c r="A363">
        <v>362</v>
      </c>
      <c r="B363" t="s">
        <v>353</v>
      </c>
      <c r="C363" t="s">
        <v>577</v>
      </c>
      <c r="D363" t="s">
        <v>578</v>
      </c>
      <c r="E363" t="s">
        <v>292</v>
      </c>
      <c r="F363" t="s">
        <v>2</v>
      </c>
      <c r="G363" t="s">
        <v>38</v>
      </c>
      <c r="H363" t="s">
        <v>39</v>
      </c>
      <c r="I363" s="5" t="s">
        <v>294</v>
      </c>
      <c r="J363" s="5" t="s">
        <v>2</v>
      </c>
      <c r="K363" s="5" t="s">
        <v>2</v>
      </c>
      <c r="L363" s="6">
        <f>IF(I363="Cut","",IF(I363="Your call","(decide)",IF(I363="Rename",J363,IF(I363="Keep",IF(D363="",E363,D363),IF(E363="(unchanged)",D363,E363)))))</f>
      </c>
      <c r="M363" s="6">
        <f>IF(AND(I363="Cut",N363&gt;0,K363=""),"USED: say what replaces it (Note)",IF(AND(I363="Rename",J363=""),"type the new name",IF(AND(L363&lt;&gt;"",L363&lt;&gt;"(decide)",COUNTIF($L$2:$L$1680,L363)&gt;1),"SAME FINAL NAME AS ANOTHER ROW","")))</f>
      </c>
      <c r="N363" s="6">
        <v>0</v>
      </c>
      <c r="O363" s="6" t="s">
        <v>2</v>
      </c>
    </row>
    <row r="364" spans="1:15" x14ac:dyDescent="0.25">
      <c r="A364">
        <v>363</v>
      </c>
      <c r="B364" t="s">
        <v>353</v>
      </c>
      <c r="C364" t="s">
        <v>577</v>
      </c>
      <c r="D364" t="s">
        <v>579</v>
      </c>
      <c r="E364" t="s">
        <v>292</v>
      </c>
      <c r="F364" t="s">
        <v>2</v>
      </c>
      <c r="G364" t="s">
        <v>38</v>
      </c>
      <c r="H364" t="s">
        <v>39</v>
      </c>
      <c r="I364" s="5" t="s">
        <v>294</v>
      </c>
      <c r="J364" s="5" t="s">
        <v>2</v>
      </c>
      <c r="K364" s="5" t="s">
        <v>2</v>
      </c>
      <c r="L364" s="6">
        <f>IF(I364="Cut","",IF(I364="Your call","(decide)",IF(I364="Rename",J364,IF(I364="Keep",IF(D364="",E364,D364),IF(E364="(unchanged)",D364,E364)))))</f>
      </c>
      <c r="M364" s="6">
        <f>IF(AND(I364="Cut",N364&gt;0,K364=""),"USED: say what replaces it (Note)",IF(AND(I364="Rename",J364=""),"type the new name",IF(AND(L364&lt;&gt;"",L364&lt;&gt;"(decide)",COUNTIF($L$2:$L$1680,L364)&gt;1),"SAME FINAL NAME AS ANOTHER ROW","")))</f>
      </c>
      <c r="N364" s="6">
        <v>0</v>
      </c>
      <c r="O364" s="6" t="s">
        <v>2</v>
      </c>
    </row>
    <row r="365" spans="1:15" x14ac:dyDescent="0.25">
      <c r="A365">
        <v>364</v>
      </c>
      <c r="B365" t="s">
        <v>353</v>
      </c>
      <c r="C365" t="s">
        <v>577</v>
      </c>
      <c r="D365" t="s">
        <v>580</v>
      </c>
      <c r="E365" t="s">
        <v>292</v>
      </c>
      <c r="F365" t="s">
        <v>2</v>
      </c>
      <c r="G365" t="s">
        <v>38</v>
      </c>
      <c r="H365" t="s">
        <v>39</v>
      </c>
      <c r="I365" s="5" t="s">
        <v>294</v>
      </c>
      <c r="J365" s="5" t="s">
        <v>2</v>
      </c>
      <c r="K365" s="5" t="s">
        <v>2</v>
      </c>
      <c r="L365" s="6">
        <f>IF(I365="Cut","",IF(I365="Your call","(decide)",IF(I365="Rename",J365,IF(I365="Keep",IF(D365="",E365,D365),IF(E365="(unchanged)",D365,E365)))))</f>
      </c>
      <c r="M365" s="6">
        <f>IF(AND(I365="Cut",N365&gt;0,K365=""),"USED: say what replaces it (Note)",IF(AND(I365="Rename",J365=""),"type the new name",IF(AND(L365&lt;&gt;"",L365&lt;&gt;"(decide)",COUNTIF($L$2:$L$1680,L365)&gt;1),"SAME FINAL NAME AS ANOTHER ROW","")))</f>
      </c>
      <c r="N365" s="6">
        <v>0</v>
      </c>
      <c r="O365" s="6" t="s">
        <v>2</v>
      </c>
    </row>
    <row r="366" spans="1:15" x14ac:dyDescent="0.25">
      <c r="A366">
        <v>365</v>
      </c>
      <c r="B366" t="s">
        <v>353</v>
      </c>
      <c r="C366" t="s">
        <v>577</v>
      </c>
      <c r="D366" t="s">
        <v>581</v>
      </c>
      <c r="E366" t="s">
        <v>292</v>
      </c>
      <c r="F366" t="s">
        <v>2</v>
      </c>
      <c r="G366" t="s">
        <v>38</v>
      </c>
      <c r="H366" t="s">
        <v>39</v>
      </c>
      <c r="I366" s="5" t="s">
        <v>294</v>
      </c>
      <c r="J366" s="5" t="s">
        <v>2</v>
      </c>
      <c r="K366" s="5" t="s">
        <v>2</v>
      </c>
      <c r="L366" s="6">
        <f>IF(I366="Cut","",IF(I366="Your call","(decide)",IF(I366="Rename",J366,IF(I366="Keep",IF(D366="",E366,D366),IF(E366="(unchanged)",D366,E366)))))</f>
      </c>
      <c r="M366" s="6">
        <f>IF(AND(I366="Cut",N366&gt;0,K366=""),"USED: say what replaces it (Note)",IF(AND(I366="Rename",J366=""),"type the new name",IF(AND(L366&lt;&gt;"",L366&lt;&gt;"(decide)",COUNTIF($L$2:$L$1680,L366)&gt;1),"SAME FINAL NAME AS ANOTHER ROW","")))</f>
      </c>
      <c r="N366" s="6">
        <v>0</v>
      </c>
      <c r="O366" s="6" t="s">
        <v>2</v>
      </c>
    </row>
    <row r="367" spans="1:15" x14ac:dyDescent="0.25">
      <c r="A367">
        <v>366</v>
      </c>
      <c r="B367" t="s">
        <v>353</v>
      </c>
      <c r="C367" t="s">
        <v>577</v>
      </c>
      <c r="D367" t="s">
        <v>582</v>
      </c>
      <c r="E367" t="s">
        <v>292</v>
      </c>
      <c r="F367" t="s">
        <v>2</v>
      </c>
      <c r="G367" t="s">
        <v>38</v>
      </c>
      <c r="H367" t="s">
        <v>39</v>
      </c>
      <c r="I367" s="5" t="s">
        <v>294</v>
      </c>
      <c r="J367" s="5" t="s">
        <v>2</v>
      </c>
      <c r="K367" s="5" t="s">
        <v>2</v>
      </c>
      <c r="L367" s="6">
        <f>IF(I367="Cut","",IF(I367="Your call","(decide)",IF(I367="Rename",J367,IF(I367="Keep",IF(D367="",E367,D367),IF(E367="(unchanged)",D367,E367)))))</f>
      </c>
      <c r="M367" s="6">
        <f>IF(AND(I367="Cut",N367&gt;0,K367=""),"USED: say what replaces it (Note)",IF(AND(I367="Rename",J367=""),"type the new name",IF(AND(L367&lt;&gt;"",L367&lt;&gt;"(decide)",COUNTIF($L$2:$L$1680,L367)&gt;1),"SAME FINAL NAME AS ANOTHER ROW","")))</f>
      </c>
      <c r="N367" s="6">
        <v>0</v>
      </c>
      <c r="O367" s="6" t="s">
        <v>2</v>
      </c>
    </row>
    <row r="368" spans="1:15" x14ac:dyDescent="0.25">
      <c r="A368">
        <v>367</v>
      </c>
      <c r="B368" t="s">
        <v>353</v>
      </c>
      <c r="C368" t="s">
        <v>577</v>
      </c>
      <c r="D368" t="s">
        <v>583</v>
      </c>
      <c r="E368" t="s">
        <v>292</v>
      </c>
      <c r="F368" t="s">
        <v>2</v>
      </c>
      <c r="G368" t="s">
        <v>38</v>
      </c>
      <c r="H368" t="s">
        <v>39</v>
      </c>
      <c r="I368" s="5" t="s">
        <v>294</v>
      </c>
      <c r="J368" s="5" t="s">
        <v>2</v>
      </c>
      <c r="K368" s="5" t="s">
        <v>2</v>
      </c>
      <c r="L368" s="6">
        <f>IF(I368="Cut","",IF(I368="Your call","(decide)",IF(I368="Rename",J368,IF(I368="Keep",IF(D368="",E368,D368),IF(E368="(unchanged)",D368,E368)))))</f>
      </c>
      <c r="M368" s="6">
        <f>IF(AND(I368="Cut",N368&gt;0,K368=""),"USED: say what replaces it (Note)",IF(AND(I368="Rename",J368=""),"type the new name",IF(AND(L368&lt;&gt;"",L368&lt;&gt;"(decide)",COUNTIF($L$2:$L$1680,L368)&gt;1),"SAME FINAL NAME AS ANOTHER ROW","")))</f>
      </c>
      <c r="N368" s="6">
        <v>0</v>
      </c>
      <c r="O368" s="6" t="s">
        <v>2</v>
      </c>
    </row>
    <row r="369" spans="1:15" x14ac:dyDescent="0.25">
      <c r="A369">
        <v>368</v>
      </c>
      <c r="B369" t="s">
        <v>353</v>
      </c>
      <c r="C369" t="s">
        <v>577</v>
      </c>
      <c r="D369" t="s">
        <v>584</v>
      </c>
      <c r="E369" t="s">
        <v>292</v>
      </c>
      <c r="F369" t="s">
        <v>2</v>
      </c>
      <c r="G369" t="s">
        <v>38</v>
      </c>
      <c r="H369" t="s">
        <v>39</v>
      </c>
      <c r="I369" s="5" t="s">
        <v>294</v>
      </c>
      <c r="J369" s="5" t="s">
        <v>2</v>
      </c>
      <c r="K369" s="5" t="s">
        <v>2</v>
      </c>
      <c r="L369" s="6">
        <f>IF(I369="Cut","",IF(I369="Your call","(decide)",IF(I369="Rename",J369,IF(I369="Keep",IF(D369="",E369,D369),IF(E369="(unchanged)",D369,E369)))))</f>
      </c>
      <c r="M369" s="6">
        <f>IF(AND(I369="Cut",N369&gt;0,K369=""),"USED: say what replaces it (Note)",IF(AND(I369="Rename",J369=""),"type the new name",IF(AND(L369&lt;&gt;"",L369&lt;&gt;"(decide)",COUNTIF($L$2:$L$1680,L369)&gt;1),"SAME FINAL NAME AS ANOTHER ROW","")))</f>
      </c>
      <c r="N369" s="6">
        <v>0</v>
      </c>
      <c r="O369" s="6" t="s">
        <v>2</v>
      </c>
    </row>
    <row r="370" spans="1:15" x14ac:dyDescent="0.25">
      <c r="A370">
        <v>369</v>
      </c>
      <c r="B370" t="s">
        <v>353</v>
      </c>
      <c r="C370" t="s">
        <v>577</v>
      </c>
      <c r="D370" t="s">
        <v>585</v>
      </c>
      <c r="E370" t="s">
        <v>292</v>
      </c>
      <c r="F370" t="s">
        <v>2</v>
      </c>
      <c r="G370" t="s">
        <v>38</v>
      </c>
      <c r="H370" t="s">
        <v>39</v>
      </c>
      <c r="I370" s="5" t="s">
        <v>294</v>
      </c>
      <c r="J370" s="5" t="s">
        <v>2</v>
      </c>
      <c r="K370" s="5" t="s">
        <v>2</v>
      </c>
      <c r="L370" s="6">
        <f>IF(I370="Cut","",IF(I370="Your call","(decide)",IF(I370="Rename",J370,IF(I370="Keep",IF(D370="",E370,D370),IF(E370="(unchanged)",D370,E370)))))</f>
      </c>
      <c r="M370" s="6">
        <f>IF(AND(I370="Cut",N370&gt;0,K370=""),"USED: say what replaces it (Note)",IF(AND(I370="Rename",J370=""),"type the new name",IF(AND(L370&lt;&gt;"",L370&lt;&gt;"(decide)",COUNTIF($L$2:$L$1680,L370)&gt;1),"SAME FINAL NAME AS ANOTHER ROW","")))</f>
      </c>
      <c r="N370" s="6">
        <v>0</v>
      </c>
      <c r="O370" s="6" t="s">
        <v>2</v>
      </c>
    </row>
    <row r="371" spans="1:15" x14ac:dyDescent="0.25">
      <c r="A371">
        <v>370</v>
      </c>
      <c r="B371" t="s">
        <v>353</v>
      </c>
      <c r="C371" t="s">
        <v>577</v>
      </c>
      <c r="D371" t="s">
        <v>586</v>
      </c>
      <c r="E371" t="s">
        <v>292</v>
      </c>
      <c r="F371" t="s">
        <v>2</v>
      </c>
      <c r="G371" t="s">
        <v>38</v>
      </c>
      <c r="H371" t="s">
        <v>39</v>
      </c>
      <c r="I371" s="5" t="s">
        <v>294</v>
      </c>
      <c r="J371" s="5" t="s">
        <v>2</v>
      </c>
      <c r="K371" s="5" t="s">
        <v>2</v>
      </c>
      <c r="L371" s="6">
        <f>IF(I371="Cut","",IF(I371="Your call","(decide)",IF(I371="Rename",J371,IF(I371="Keep",IF(D371="",E371,D371),IF(E371="(unchanged)",D371,E371)))))</f>
      </c>
      <c r="M371" s="6">
        <f>IF(AND(I371="Cut",N371&gt;0,K371=""),"USED: say what replaces it (Note)",IF(AND(I371="Rename",J371=""),"type the new name",IF(AND(L371&lt;&gt;"",L371&lt;&gt;"(decide)",COUNTIF($L$2:$L$1680,L371)&gt;1),"SAME FINAL NAME AS ANOTHER ROW","")))</f>
      </c>
      <c r="N371" s="6">
        <v>0</v>
      </c>
      <c r="O371" s="6" t="s">
        <v>2</v>
      </c>
    </row>
    <row r="372" spans="1:15" x14ac:dyDescent="0.25">
      <c r="A372">
        <v>371</v>
      </c>
      <c r="B372" t="s">
        <v>353</v>
      </c>
      <c r="C372" t="s">
        <v>587</v>
      </c>
      <c r="D372" t="s">
        <v>588</v>
      </c>
      <c r="E372" t="s">
        <v>292</v>
      </c>
      <c r="F372" t="s">
        <v>2</v>
      </c>
      <c r="G372" t="s">
        <v>38</v>
      </c>
      <c r="H372" t="s">
        <v>39</v>
      </c>
      <c r="I372" s="5" t="s">
        <v>294</v>
      </c>
      <c r="J372" s="5" t="s">
        <v>2</v>
      </c>
      <c r="K372" s="5" t="s">
        <v>2</v>
      </c>
      <c r="L372" s="6">
        <f>IF(I372="Cut","",IF(I372="Your call","(decide)",IF(I372="Rename",J372,IF(I372="Keep",IF(D372="",E372,D372),IF(E372="(unchanged)",D372,E372)))))</f>
      </c>
      <c r="M372" s="6">
        <f>IF(AND(I372="Cut",N372&gt;0,K372=""),"USED: say what replaces it (Note)",IF(AND(I372="Rename",J372=""),"type the new name",IF(AND(L372&lt;&gt;"",L372&lt;&gt;"(decide)",COUNTIF($L$2:$L$1680,L372)&gt;1),"SAME FINAL NAME AS ANOTHER ROW","")))</f>
      </c>
      <c r="N372" s="6">
        <v>0</v>
      </c>
      <c r="O372" s="6" t="s">
        <v>2</v>
      </c>
    </row>
    <row r="373" spans="1:15" x14ac:dyDescent="0.25">
      <c r="A373">
        <v>372</v>
      </c>
      <c r="B373" t="s">
        <v>353</v>
      </c>
      <c r="C373" t="s">
        <v>587</v>
      </c>
      <c r="D373" t="s">
        <v>589</v>
      </c>
      <c r="E373" t="s">
        <v>292</v>
      </c>
      <c r="F373" t="s">
        <v>2</v>
      </c>
      <c r="G373" t="s">
        <v>38</v>
      </c>
      <c r="H373" t="s">
        <v>39</v>
      </c>
      <c r="I373" s="5" t="s">
        <v>294</v>
      </c>
      <c r="J373" s="5" t="s">
        <v>2</v>
      </c>
      <c r="K373" s="5" t="s">
        <v>2</v>
      </c>
      <c r="L373" s="6">
        <f>IF(I373="Cut","",IF(I373="Your call","(decide)",IF(I373="Rename",J373,IF(I373="Keep",IF(D373="",E373,D373),IF(E373="(unchanged)",D373,E373)))))</f>
      </c>
      <c r="M373" s="6">
        <f>IF(AND(I373="Cut",N373&gt;0,K373=""),"USED: say what replaces it (Note)",IF(AND(I373="Rename",J373=""),"type the new name",IF(AND(L373&lt;&gt;"",L373&lt;&gt;"(decide)",COUNTIF($L$2:$L$1680,L373)&gt;1),"SAME FINAL NAME AS ANOTHER ROW","")))</f>
      </c>
      <c r="N373" s="6">
        <v>0</v>
      </c>
      <c r="O373" s="6" t="s">
        <v>2</v>
      </c>
    </row>
    <row r="374" spans="1:15" x14ac:dyDescent="0.25">
      <c r="A374">
        <v>373</v>
      </c>
      <c r="B374" t="s">
        <v>353</v>
      </c>
      <c r="C374" t="s">
        <v>587</v>
      </c>
      <c r="D374" t="s">
        <v>590</v>
      </c>
      <c r="E374" t="s">
        <v>292</v>
      </c>
      <c r="F374" t="s">
        <v>2</v>
      </c>
      <c r="G374" t="s">
        <v>38</v>
      </c>
      <c r="H374" t="s">
        <v>39</v>
      </c>
      <c r="I374" s="5" t="s">
        <v>294</v>
      </c>
      <c r="J374" s="5" t="s">
        <v>2</v>
      </c>
      <c r="K374" s="5" t="s">
        <v>2</v>
      </c>
      <c r="L374" s="6">
        <f>IF(I374="Cut","",IF(I374="Your call","(decide)",IF(I374="Rename",J374,IF(I374="Keep",IF(D374="",E374,D374),IF(E374="(unchanged)",D374,E374)))))</f>
      </c>
      <c r="M374" s="6">
        <f>IF(AND(I374="Cut",N374&gt;0,K374=""),"USED: say what replaces it (Note)",IF(AND(I374="Rename",J374=""),"type the new name",IF(AND(L374&lt;&gt;"",L374&lt;&gt;"(decide)",COUNTIF($L$2:$L$1680,L374)&gt;1),"SAME FINAL NAME AS ANOTHER ROW","")))</f>
      </c>
      <c r="N374" s="6">
        <v>0</v>
      </c>
      <c r="O374" s="6" t="s">
        <v>2</v>
      </c>
    </row>
    <row r="375" spans="1:15" x14ac:dyDescent="0.25">
      <c r="A375">
        <v>374</v>
      </c>
      <c r="B375" t="s">
        <v>353</v>
      </c>
      <c r="C375" t="s">
        <v>587</v>
      </c>
      <c r="D375" t="s">
        <v>591</v>
      </c>
      <c r="E375" t="s">
        <v>292</v>
      </c>
      <c r="F375" t="s">
        <v>2</v>
      </c>
      <c r="G375" t="s">
        <v>38</v>
      </c>
      <c r="H375" t="s">
        <v>39</v>
      </c>
      <c r="I375" s="5" t="s">
        <v>294</v>
      </c>
      <c r="J375" s="5" t="s">
        <v>2</v>
      </c>
      <c r="K375" s="5" t="s">
        <v>2</v>
      </c>
      <c r="L375" s="6">
        <f>IF(I375="Cut","",IF(I375="Your call","(decide)",IF(I375="Rename",J375,IF(I375="Keep",IF(D375="",E375,D375),IF(E375="(unchanged)",D375,E375)))))</f>
      </c>
      <c r="M375" s="6">
        <f>IF(AND(I375="Cut",N375&gt;0,K375=""),"USED: say what replaces it (Note)",IF(AND(I375="Rename",J375=""),"type the new name",IF(AND(L375&lt;&gt;"",L375&lt;&gt;"(decide)",COUNTIF($L$2:$L$1680,L375)&gt;1),"SAME FINAL NAME AS ANOTHER ROW","")))</f>
      </c>
      <c r="N375" s="6">
        <v>0</v>
      </c>
      <c r="O375" s="6" t="s">
        <v>2</v>
      </c>
    </row>
    <row r="376" spans="1:15" x14ac:dyDescent="0.25">
      <c r="A376">
        <v>375</v>
      </c>
      <c r="B376" t="s">
        <v>353</v>
      </c>
      <c r="C376" t="s">
        <v>587</v>
      </c>
      <c r="D376" t="s">
        <v>592</v>
      </c>
      <c r="E376" t="s">
        <v>292</v>
      </c>
      <c r="F376" t="s">
        <v>2</v>
      </c>
      <c r="G376" t="s">
        <v>38</v>
      </c>
      <c r="H376" t="s">
        <v>39</v>
      </c>
      <c r="I376" s="5" t="s">
        <v>294</v>
      </c>
      <c r="J376" s="5" t="s">
        <v>2</v>
      </c>
      <c r="K376" s="5" t="s">
        <v>2</v>
      </c>
      <c r="L376" s="6">
        <f>IF(I376="Cut","",IF(I376="Your call","(decide)",IF(I376="Rename",J376,IF(I376="Keep",IF(D376="",E376,D376),IF(E376="(unchanged)",D376,E376)))))</f>
      </c>
      <c r="M376" s="6">
        <f>IF(AND(I376="Cut",N376&gt;0,K376=""),"USED: say what replaces it (Note)",IF(AND(I376="Rename",J376=""),"type the new name",IF(AND(L376&lt;&gt;"",L376&lt;&gt;"(decide)",COUNTIF($L$2:$L$1680,L376)&gt;1),"SAME FINAL NAME AS ANOTHER ROW","")))</f>
      </c>
      <c r="N376" s="6">
        <v>0</v>
      </c>
      <c r="O376" s="6" t="s">
        <v>2</v>
      </c>
    </row>
    <row r="377" spans="1:15" x14ac:dyDescent="0.25">
      <c r="A377">
        <v>376</v>
      </c>
      <c r="B377" t="s">
        <v>353</v>
      </c>
      <c r="C377" t="s">
        <v>587</v>
      </c>
      <c r="D377" t="s">
        <v>593</v>
      </c>
      <c r="E377" t="s">
        <v>292</v>
      </c>
      <c r="F377" t="s">
        <v>2</v>
      </c>
      <c r="G377" t="s">
        <v>38</v>
      </c>
      <c r="H377" t="s">
        <v>39</v>
      </c>
      <c r="I377" s="5" t="s">
        <v>294</v>
      </c>
      <c r="J377" s="5" t="s">
        <v>2</v>
      </c>
      <c r="K377" s="5" t="s">
        <v>2</v>
      </c>
      <c r="L377" s="6">
        <f>IF(I377="Cut","",IF(I377="Your call","(decide)",IF(I377="Rename",J377,IF(I377="Keep",IF(D377="",E377,D377),IF(E377="(unchanged)",D377,E377)))))</f>
      </c>
      <c r="M377" s="6">
        <f>IF(AND(I377="Cut",N377&gt;0,K377=""),"USED: say what replaces it (Note)",IF(AND(I377="Rename",J377=""),"type the new name",IF(AND(L377&lt;&gt;"",L377&lt;&gt;"(decide)",COUNTIF($L$2:$L$1680,L377)&gt;1),"SAME FINAL NAME AS ANOTHER ROW","")))</f>
      </c>
      <c r="N377" s="6">
        <v>0</v>
      </c>
      <c r="O377" s="6" t="s">
        <v>2</v>
      </c>
    </row>
    <row r="378" spans="1:15" x14ac:dyDescent="0.25">
      <c r="A378">
        <v>377</v>
      </c>
      <c r="B378" t="s">
        <v>353</v>
      </c>
      <c r="C378" t="s">
        <v>587</v>
      </c>
      <c r="D378" t="s">
        <v>594</v>
      </c>
      <c r="E378" t="s">
        <v>292</v>
      </c>
      <c r="F378" t="s">
        <v>2</v>
      </c>
      <c r="G378" t="s">
        <v>38</v>
      </c>
      <c r="H378" t="s">
        <v>39</v>
      </c>
      <c r="I378" s="5" t="s">
        <v>294</v>
      </c>
      <c r="J378" s="5" t="s">
        <v>2</v>
      </c>
      <c r="K378" s="5" t="s">
        <v>2</v>
      </c>
      <c r="L378" s="6">
        <f>IF(I378="Cut","",IF(I378="Your call","(decide)",IF(I378="Rename",J378,IF(I378="Keep",IF(D378="",E378,D378),IF(E378="(unchanged)",D378,E378)))))</f>
      </c>
      <c r="M378" s="6">
        <f>IF(AND(I378="Cut",N378&gt;0,K378=""),"USED: say what replaces it (Note)",IF(AND(I378="Rename",J378=""),"type the new name",IF(AND(L378&lt;&gt;"",L378&lt;&gt;"(decide)",COUNTIF($L$2:$L$1680,L378)&gt;1),"SAME FINAL NAME AS ANOTHER ROW","")))</f>
      </c>
      <c r="N378" s="6">
        <v>0</v>
      </c>
      <c r="O378" s="6" t="s">
        <v>2</v>
      </c>
    </row>
    <row r="379" spans="1:15" x14ac:dyDescent="0.25">
      <c r="A379">
        <v>378</v>
      </c>
      <c r="B379" t="s">
        <v>353</v>
      </c>
      <c r="C379" t="s">
        <v>587</v>
      </c>
      <c r="D379" t="s">
        <v>595</v>
      </c>
      <c r="E379" t="s">
        <v>292</v>
      </c>
      <c r="F379" t="s">
        <v>2</v>
      </c>
      <c r="G379" t="s">
        <v>38</v>
      </c>
      <c r="H379" t="s">
        <v>39</v>
      </c>
      <c r="I379" s="5" t="s">
        <v>294</v>
      </c>
      <c r="J379" s="5" t="s">
        <v>2</v>
      </c>
      <c r="K379" s="5" t="s">
        <v>2</v>
      </c>
      <c r="L379" s="6">
        <f>IF(I379="Cut","",IF(I379="Your call","(decide)",IF(I379="Rename",J379,IF(I379="Keep",IF(D379="",E379,D379),IF(E379="(unchanged)",D379,E379)))))</f>
      </c>
      <c r="M379" s="6">
        <f>IF(AND(I379="Cut",N379&gt;0,K379=""),"USED: say what replaces it (Note)",IF(AND(I379="Rename",J379=""),"type the new name",IF(AND(L379&lt;&gt;"",L379&lt;&gt;"(decide)",COUNTIF($L$2:$L$1680,L379)&gt;1),"SAME FINAL NAME AS ANOTHER ROW","")))</f>
      </c>
      <c r="N379" s="6">
        <v>0</v>
      </c>
      <c r="O379" s="6" t="s">
        <v>2</v>
      </c>
    </row>
    <row r="380" spans="1:15" x14ac:dyDescent="0.25">
      <c r="A380">
        <v>379</v>
      </c>
      <c r="B380" t="s">
        <v>353</v>
      </c>
      <c r="C380" t="s">
        <v>587</v>
      </c>
      <c r="D380" t="s">
        <v>596</v>
      </c>
      <c r="E380" t="s">
        <v>292</v>
      </c>
      <c r="F380" t="s">
        <v>2</v>
      </c>
      <c r="G380" t="s">
        <v>38</v>
      </c>
      <c r="H380" t="s">
        <v>39</v>
      </c>
      <c r="I380" s="5" t="s">
        <v>294</v>
      </c>
      <c r="J380" s="5" t="s">
        <v>2</v>
      </c>
      <c r="K380" s="5" t="s">
        <v>2</v>
      </c>
      <c r="L380" s="6">
        <f>IF(I380="Cut","",IF(I380="Your call","(decide)",IF(I380="Rename",J380,IF(I380="Keep",IF(D380="",E380,D380),IF(E380="(unchanged)",D380,E380)))))</f>
      </c>
      <c r="M380" s="6">
        <f>IF(AND(I380="Cut",N380&gt;0,K380=""),"USED: say what replaces it (Note)",IF(AND(I380="Rename",J380=""),"type the new name",IF(AND(L380&lt;&gt;"",L380&lt;&gt;"(decide)",COUNTIF($L$2:$L$1680,L380)&gt;1),"SAME FINAL NAME AS ANOTHER ROW","")))</f>
      </c>
      <c r="N380" s="6">
        <v>0</v>
      </c>
      <c r="O380" s="6" t="s">
        <v>2</v>
      </c>
    </row>
    <row r="381" spans="1:15" x14ac:dyDescent="0.25">
      <c r="A381">
        <v>380</v>
      </c>
      <c r="B381" t="s">
        <v>353</v>
      </c>
      <c r="C381" t="s">
        <v>597</v>
      </c>
      <c r="D381" t="s">
        <v>598</v>
      </c>
      <c r="E381" t="s">
        <v>292</v>
      </c>
      <c r="F381" t="s">
        <v>2</v>
      </c>
      <c r="G381" t="s">
        <v>38</v>
      </c>
      <c r="H381" t="s">
        <v>39</v>
      </c>
      <c r="I381" s="5" t="s">
        <v>294</v>
      </c>
      <c r="J381" s="5" t="s">
        <v>2</v>
      </c>
      <c r="K381" s="5" t="s">
        <v>2</v>
      </c>
      <c r="L381" s="6">
        <f>IF(I381="Cut","",IF(I381="Your call","(decide)",IF(I381="Rename",J381,IF(I381="Keep",IF(D381="",E381,D381),IF(E381="(unchanged)",D381,E381)))))</f>
      </c>
      <c r="M381" s="6">
        <f>IF(AND(I381="Cut",N381&gt;0,K381=""),"USED: say what replaces it (Note)",IF(AND(I381="Rename",J381=""),"type the new name",IF(AND(L381&lt;&gt;"",L381&lt;&gt;"(decide)",COUNTIF($L$2:$L$1680,L381)&gt;1),"SAME FINAL NAME AS ANOTHER ROW","")))</f>
      </c>
      <c r="N381" s="6">
        <v>0</v>
      </c>
      <c r="O381" s="6" t="s">
        <v>2</v>
      </c>
    </row>
    <row r="382" spans="1:15" x14ac:dyDescent="0.25">
      <c r="A382">
        <v>381</v>
      </c>
      <c r="B382" t="s">
        <v>353</v>
      </c>
      <c r="C382" t="s">
        <v>597</v>
      </c>
      <c r="D382" t="s">
        <v>599</v>
      </c>
      <c r="E382" t="s">
        <v>292</v>
      </c>
      <c r="F382" t="s">
        <v>2</v>
      </c>
      <c r="G382" t="s">
        <v>38</v>
      </c>
      <c r="H382" t="s">
        <v>39</v>
      </c>
      <c r="I382" s="5" t="s">
        <v>294</v>
      </c>
      <c r="J382" s="5" t="s">
        <v>2</v>
      </c>
      <c r="K382" s="5" t="s">
        <v>2</v>
      </c>
      <c r="L382" s="6">
        <f>IF(I382="Cut","",IF(I382="Your call","(decide)",IF(I382="Rename",J382,IF(I382="Keep",IF(D382="",E382,D382),IF(E382="(unchanged)",D382,E382)))))</f>
      </c>
      <c r="M382" s="6">
        <f>IF(AND(I382="Cut",N382&gt;0,K382=""),"USED: say what replaces it (Note)",IF(AND(I382="Rename",J382=""),"type the new name",IF(AND(L382&lt;&gt;"",L382&lt;&gt;"(decide)",COUNTIF($L$2:$L$1680,L382)&gt;1),"SAME FINAL NAME AS ANOTHER ROW","")))</f>
      </c>
      <c r="N382" s="6">
        <v>0</v>
      </c>
      <c r="O382" s="6" t="s">
        <v>2</v>
      </c>
    </row>
    <row r="383" spans="1:15" x14ac:dyDescent="0.25">
      <c r="A383">
        <v>382</v>
      </c>
      <c r="B383" t="s">
        <v>353</v>
      </c>
      <c r="C383" t="s">
        <v>597</v>
      </c>
      <c r="D383" t="s">
        <v>600</v>
      </c>
      <c r="E383" t="s">
        <v>292</v>
      </c>
      <c r="F383" t="s">
        <v>2</v>
      </c>
      <c r="G383" t="s">
        <v>38</v>
      </c>
      <c r="H383" t="s">
        <v>39</v>
      </c>
      <c r="I383" s="5" t="s">
        <v>294</v>
      </c>
      <c r="J383" s="5" t="s">
        <v>2</v>
      </c>
      <c r="K383" s="5" t="s">
        <v>2</v>
      </c>
      <c r="L383" s="6">
        <f>IF(I383="Cut","",IF(I383="Your call","(decide)",IF(I383="Rename",J383,IF(I383="Keep",IF(D383="",E383,D383),IF(E383="(unchanged)",D383,E383)))))</f>
      </c>
      <c r="M383" s="6">
        <f>IF(AND(I383="Cut",N383&gt;0,K383=""),"USED: say what replaces it (Note)",IF(AND(I383="Rename",J383=""),"type the new name",IF(AND(L383&lt;&gt;"",L383&lt;&gt;"(decide)",COUNTIF($L$2:$L$1680,L383)&gt;1),"SAME FINAL NAME AS ANOTHER ROW","")))</f>
      </c>
      <c r="N383" s="6">
        <v>0</v>
      </c>
      <c r="O383" s="6" t="s">
        <v>2</v>
      </c>
    </row>
    <row r="384" spans="1:15" x14ac:dyDescent="0.25">
      <c r="A384">
        <v>383</v>
      </c>
      <c r="B384" t="s">
        <v>353</v>
      </c>
      <c r="C384" t="s">
        <v>597</v>
      </c>
      <c r="D384" t="s">
        <v>601</v>
      </c>
      <c r="E384" t="s">
        <v>292</v>
      </c>
      <c r="F384" t="s">
        <v>2</v>
      </c>
      <c r="G384" t="s">
        <v>38</v>
      </c>
      <c r="H384" t="s">
        <v>39</v>
      </c>
      <c r="I384" s="5" t="s">
        <v>294</v>
      </c>
      <c r="J384" s="5" t="s">
        <v>2</v>
      </c>
      <c r="K384" s="5" t="s">
        <v>2</v>
      </c>
      <c r="L384" s="6">
        <f>IF(I384="Cut","",IF(I384="Your call","(decide)",IF(I384="Rename",J384,IF(I384="Keep",IF(D384="",E384,D384),IF(E384="(unchanged)",D384,E384)))))</f>
      </c>
      <c r="M384" s="6">
        <f>IF(AND(I384="Cut",N384&gt;0,K384=""),"USED: say what replaces it (Note)",IF(AND(I384="Rename",J384=""),"type the new name",IF(AND(L384&lt;&gt;"",L384&lt;&gt;"(decide)",COUNTIF($L$2:$L$1680,L384)&gt;1),"SAME FINAL NAME AS ANOTHER ROW","")))</f>
      </c>
      <c r="N384" s="6">
        <v>0</v>
      </c>
      <c r="O384" s="6" t="s">
        <v>2</v>
      </c>
    </row>
    <row r="385" spans="1:15" x14ac:dyDescent="0.25">
      <c r="A385">
        <v>384</v>
      </c>
      <c r="B385" t="s">
        <v>353</v>
      </c>
      <c r="C385" t="s">
        <v>597</v>
      </c>
      <c r="D385" t="s">
        <v>602</v>
      </c>
      <c r="E385" t="s">
        <v>292</v>
      </c>
      <c r="F385" t="s">
        <v>2</v>
      </c>
      <c r="G385" t="s">
        <v>38</v>
      </c>
      <c r="H385" t="s">
        <v>39</v>
      </c>
      <c r="I385" s="5" t="s">
        <v>294</v>
      </c>
      <c r="J385" s="5" t="s">
        <v>2</v>
      </c>
      <c r="K385" s="5" t="s">
        <v>2</v>
      </c>
      <c r="L385" s="6">
        <f>IF(I385="Cut","",IF(I385="Your call","(decide)",IF(I385="Rename",J385,IF(I385="Keep",IF(D385="",E385,D385),IF(E385="(unchanged)",D385,E385)))))</f>
      </c>
      <c r="M385" s="6">
        <f>IF(AND(I385="Cut",N385&gt;0,K385=""),"USED: say what replaces it (Note)",IF(AND(I385="Rename",J385=""),"type the new name",IF(AND(L385&lt;&gt;"",L385&lt;&gt;"(decide)",COUNTIF($L$2:$L$1680,L385)&gt;1),"SAME FINAL NAME AS ANOTHER ROW","")))</f>
      </c>
      <c r="N385" s="6">
        <v>0</v>
      </c>
      <c r="O385" s="6" t="s">
        <v>2</v>
      </c>
    </row>
    <row r="386" spans="1:15" x14ac:dyDescent="0.25">
      <c r="A386">
        <v>385</v>
      </c>
      <c r="B386" t="s">
        <v>353</v>
      </c>
      <c r="C386" t="s">
        <v>597</v>
      </c>
      <c r="D386" t="s">
        <v>603</v>
      </c>
      <c r="E386" t="s">
        <v>292</v>
      </c>
      <c r="F386" t="s">
        <v>2</v>
      </c>
      <c r="G386" t="s">
        <v>38</v>
      </c>
      <c r="H386" t="s">
        <v>39</v>
      </c>
      <c r="I386" s="5" t="s">
        <v>294</v>
      </c>
      <c r="J386" s="5" t="s">
        <v>2</v>
      </c>
      <c r="K386" s="5" t="s">
        <v>2</v>
      </c>
      <c r="L386" s="6">
        <f>IF(I386="Cut","",IF(I386="Your call","(decide)",IF(I386="Rename",J386,IF(I386="Keep",IF(D386="",E386,D386),IF(E386="(unchanged)",D386,E386)))))</f>
      </c>
      <c r="M386" s="6">
        <f>IF(AND(I386="Cut",N386&gt;0,K386=""),"USED: say what replaces it (Note)",IF(AND(I386="Rename",J386=""),"type the new name",IF(AND(L386&lt;&gt;"",L386&lt;&gt;"(decide)",COUNTIF($L$2:$L$1680,L386)&gt;1),"SAME FINAL NAME AS ANOTHER ROW","")))</f>
      </c>
      <c r="N386" s="6">
        <v>0</v>
      </c>
      <c r="O386" s="6" t="s">
        <v>2</v>
      </c>
    </row>
    <row r="387" spans="1:15" x14ac:dyDescent="0.25">
      <c r="A387">
        <v>386</v>
      </c>
      <c r="B387" t="s">
        <v>353</v>
      </c>
      <c r="C387" t="s">
        <v>597</v>
      </c>
      <c r="D387" t="s">
        <v>604</v>
      </c>
      <c r="E387" t="s">
        <v>292</v>
      </c>
      <c r="F387" t="s">
        <v>2</v>
      </c>
      <c r="G387" t="s">
        <v>38</v>
      </c>
      <c r="H387" t="s">
        <v>39</v>
      </c>
      <c r="I387" s="5" t="s">
        <v>294</v>
      </c>
      <c r="J387" s="5" t="s">
        <v>2</v>
      </c>
      <c r="K387" s="5" t="s">
        <v>2</v>
      </c>
      <c r="L387" s="6">
        <f>IF(I387="Cut","",IF(I387="Your call","(decide)",IF(I387="Rename",J387,IF(I387="Keep",IF(D387="",E387,D387),IF(E387="(unchanged)",D387,E387)))))</f>
      </c>
      <c r="M387" s="6">
        <f>IF(AND(I387="Cut",N387&gt;0,K387=""),"USED: say what replaces it (Note)",IF(AND(I387="Rename",J387=""),"type the new name",IF(AND(L387&lt;&gt;"",L387&lt;&gt;"(decide)",COUNTIF($L$2:$L$1680,L387)&gt;1),"SAME FINAL NAME AS ANOTHER ROW","")))</f>
      </c>
      <c r="N387" s="6">
        <v>0</v>
      </c>
      <c r="O387" s="6" t="s">
        <v>2</v>
      </c>
    </row>
    <row r="388" spans="1:15" x14ac:dyDescent="0.25">
      <c r="A388">
        <v>387</v>
      </c>
      <c r="B388" t="s">
        <v>353</v>
      </c>
      <c r="C388" t="s">
        <v>597</v>
      </c>
      <c r="D388" t="s">
        <v>605</v>
      </c>
      <c r="E388" t="s">
        <v>292</v>
      </c>
      <c r="F388" t="s">
        <v>2</v>
      </c>
      <c r="G388" t="s">
        <v>38</v>
      </c>
      <c r="H388" t="s">
        <v>39</v>
      </c>
      <c r="I388" s="5" t="s">
        <v>294</v>
      </c>
      <c r="J388" s="5" t="s">
        <v>2</v>
      </c>
      <c r="K388" s="5" t="s">
        <v>2</v>
      </c>
      <c r="L388" s="6">
        <f>IF(I388="Cut","",IF(I388="Your call","(decide)",IF(I388="Rename",J388,IF(I388="Keep",IF(D388="",E388,D388),IF(E388="(unchanged)",D388,E388)))))</f>
      </c>
      <c r="M388" s="6">
        <f>IF(AND(I388="Cut",N388&gt;0,K388=""),"USED: say what replaces it (Note)",IF(AND(I388="Rename",J388=""),"type the new name",IF(AND(L388&lt;&gt;"",L388&lt;&gt;"(decide)",COUNTIF($L$2:$L$1680,L388)&gt;1),"SAME FINAL NAME AS ANOTHER ROW","")))</f>
      </c>
      <c r="N388" s="6">
        <v>0</v>
      </c>
      <c r="O388" s="6" t="s">
        <v>2</v>
      </c>
    </row>
    <row r="389" spans="1:15" x14ac:dyDescent="0.25">
      <c r="A389">
        <v>388</v>
      </c>
      <c r="B389" t="s">
        <v>353</v>
      </c>
      <c r="C389" t="s">
        <v>597</v>
      </c>
      <c r="D389" t="s">
        <v>606</v>
      </c>
      <c r="E389" t="s">
        <v>292</v>
      </c>
      <c r="F389" t="s">
        <v>2</v>
      </c>
      <c r="G389" t="s">
        <v>38</v>
      </c>
      <c r="H389" t="s">
        <v>39</v>
      </c>
      <c r="I389" s="5" t="s">
        <v>294</v>
      </c>
      <c r="J389" s="5" t="s">
        <v>2</v>
      </c>
      <c r="K389" s="5" t="s">
        <v>2</v>
      </c>
      <c r="L389" s="6">
        <f>IF(I389="Cut","",IF(I389="Your call","(decide)",IF(I389="Rename",J389,IF(I389="Keep",IF(D389="",E389,D389),IF(E389="(unchanged)",D389,E389)))))</f>
      </c>
      <c r="M389" s="6">
        <f>IF(AND(I389="Cut",N389&gt;0,K389=""),"USED: say what replaces it (Note)",IF(AND(I389="Rename",J389=""),"type the new name",IF(AND(L389&lt;&gt;"",L389&lt;&gt;"(decide)",COUNTIF($L$2:$L$1680,L389)&gt;1),"SAME FINAL NAME AS ANOTHER ROW","")))</f>
      </c>
      <c r="N389" s="6">
        <v>0</v>
      </c>
      <c r="O389" s="6" t="s">
        <v>2</v>
      </c>
    </row>
    <row r="390" spans="1:15" x14ac:dyDescent="0.25">
      <c r="A390">
        <v>389</v>
      </c>
      <c r="B390" t="s">
        <v>353</v>
      </c>
      <c r="C390" t="s">
        <v>607</v>
      </c>
      <c r="D390" t="s">
        <v>608</v>
      </c>
      <c r="E390" t="s">
        <v>292</v>
      </c>
      <c r="F390" t="s">
        <v>2</v>
      </c>
      <c r="G390" t="s">
        <v>38</v>
      </c>
      <c r="H390" t="s">
        <v>39</v>
      </c>
      <c r="I390" s="5" t="s">
        <v>294</v>
      </c>
      <c r="J390" s="5" t="s">
        <v>2</v>
      </c>
      <c r="K390" s="5" t="s">
        <v>2</v>
      </c>
      <c r="L390" s="6">
        <f>IF(I390="Cut","",IF(I390="Your call","(decide)",IF(I390="Rename",J390,IF(I390="Keep",IF(D390="",E390,D390),IF(E390="(unchanged)",D390,E390)))))</f>
      </c>
      <c r="M390" s="6">
        <f>IF(AND(I390="Cut",N390&gt;0,K390=""),"USED: say what replaces it (Note)",IF(AND(I390="Rename",J390=""),"type the new name",IF(AND(L390&lt;&gt;"",L390&lt;&gt;"(decide)",COUNTIF($L$2:$L$1680,L390)&gt;1),"SAME FINAL NAME AS ANOTHER ROW","")))</f>
      </c>
      <c r="N390" s="6">
        <v>0</v>
      </c>
      <c r="O390" s="6" t="s">
        <v>2</v>
      </c>
    </row>
    <row r="391" spans="1:15" x14ac:dyDescent="0.25">
      <c r="A391">
        <v>390</v>
      </c>
      <c r="B391" t="s">
        <v>353</v>
      </c>
      <c r="C391" t="s">
        <v>607</v>
      </c>
      <c r="D391" t="s">
        <v>609</v>
      </c>
      <c r="E391" t="s">
        <v>292</v>
      </c>
      <c r="F391" t="s">
        <v>2</v>
      </c>
      <c r="G391" t="s">
        <v>38</v>
      </c>
      <c r="H391" t="s">
        <v>39</v>
      </c>
      <c r="I391" s="5" t="s">
        <v>294</v>
      </c>
      <c r="J391" s="5" t="s">
        <v>2</v>
      </c>
      <c r="K391" s="5" t="s">
        <v>2</v>
      </c>
      <c r="L391" s="6">
        <f>IF(I391="Cut","",IF(I391="Your call","(decide)",IF(I391="Rename",J391,IF(I391="Keep",IF(D391="",E391,D391),IF(E391="(unchanged)",D391,E391)))))</f>
      </c>
      <c r="M391" s="6">
        <f>IF(AND(I391="Cut",N391&gt;0,K391=""),"USED: say what replaces it (Note)",IF(AND(I391="Rename",J391=""),"type the new name",IF(AND(L391&lt;&gt;"",L391&lt;&gt;"(decide)",COUNTIF($L$2:$L$1680,L391)&gt;1),"SAME FINAL NAME AS ANOTHER ROW","")))</f>
      </c>
      <c r="N391" s="6">
        <v>0</v>
      </c>
      <c r="O391" s="6" t="s">
        <v>2</v>
      </c>
    </row>
    <row r="392" spans="1:15" x14ac:dyDescent="0.25">
      <c r="A392">
        <v>391</v>
      </c>
      <c r="B392" t="s">
        <v>353</v>
      </c>
      <c r="C392" t="s">
        <v>607</v>
      </c>
      <c r="D392" t="s">
        <v>610</v>
      </c>
      <c r="E392" t="s">
        <v>292</v>
      </c>
      <c r="F392" t="s">
        <v>2</v>
      </c>
      <c r="G392" t="s">
        <v>38</v>
      </c>
      <c r="H392" t="s">
        <v>39</v>
      </c>
      <c r="I392" s="5" t="s">
        <v>294</v>
      </c>
      <c r="J392" s="5" t="s">
        <v>2</v>
      </c>
      <c r="K392" s="5" t="s">
        <v>2</v>
      </c>
      <c r="L392" s="6">
        <f>IF(I392="Cut","",IF(I392="Your call","(decide)",IF(I392="Rename",J392,IF(I392="Keep",IF(D392="",E392,D392),IF(E392="(unchanged)",D392,E392)))))</f>
      </c>
      <c r="M392" s="6">
        <f>IF(AND(I392="Cut",N392&gt;0,K392=""),"USED: say what replaces it (Note)",IF(AND(I392="Rename",J392=""),"type the new name",IF(AND(L392&lt;&gt;"",L392&lt;&gt;"(decide)",COUNTIF($L$2:$L$1680,L392)&gt;1),"SAME FINAL NAME AS ANOTHER ROW","")))</f>
      </c>
      <c r="N392" s="6">
        <v>0</v>
      </c>
      <c r="O392" s="6" t="s">
        <v>2</v>
      </c>
    </row>
    <row r="393" spans="1:15" x14ac:dyDescent="0.25">
      <c r="A393">
        <v>392</v>
      </c>
      <c r="B393" t="s">
        <v>353</v>
      </c>
      <c r="C393" t="s">
        <v>607</v>
      </c>
      <c r="D393" t="s">
        <v>611</v>
      </c>
      <c r="E393" t="s">
        <v>292</v>
      </c>
      <c r="F393" t="s">
        <v>2</v>
      </c>
      <c r="G393" t="s">
        <v>38</v>
      </c>
      <c r="H393" t="s">
        <v>39</v>
      </c>
      <c r="I393" s="5" t="s">
        <v>294</v>
      </c>
      <c r="J393" s="5" t="s">
        <v>2</v>
      </c>
      <c r="K393" s="5" t="s">
        <v>2</v>
      </c>
      <c r="L393" s="6">
        <f>IF(I393="Cut","",IF(I393="Your call","(decide)",IF(I393="Rename",J393,IF(I393="Keep",IF(D393="",E393,D393),IF(E393="(unchanged)",D393,E393)))))</f>
      </c>
      <c r="M393" s="6">
        <f>IF(AND(I393="Cut",N393&gt;0,K393=""),"USED: say what replaces it (Note)",IF(AND(I393="Rename",J393=""),"type the new name",IF(AND(L393&lt;&gt;"",L393&lt;&gt;"(decide)",COUNTIF($L$2:$L$1680,L393)&gt;1),"SAME FINAL NAME AS ANOTHER ROW","")))</f>
      </c>
      <c r="N393" s="6">
        <v>0</v>
      </c>
      <c r="O393" s="6" t="s">
        <v>2</v>
      </c>
    </row>
    <row r="394" spans="1:15" x14ac:dyDescent="0.25">
      <c r="A394">
        <v>393</v>
      </c>
      <c r="B394" t="s">
        <v>353</v>
      </c>
      <c r="C394" t="s">
        <v>607</v>
      </c>
      <c r="D394" t="s">
        <v>612</v>
      </c>
      <c r="E394" t="s">
        <v>292</v>
      </c>
      <c r="F394" t="s">
        <v>2</v>
      </c>
      <c r="G394" t="s">
        <v>38</v>
      </c>
      <c r="H394" t="s">
        <v>39</v>
      </c>
      <c r="I394" s="5" t="s">
        <v>294</v>
      </c>
      <c r="J394" s="5" t="s">
        <v>2</v>
      </c>
      <c r="K394" s="5" t="s">
        <v>2</v>
      </c>
      <c r="L394" s="6">
        <f>IF(I394="Cut","",IF(I394="Your call","(decide)",IF(I394="Rename",J394,IF(I394="Keep",IF(D394="",E394,D394),IF(E394="(unchanged)",D394,E394)))))</f>
      </c>
      <c r="M394" s="6">
        <f>IF(AND(I394="Cut",N394&gt;0,K394=""),"USED: say what replaces it (Note)",IF(AND(I394="Rename",J394=""),"type the new name",IF(AND(L394&lt;&gt;"",L394&lt;&gt;"(decide)",COUNTIF($L$2:$L$1680,L394)&gt;1),"SAME FINAL NAME AS ANOTHER ROW","")))</f>
      </c>
      <c r="N394" s="6">
        <v>0</v>
      </c>
      <c r="O394" s="6" t="s">
        <v>2</v>
      </c>
    </row>
    <row r="395" spans="1:15" x14ac:dyDescent="0.25">
      <c r="A395">
        <v>394</v>
      </c>
      <c r="B395" t="s">
        <v>353</v>
      </c>
      <c r="C395" t="s">
        <v>607</v>
      </c>
      <c r="D395" t="s">
        <v>613</v>
      </c>
      <c r="E395" t="s">
        <v>292</v>
      </c>
      <c r="F395" t="s">
        <v>2</v>
      </c>
      <c r="G395" t="s">
        <v>38</v>
      </c>
      <c r="H395" t="s">
        <v>39</v>
      </c>
      <c r="I395" s="5" t="s">
        <v>294</v>
      </c>
      <c r="J395" s="5" t="s">
        <v>2</v>
      </c>
      <c r="K395" s="5" t="s">
        <v>2</v>
      </c>
      <c r="L395" s="6">
        <f>IF(I395="Cut","",IF(I395="Your call","(decide)",IF(I395="Rename",J395,IF(I395="Keep",IF(D395="",E395,D395),IF(E395="(unchanged)",D395,E395)))))</f>
      </c>
      <c r="M395" s="6">
        <f>IF(AND(I395="Cut",N395&gt;0,K395=""),"USED: say what replaces it (Note)",IF(AND(I395="Rename",J395=""),"type the new name",IF(AND(L395&lt;&gt;"",L395&lt;&gt;"(decide)",COUNTIF($L$2:$L$1680,L395)&gt;1),"SAME FINAL NAME AS ANOTHER ROW","")))</f>
      </c>
      <c r="N395" s="6">
        <v>0</v>
      </c>
      <c r="O395" s="6" t="s">
        <v>2</v>
      </c>
    </row>
    <row r="396" spans="1:15" x14ac:dyDescent="0.25">
      <c r="A396">
        <v>395</v>
      </c>
      <c r="B396" t="s">
        <v>353</v>
      </c>
      <c r="C396" t="s">
        <v>607</v>
      </c>
      <c r="D396" t="s">
        <v>614</v>
      </c>
      <c r="E396" t="s">
        <v>292</v>
      </c>
      <c r="F396" t="s">
        <v>2</v>
      </c>
      <c r="G396" t="s">
        <v>38</v>
      </c>
      <c r="H396" t="s">
        <v>39</v>
      </c>
      <c r="I396" s="5" t="s">
        <v>294</v>
      </c>
      <c r="J396" s="5" t="s">
        <v>2</v>
      </c>
      <c r="K396" s="5" t="s">
        <v>2</v>
      </c>
      <c r="L396" s="6">
        <f>IF(I396="Cut","",IF(I396="Your call","(decide)",IF(I396="Rename",J396,IF(I396="Keep",IF(D396="",E396,D396),IF(E396="(unchanged)",D396,E396)))))</f>
      </c>
      <c r="M396" s="6">
        <f>IF(AND(I396="Cut",N396&gt;0,K396=""),"USED: say what replaces it (Note)",IF(AND(I396="Rename",J396=""),"type the new name",IF(AND(L396&lt;&gt;"",L396&lt;&gt;"(decide)",COUNTIF($L$2:$L$1680,L396)&gt;1),"SAME FINAL NAME AS ANOTHER ROW","")))</f>
      </c>
      <c r="N396" s="6">
        <v>0</v>
      </c>
      <c r="O396" s="6" t="s">
        <v>2</v>
      </c>
    </row>
    <row r="397" spans="1:15" x14ac:dyDescent="0.25">
      <c r="A397">
        <v>396</v>
      </c>
      <c r="B397" t="s">
        <v>353</v>
      </c>
      <c r="C397" t="s">
        <v>607</v>
      </c>
      <c r="D397" t="s">
        <v>615</v>
      </c>
      <c r="E397" t="s">
        <v>292</v>
      </c>
      <c r="F397" t="s">
        <v>2</v>
      </c>
      <c r="G397" t="s">
        <v>38</v>
      </c>
      <c r="H397" t="s">
        <v>39</v>
      </c>
      <c r="I397" s="5" t="s">
        <v>294</v>
      </c>
      <c r="J397" s="5" t="s">
        <v>2</v>
      </c>
      <c r="K397" s="5" t="s">
        <v>2</v>
      </c>
      <c r="L397" s="6">
        <f>IF(I397="Cut","",IF(I397="Your call","(decide)",IF(I397="Rename",J397,IF(I397="Keep",IF(D397="",E397,D397),IF(E397="(unchanged)",D397,E397)))))</f>
      </c>
      <c r="M397" s="6">
        <f>IF(AND(I397="Cut",N397&gt;0,K397=""),"USED: say what replaces it (Note)",IF(AND(I397="Rename",J397=""),"type the new name",IF(AND(L397&lt;&gt;"",L397&lt;&gt;"(decide)",COUNTIF($L$2:$L$1680,L397)&gt;1),"SAME FINAL NAME AS ANOTHER ROW","")))</f>
      </c>
      <c r="N397" s="6">
        <v>0</v>
      </c>
      <c r="O397" s="6" t="s">
        <v>2</v>
      </c>
    </row>
    <row r="398" spans="1:15" x14ac:dyDescent="0.25">
      <c r="A398">
        <v>397</v>
      </c>
      <c r="B398" t="s">
        <v>353</v>
      </c>
      <c r="C398" t="s">
        <v>607</v>
      </c>
      <c r="D398" t="s">
        <v>616</v>
      </c>
      <c r="E398" t="s">
        <v>292</v>
      </c>
      <c r="F398" t="s">
        <v>2</v>
      </c>
      <c r="G398" t="s">
        <v>38</v>
      </c>
      <c r="H398" t="s">
        <v>39</v>
      </c>
      <c r="I398" s="5" t="s">
        <v>294</v>
      </c>
      <c r="J398" s="5" t="s">
        <v>2</v>
      </c>
      <c r="K398" s="5" t="s">
        <v>2</v>
      </c>
      <c r="L398" s="6">
        <f>IF(I398="Cut","",IF(I398="Your call","(decide)",IF(I398="Rename",J398,IF(I398="Keep",IF(D398="",E398,D398),IF(E398="(unchanged)",D398,E398)))))</f>
      </c>
      <c r="M398" s="6">
        <f>IF(AND(I398="Cut",N398&gt;0,K398=""),"USED: say what replaces it (Note)",IF(AND(I398="Rename",J398=""),"type the new name",IF(AND(L398&lt;&gt;"",L398&lt;&gt;"(decide)",COUNTIF($L$2:$L$1680,L398)&gt;1),"SAME FINAL NAME AS ANOTHER ROW","")))</f>
      </c>
      <c r="N398" s="6">
        <v>0</v>
      </c>
      <c r="O398" s="6" t="s">
        <v>2</v>
      </c>
    </row>
    <row r="399" spans="1:15" x14ac:dyDescent="0.25">
      <c r="A399">
        <v>398</v>
      </c>
      <c r="B399" t="s">
        <v>353</v>
      </c>
      <c r="C399" t="s">
        <v>617</v>
      </c>
      <c r="D399" t="s">
        <v>618</v>
      </c>
      <c r="E399" t="s">
        <v>292</v>
      </c>
      <c r="F399" t="s">
        <v>2</v>
      </c>
      <c r="G399" t="s">
        <v>38</v>
      </c>
      <c r="H399" t="s">
        <v>39</v>
      </c>
      <c r="I399" s="5" t="s">
        <v>294</v>
      </c>
      <c r="J399" s="5" t="s">
        <v>2</v>
      </c>
      <c r="K399" s="5" t="s">
        <v>2</v>
      </c>
      <c r="L399" s="6">
        <f>IF(I399="Cut","",IF(I399="Your call","(decide)",IF(I399="Rename",J399,IF(I399="Keep",IF(D399="",E399,D399),IF(E399="(unchanged)",D399,E399)))))</f>
      </c>
      <c r="M399" s="6">
        <f>IF(AND(I399="Cut",N399&gt;0,K399=""),"USED: say what replaces it (Note)",IF(AND(I399="Rename",J399=""),"type the new name",IF(AND(L399&lt;&gt;"",L399&lt;&gt;"(decide)",COUNTIF($L$2:$L$1680,L399)&gt;1),"SAME FINAL NAME AS ANOTHER ROW","")))</f>
      </c>
      <c r="N399" s="6">
        <v>0</v>
      </c>
      <c r="O399" s="6" t="s">
        <v>2</v>
      </c>
    </row>
    <row r="400" spans="1:15" x14ac:dyDescent="0.25">
      <c r="A400">
        <v>399</v>
      </c>
      <c r="B400" t="s">
        <v>353</v>
      </c>
      <c r="C400" t="s">
        <v>617</v>
      </c>
      <c r="D400" t="s">
        <v>619</v>
      </c>
      <c r="E400" t="s">
        <v>292</v>
      </c>
      <c r="F400" t="s">
        <v>2</v>
      </c>
      <c r="G400" t="s">
        <v>38</v>
      </c>
      <c r="H400" t="s">
        <v>39</v>
      </c>
      <c r="I400" s="5" t="s">
        <v>294</v>
      </c>
      <c r="J400" s="5" t="s">
        <v>2</v>
      </c>
      <c r="K400" s="5" t="s">
        <v>2</v>
      </c>
      <c r="L400" s="6">
        <f>IF(I400="Cut","",IF(I400="Your call","(decide)",IF(I400="Rename",J400,IF(I400="Keep",IF(D400="",E400,D400),IF(E400="(unchanged)",D400,E400)))))</f>
      </c>
      <c r="M400" s="6">
        <f>IF(AND(I400="Cut",N400&gt;0,K400=""),"USED: say what replaces it (Note)",IF(AND(I400="Rename",J400=""),"type the new name",IF(AND(L400&lt;&gt;"",L400&lt;&gt;"(decide)",COUNTIF($L$2:$L$1680,L400)&gt;1),"SAME FINAL NAME AS ANOTHER ROW","")))</f>
      </c>
      <c r="N400" s="6">
        <v>0</v>
      </c>
      <c r="O400" s="6" t="s">
        <v>2</v>
      </c>
    </row>
    <row r="401" spans="1:15" x14ac:dyDescent="0.25">
      <c r="A401">
        <v>400</v>
      </c>
      <c r="B401" t="s">
        <v>353</v>
      </c>
      <c r="C401" t="s">
        <v>617</v>
      </c>
      <c r="D401" t="s">
        <v>620</v>
      </c>
      <c r="E401" t="s">
        <v>292</v>
      </c>
      <c r="F401" t="s">
        <v>2</v>
      </c>
      <c r="G401" t="s">
        <v>38</v>
      </c>
      <c r="H401" t="s">
        <v>39</v>
      </c>
      <c r="I401" s="5" t="s">
        <v>294</v>
      </c>
      <c r="J401" s="5" t="s">
        <v>2</v>
      </c>
      <c r="K401" s="5" t="s">
        <v>2</v>
      </c>
      <c r="L401" s="6">
        <f>IF(I401="Cut","",IF(I401="Your call","(decide)",IF(I401="Rename",J401,IF(I401="Keep",IF(D401="",E401,D401),IF(E401="(unchanged)",D401,E401)))))</f>
      </c>
      <c r="M401" s="6">
        <f>IF(AND(I401="Cut",N401&gt;0,K401=""),"USED: say what replaces it (Note)",IF(AND(I401="Rename",J401=""),"type the new name",IF(AND(L401&lt;&gt;"",L401&lt;&gt;"(decide)",COUNTIF($L$2:$L$1680,L401)&gt;1),"SAME FINAL NAME AS ANOTHER ROW","")))</f>
      </c>
      <c r="N401" s="6">
        <v>0</v>
      </c>
      <c r="O401" s="6" t="s">
        <v>2</v>
      </c>
    </row>
    <row r="402" spans="1:15" x14ac:dyDescent="0.25">
      <c r="A402">
        <v>401</v>
      </c>
      <c r="B402" t="s">
        <v>353</v>
      </c>
      <c r="C402" t="s">
        <v>617</v>
      </c>
      <c r="D402" t="s">
        <v>621</v>
      </c>
      <c r="E402" t="s">
        <v>292</v>
      </c>
      <c r="F402" t="s">
        <v>2</v>
      </c>
      <c r="G402" t="s">
        <v>38</v>
      </c>
      <c r="H402" t="s">
        <v>39</v>
      </c>
      <c r="I402" s="5" t="s">
        <v>294</v>
      </c>
      <c r="J402" s="5" t="s">
        <v>2</v>
      </c>
      <c r="K402" s="5" t="s">
        <v>2</v>
      </c>
      <c r="L402" s="6">
        <f>IF(I402="Cut","",IF(I402="Your call","(decide)",IF(I402="Rename",J402,IF(I402="Keep",IF(D402="",E402,D402),IF(E402="(unchanged)",D402,E402)))))</f>
      </c>
      <c r="M402" s="6">
        <f>IF(AND(I402="Cut",N402&gt;0,K402=""),"USED: say what replaces it (Note)",IF(AND(I402="Rename",J402=""),"type the new name",IF(AND(L402&lt;&gt;"",L402&lt;&gt;"(decide)",COUNTIF($L$2:$L$1680,L402)&gt;1),"SAME FINAL NAME AS ANOTHER ROW","")))</f>
      </c>
      <c r="N402" s="6">
        <v>0</v>
      </c>
      <c r="O402" s="6" t="s">
        <v>2</v>
      </c>
    </row>
    <row r="403" spans="1:15" x14ac:dyDescent="0.25">
      <c r="A403">
        <v>402</v>
      </c>
      <c r="B403" t="s">
        <v>353</v>
      </c>
      <c r="C403" t="s">
        <v>617</v>
      </c>
      <c r="D403" t="s">
        <v>622</v>
      </c>
      <c r="E403" t="s">
        <v>292</v>
      </c>
      <c r="F403" t="s">
        <v>2</v>
      </c>
      <c r="G403" t="s">
        <v>38</v>
      </c>
      <c r="H403" t="s">
        <v>39</v>
      </c>
      <c r="I403" s="5" t="s">
        <v>294</v>
      </c>
      <c r="J403" s="5" t="s">
        <v>2</v>
      </c>
      <c r="K403" s="5" t="s">
        <v>2</v>
      </c>
      <c r="L403" s="6">
        <f>IF(I403="Cut","",IF(I403="Your call","(decide)",IF(I403="Rename",J403,IF(I403="Keep",IF(D403="",E403,D403),IF(E403="(unchanged)",D403,E403)))))</f>
      </c>
      <c r="M403" s="6">
        <f>IF(AND(I403="Cut",N403&gt;0,K403=""),"USED: say what replaces it (Note)",IF(AND(I403="Rename",J403=""),"type the new name",IF(AND(L403&lt;&gt;"",L403&lt;&gt;"(decide)",COUNTIF($L$2:$L$1680,L403)&gt;1),"SAME FINAL NAME AS ANOTHER ROW","")))</f>
      </c>
      <c r="N403" s="6">
        <v>0</v>
      </c>
      <c r="O403" s="6" t="s">
        <v>2</v>
      </c>
    </row>
    <row r="404" spans="1:15" x14ac:dyDescent="0.25">
      <c r="A404">
        <v>403</v>
      </c>
      <c r="B404" t="s">
        <v>353</v>
      </c>
      <c r="C404" t="s">
        <v>617</v>
      </c>
      <c r="D404" t="s">
        <v>623</v>
      </c>
      <c r="E404" t="s">
        <v>292</v>
      </c>
      <c r="F404" t="s">
        <v>2</v>
      </c>
      <c r="G404" t="s">
        <v>38</v>
      </c>
      <c r="H404" t="s">
        <v>39</v>
      </c>
      <c r="I404" s="5" t="s">
        <v>294</v>
      </c>
      <c r="J404" s="5" t="s">
        <v>2</v>
      </c>
      <c r="K404" s="5" t="s">
        <v>2</v>
      </c>
      <c r="L404" s="6">
        <f>IF(I404="Cut","",IF(I404="Your call","(decide)",IF(I404="Rename",J404,IF(I404="Keep",IF(D404="",E404,D404),IF(E404="(unchanged)",D404,E404)))))</f>
      </c>
      <c r="M404" s="6">
        <f>IF(AND(I404="Cut",N404&gt;0,K404=""),"USED: say what replaces it (Note)",IF(AND(I404="Rename",J404=""),"type the new name",IF(AND(L404&lt;&gt;"",L404&lt;&gt;"(decide)",COUNTIF($L$2:$L$1680,L404)&gt;1),"SAME FINAL NAME AS ANOTHER ROW","")))</f>
      </c>
      <c r="N404" s="6">
        <v>0</v>
      </c>
      <c r="O404" s="6" t="s">
        <v>2</v>
      </c>
    </row>
    <row r="405" spans="1:15" x14ac:dyDescent="0.25">
      <c r="A405">
        <v>404</v>
      </c>
      <c r="B405" t="s">
        <v>353</v>
      </c>
      <c r="C405" t="s">
        <v>617</v>
      </c>
      <c r="D405" t="s">
        <v>624</v>
      </c>
      <c r="E405" t="s">
        <v>292</v>
      </c>
      <c r="F405" t="s">
        <v>2</v>
      </c>
      <c r="G405" t="s">
        <v>38</v>
      </c>
      <c r="H405" t="s">
        <v>39</v>
      </c>
      <c r="I405" s="5" t="s">
        <v>294</v>
      </c>
      <c r="J405" s="5" t="s">
        <v>2</v>
      </c>
      <c r="K405" s="5" t="s">
        <v>2</v>
      </c>
      <c r="L405" s="6">
        <f>IF(I405="Cut","",IF(I405="Your call","(decide)",IF(I405="Rename",J405,IF(I405="Keep",IF(D405="",E405,D405),IF(E405="(unchanged)",D405,E405)))))</f>
      </c>
      <c r="M405" s="6">
        <f>IF(AND(I405="Cut",N405&gt;0,K405=""),"USED: say what replaces it (Note)",IF(AND(I405="Rename",J405=""),"type the new name",IF(AND(L405&lt;&gt;"",L405&lt;&gt;"(decide)",COUNTIF($L$2:$L$1680,L405)&gt;1),"SAME FINAL NAME AS ANOTHER ROW","")))</f>
      </c>
      <c r="N405" s="6">
        <v>0</v>
      </c>
      <c r="O405" s="6" t="s">
        <v>2</v>
      </c>
    </row>
    <row r="406" spans="1:15" x14ac:dyDescent="0.25">
      <c r="A406">
        <v>405</v>
      </c>
      <c r="B406" t="s">
        <v>353</v>
      </c>
      <c r="C406" t="s">
        <v>617</v>
      </c>
      <c r="D406" t="s">
        <v>625</v>
      </c>
      <c r="E406" t="s">
        <v>292</v>
      </c>
      <c r="F406" t="s">
        <v>2</v>
      </c>
      <c r="G406" t="s">
        <v>38</v>
      </c>
      <c r="H406" t="s">
        <v>39</v>
      </c>
      <c r="I406" s="5" t="s">
        <v>294</v>
      </c>
      <c r="J406" s="5" t="s">
        <v>2</v>
      </c>
      <c r="K406" s="5" t="s">
        <v>2</v>
      </c>
      <c r="L406" s="6">
        <f>IF(I406="Cut","",IF(I406="Your call","(decide)",IF(I406="Rename",J406,IF(I406="Keep",IF(D406="",E406,D406),IF(E406="(unchanged)",D406,E406)))))</f>
      </c>
      <c r="M406" s="6">
        <f>IF(AND(I406="Cut",N406&gt;0,K406=""),"USED: say what replaces it (Note)",IF(AND(I406="Rename",J406=""),"type the new name",IF(AND(L406&lt;&gt;"",L406&lt;&gt;"(decide)",COUNTIF($L$2:$L$1680,L406)&gt;1),"SAME FINAL NAME AS ANOTHER ROW","")))</f>
      </c>
      <c r="N406" s="6">
        <v>0</v>
      </c>
      <c r="O406" s="6" t="s">
        <v>2</v>
      </c>
    </row>
    <row r="407" spans="1:15" x14ac:dyDescent="0.25">
      <c r="A407">
        <v>406</v>
      </c>
      <c r="B407" t="s">
        <v>353</v>
      </c>
      <c r="C407" t="s">
        <v>617</v>
      </c>
      <c r="D407" t="s">
        <v>626</v>
      </c>
      <c r="E407" t="s">
        <v>292</v>
      </c>
      <c r="F407" t="s">
        <v>2</v>
      </c>
      <c r="G407" t="s">
        <v>38</v>
      </c>
      <c r="H407" t="s">
        <v>39</v>
      </c>
      <c r="I407" s="5" t="s">
        <v>294</v>
      </c>
      <c r="J407" s="5" t="s">
        <v>2</v>
      </c>
      <c r="K407" s="5" t="s">
        <v>2</v>
      </c>
      <c r="L407" s="6">
        <f>IF(I407="Cut","",IF(I407="Your call","(decide)",IF(I407="Rename",J407,IF(I407="Keep",IF(D407="",E407,D407),IF(E407="(unchanged)",D407,E407)))))</f>
      </c>
      <c r="M407" s="6">
        <f>IF(AND(I407="Cut",N407&gt;0,K407=""),"USED: say what replaces it (Note)",IF(AND(I407="Rename",J407=""),"type the new name",IF(AND(L407&lt;&gt;"",L407&lt;&gt;"(decide)",COUNTIF($L$2:$L$1680,L407)&gt;1),"SAME FINAL NAME AS ANOTHER ROW","")))</f>
      </c>
      <c r="N407" s="6">
        <v>0</v>
      </c>
      <c r="O407" s="6" t="s">
        <v>2</v>
      </c>
    </row>
    <row r="408" spans="1:15" x14ac:dyDescent="0.25">
      <c r="A408">
        <v>407</v>
      </c>
      <c r="B408" t="s">
        <v>353</v>
      </c>
      <c r="C408" t="s">
        <v>627</v>
      </c>
      <c r="D408" t="s">
        <v>628</v>
      </c>
      <c r="E408" t="s">
        <v>292</v>
      </c>
      <c r="F408" t="s">
        <v>2</v>
      </c>
      <c r="G408" t="s">
        <v>38</v>
      </c>
      <c r="H408" t="s">
        <v>39</v>
      </c>
      <c r="I408" s="5" t="s">
        <v>294</v>
      </c>
      <c r="J408" s="5" t="s">
        <v>2</v>
      </c>
      <c r="K408" s="5" t="s">
        <v>2</v>
      </c>
      <c r="L408" s="6">
        <f>IF(I408="Cut","",IF(I408="Your call","(decide)",IF(I408="Rename",J408,IF(I408="Keep",IF(D408="",E408,D408),IF(E408="(unchanged)",D408,E408)))))</f>
      </c>
      <c r="M408" s="6">
        <f>IF(AND(I408="Cut",N408&gt;0,K408=""),"USED: say what replaces it (Note)",IF(AND(I408="Rename",J408=""),"type the new name",IF(AND(L408&lt;&gt;"",L408&lt;&gt;"(decide)",COUNTIF($L$2:$L$1680,L408)&gt;1),"SAME FINAL NAME AS ANOTHER ROW","")))</f>
      </c>
      <c r="N408" s="6">
        <v>0</v>
      </c>
      <c r="O408" s="6" t="s">
        <v>2</v>
      </c>
    </row>
    <row r="409" spans="1:15" x14ac:dyDescent="0.25">
      <c r="A409">
        <v>408</v>
      </c>
      <c r="B409" t="s">
        <v>353</v>
      </c>
      <c r="C409" t="s">
        <v>627</v>
      </c>
      <c r="D409" t="s">
        <v>629</v>
      </c>
      <c r="E409" t="s">
        <v>292</v>
      </c>
      <c r="F409" t="s">
        <v>2</v>
      </c>
      <c r="G409" t="s">
        <v>38</v>
      </c>
      <c r="H409" t="s">
        <v>39</v>
      </c>
      <c r="I409" s="5" t="s">
        <v>294</v>
      </c>
      <c r="J409" s="5" t="s">
        <v>2</v>
      </c>
      <c r="K409" s="5" t="s">
        <v>2</v>
      </c>
      <c r="L409" s="6">
        <f>IF(I409="Cut","",IF(I409="Your call","(decide)",IF(I409="Rename",J409,IF(I409="Keep",IF(D409="",E409,D409),IF(E409="(unchanged)",D409,E409)))))</f>
      </c>
      <c r="M409" s="6">
        <f>IF(AND(I409="Cut",N409&gt;0,K409=""),"USED: say what replaces it (Note)",IF(AND(I409="Rename",J409=""),"type the new name",IF(AND(L409&lt;&gt;"",L409&lt;&gt;"(decide)",COUNTIF($L$2:$L$1680,L409)&gt;1),"SAME FINAL NAME AS ANOTHER ROW","")))</f>
      </c>
      <c r="N409" s="6">
        <v>0</v>
      </c>
      <c r="O409" s="6" t="s">
        <v>2</v>
      </c>
    </row>
    <row r="410" spans="1:15" x14ac:dyDescent="0.25">
      <c r="A410">
        <v>409</v>
      </c>
      <c r="B410" t="s">
        <v>353</v>
      </c>
      <c r="C410" t="s">
        <v>627</v>
      </c>
      <c r="D410" t="s">
        <v>630</v>
      </c>
      <c r="E410" t="s">
        <v>292</v>
      </c>
      <c r="F410" t="s">
        <v>2</v>
      </c>
      <c r="G410" t="s">
        <v>38</v>
      </c>
      <c r="H410" t="s">
        <v>39</v>
      </c>
      <c r="I410" s="5" t="s">
        <v>294</v>
      </c>
      <c r="J410" s="5" t="s">
        <v>2</v>
      </c>
      <c r="K410" s="5" t="s">
        <v>2</v>
      </c>
      <c r="L410" s="6">
        <f>IF(I410="Cut","",IF(I410="Your call","(decide)",IF(I410="Rename",J410,IF(I410="Keep",IF(D410="",E410,D410),IF(E410="(unchanged)",D410,E410)))))</f>
      </c>
      <c r="M410" s="6">
        <f>IF(AND(I410="Cut",N410&gt;0,K410=""),"USED: say what replaces it (Note)",IF(AND(I410="Rename",J410=""),"type the new name",IF(AND(L410&lt;&gt;"",L410&lt;&gt;"(decide)",COUNTIF($L$2:$L$1680,L410)&gt;1),"SAME FINAL NAME AS ANOTHER ROW","")))</f>
      </c>
      <c r="N410" s="6">
        <v>0</v>
      </c>
      <c r="O410" s="6" t="s">
        <v>2</v>
      </c>
    </row>
    <row r="411" spans="1:15" x14ac:dyDescent="0.25">
      <c r="A411">
        <v>410</v>
      </c>
      <c r="B411" t="s">
        <v>353</v>
      </c>
      <c r="C411" t="s">
        <v>627</v>
      </c>
      <c r="D411" t="s">
        <v>631</v>
      </c>
      <c r="E411" t="s">
        <v>292</v>
      </c>
      <c r="F411" t="s">
        <v>2</v>
      </c>
      <c r="G411" t="s">
        <v>38</v>
      </c>
      <c r="H411" t="s">
        <v>39</v>
      </c>
      <c r="I411" s="5" t="s">
        <v>294</v>
      </c>
      <c r="J411" s="5" t="s">
        <v>2</v>
      </c>
      <c r="K411" s="5" t="s">
        <v>2</v>
      </c>
      <c r="L411" s="6">
        <f>IF(I411="Cut","",IF(I411="Your call","(decide)",IF(I411="Rename",J411,IF(I411="Keep",IF(D411="",E411,D411),IF(E411="(unchanged)",D411,E411)))))</f>
      </c>
      <c r="M411" s="6">
        <f>IF(AND(I411="Cut",N411&gt;0,K411=""),"USED: say what replaces it (Note)",IF(AND(I411="Rename",J411=""),"type the new name",IF(AND(L411&lt;&gt;"",L411&lt;&gt;"(decide)",COUNTIF($L$2:$L$1680,L411)&gt;1),"SAME FINAL NAME AS ANOTHER ROW","")))</f>
      </c>
      <c r="N411" s="6">
        <v>0</v>
      </c>
      <c r="O411" s="6" t="s">
        <v>2</v>
      </c>
    </row>
    <row r="412" spans="1:15" x14ac:dyDescent="0.25">
      <c r="A412">
        <v>411</v>
      </c>
      <c r="B412" t="s">
        <v>353</v>
      </c>
      <c r="C412" t="s">
        <v>627</v>
      </c>
      <c r="D412" t="s">
        <v>632</v>
      </c>
      <c r="E412" t="s">
        <v>292</v>
      </c>
      <c r="F412" t="s">
        <v>2</v>
      </c>
      <c r="G412" t="s">
        <v>38</v>
      </c>
      <c r="H412" t="s">
        <v>39</v>
      </c>
      <c r="I412" s="5" t="s">
        <v>294</v>
      </c>
      <c r="J412" s="5" t="s">
        <v>2</v>
      </c>
      <c r="K412" s="5" t="s">
        <v>2</v>
      </c>
      <c r="L412" s="6">
        <f>IF(I412="Cut","",IF(I412="Your call","(decide)",IF(I412="Rename",J412,IF(I412="Keep",IF(D412="",E412,D412),IF(E412="(unchanged)",D412,E412)))))</f>
      </c>
      <c r="M412" s="6">
        <f>IF(AND(I412="Cut",N412&gt;0,K412=""),"USED: say what replaces it (Note)",IF(AND(I412="Rename",J412=""),"type the new name",IF(AND(L412&lt;&gt;"",L412&lt;&gt;"(decide)",COUNTIF($L$2:$L$1680,L412)&gt;1),"SAME FINAL NAME AS ANOTHER ROW","")))</f>
      </c>
      <c r="N412" s="6">
        <v>0</v>
      </c>
      <c r="O412" s="6" t="s">
        <v>2</v>
      </c>
    </row>
    <row r="413" spans="1:15" x14ac:dyDescent="0.25">
      <c r="A413">
        <v>412</v>
      </c>
      <c r="B413" t="s">
        <v>353</v>
      </c>
      <c r="C413" t="s">
        <v>627</v>
      </c>
      <c r="D413" t="s">
        <v>633</v>
      </c>
      <c r="E413" t="s">
        <v>292</v>
      </c>
      <c r="F413" t="s">
        <v>2</v>
      </c>
      <c r="G413" t="s">
        <v>38</v>
      </c>
      <c r="H413" t="s">
        <v>39</v>
      </c>
      <c r="I413" s="5" t="s">
        <v>294</v>
      </c>
      <c r="J413" s="5" t="s">
        <v>2</v>
      </c>
      <c r="K413" s="5" t="s">
        <v>2</v>
      </c>
      <c r="L413" s="6">
        <f>IF(I413="Cut","",IF(I413="Your call","(decide)",IF(I413="Rename",J413,IF(I413="Keep",IF(D413="",E413,D413),IF(E413="(unchanged)",D413,E413)))))</f>
      </c>
      <c r="M413" s="6">
        <f>IF(AND(I413="Cut",N413&gt;0,K413=""),"USED: say what replaces it (Note)",IF(AND(I413="Rename",J413=""),"type the new name",IF(AND(L413&lt;&gt;"",L413&lt;&gt;"(decide)",COUNTIF($L$2:$L$1680,L413)&gt;1),"SAME FINAL NAME AS ANOTHER ROW","")))</f>
      </c>
      <c r="N413" s="6">
        <v>0</v>
      </c>
      <c r="O413" s="6" t="s">
        <v>2</v>
      </c>
    </row>
    <row r="414" spans="1:15" x14ac:dyDescent="0.25">
      <c r="A414">
        <v>413</v>
      </c>
      <c r="B414" t="s">
        <v>353</v>
      </c>
      <c r="C414" t="s">
        <v>627</v>
      </c>
      <c r="D414" t="s">
        <v>634</v>
      </c>
      <c r="E414" t="s">
        <v>292</v>
      </c>
      <c r="F414" t="s">
        <v>2</v>
      </c>
      <c r="G414" t="s">
        <v>38</v>
      </c>
      <c r="H414" t="s">
        <v>39</v>
      </c>
      <c r="I414" s="5" t="s">
        <v>294</v>
      </c>
      <c r="J414" s="5" t="s">
        <v>2</v>
      </c>
      <c r="K414" s="5" t="s">
        <v>2</v>
      </c>
      <c r="L414" s="6">
        <f>IF(I414="Cut","",IF(I414="Your call","(decide)",IF(I414="Rename",J414,IF(I414="Keep",IF(D414="",E414,D414),IF(E414="(unchanged)",D414,E414)))))</f>
      </c>
      <c r="M414" s="6">
        <f>IF(AND(I414="Cut",N414&gt;0,K414=""),"USED: say what replaces it (Note)",IF(AND(I414="Rename",J414=""),"type the new name",IF(AND(L414&lt;&gt;"",L414&lt;&gt;"(decide)",COUNTIF($L$2:$L$1680,L414)&gt;1),"SAME FINAL NAME AS ANOTHER ROW","")))</f>
      </c>
      <c r="N414" s="6">
        <v>0</v>
      </c>
      <c r="O414" s="6" t="s">
        <v>2</v>
      </c>
    </row>
    <row r="415" spans="1:15" x14ac:dyDescent="0.25">
      <c r="A415">
        <v>414</v>
      </c>
      <c r="B415" t="s">
        <v>353</v>
      </c>
      <c r="C415" t="s">
        <v>635</v>
      </c>
      <c r="D415" t="s">
        <v>636</v>
      </c>
      <c r="E415" t="s">
        <v>292</v>
      </c>
      <c r="F415" t="s">
        <v>2</v>
      </c>
      <c r="G415" t="s">
        <v>38</v>
      </c>
      <c r="H415" t="s">
        <v>39</v>
      </c>
      <c r="I415" s="5" t="s">
        <v>294</v>
      </c>
      <c r="J415" s="5" t="s">
        <v>2</v>
      </c>
      <c r="K415" s="5" t="s">
        <v>2</v>
      </c>
      <c r="L415" s="6">
        <f>IF(I415="Cut","",IF(I415="Your call","(decide)",IF(I415="Rename",J415,IF(I415="Keep",IF(D415="",E415,D415),IF(E415="(unchanged)",D415,E415)))))</f>
      </c>
      <c r="M415" s="6">
        <f>IF(AND(I415="Cut",N415&gt;0,K415=""),"USED: say what replaces it (Note)",IF(AND(I415="Rename",J415=""),"type the new name",IF(AND(L415&lt;&gt;"",L415&lt;&gt;"(decide)",COUNTIF($L$2:$L$1680,L415)&gt;1),"SAME FINAL NAME AS ANOTHER ROW","")))</f>
      </c>
      <c r="N415" s="6">
        <v>0</v>
      </c>
      <c r="O415" s="6" t="s">
        <v>2</v>
      </c>
    </row>
    <row r="416" spans="1:15" x14ac:dyDescent="0.25">
      <c r="A416">
        <v>415</v>
      </c>
      <c r="B416" t="s">
        <v>353</v>
      </c>
      <c r="C416" t="s">
        <v>635</v>
      </c>
      <c r="D416" t="s">
        <v>637</v>
      </c>
      <c r="E416" t="s">
        <v>292</v>
      </c>
      <c r="F416" t="s">
        <v>2</v>
      </c>
      <c r="G416" t="s">
        <v>38</v>
      </c>
      <c r="H416" t="s">
        <v>39</v>
      </c>
      <c r="I416" s="5" t="s">
        <v>294</v>
      </c>
      <c r="J416" s="5" t="s">
        <v>2</v>
      </c>
      <c r="K416" s="5" t="s">
        <v>2</v>
      </c>
      <c r="L416" s="6">
        <f>IF(I416="Cut","",IF(I416="Your call","(decide)",IF(I416="Rename",J416,IF(I416="Keep",IF(D416="",E416,D416),IF(E416="(unchanged)",D416,E416)))))</f>
      </c>
      <c r="M416" s="6">
        <f>IF(AND(I416="Cut",N416&gt;0,K416=""),"USED: say what replaces it (Note)",IF(AND(I416="Rename",J416=""),"type the new name",IF(AND(L416&lt;&gt;"",L416&lt;&gt;"(decide)",COUNTIF($L$2:$L$1680,L416)&gt;1),"SAME FINAL NAME AS ANOTHER ROW","")))</f>
      </c>
      <c r="N416" s="6">
        <v>0</v>
      </c>
      <c r="O416" s="6" t="s">
        <v>2</v>
      </c>
    </row>
    <row r="417" spans="1:15" x14ac:dyDescent="0.25">
      <c r="A417">
        <v>416</v>
      </c>
      <c r="B417" t="s">
        <v>353</v>
      </c>
      <c r="C417" t="s">
        <v>635</v>
      </c>
      <c r="D417" t="s">
        <v>638</v>
      </c>
      <c r="E417" t="s">
        <v>292</v>
      </c>
      <c r="F417" t="s">
        <v>2</v>
      </c>
      <c r="G417" t="s">
        <v>38</v>
      </c>
      <c r="H417" t="s">
        <v>39</v>
      </c>
      <c r="I417" s="5" t="s">
        <v>294</v>
      </c>
      <c r="J417" s="5" t="s">
        <v>2</v>
      </c>
      <c r="K417" s="5" t="s">
        <v>2</v>
      </c>
      <c r="L417" s="6">
        <f>IF(I417="Cut","",IF(I417="Your call","(decide)",IF(I417="Rename",J417,IF(I417="Keep",IF(D417="",E417,D417),IF(E417="(unchanged)",D417,E417)))))</f>
      </c>
      <c r="M417" s="6">
        <f>IF(AND(I417="Cut",N417&gt;0,K417=""),"USED: say what replaces it (Note)",IF(AND(I417="Rename",J417=""),"type the new name",IF(AND(L417&lt;&gt;"",L417&lt;&gt;"(decide)",COUNTIF($L$2:$L$1680,L417)&gt;1),"SAME FINAL NAME AS ANOTHER ROW","")))</f>
      </c>
      <c r="N417" s="6">
        <v>0</v>
      </c>
      <c r="O417" s="6" t="s">
        <v>2</v>
      </c>
    </row>
    <row r="418" spans="1:15" x14ac:dyDescent="0.25">
      <c r="A418">
        <v>417</v>
      </c>
      <c r="B418" t="s">
        <v>353</v>
      </c>
      <c r="C418" t="s">
        <v>635</v>
      </c>
      <c r="D418" t="s">
        <v>639</v>
      </c>
      <c r="E418" t="s">
        <v>292</v>
      </c>
      <c r="F418" t="s">
        <v>2</v>
      </c>
      <c r="G418" t="s">
        <v>38</v>
      </c>
      <c r="H418" t="s">
        <v>39</v>
      </c>
      <c r="I418" s="5" t="s">
        <v>294</v>
      </c>
      <c r="J418" s="5" t="s">
        <v>2</v>
      </c>
      <c r="K418" s="5" t="s">
        <v>2</v>
      </c>
      <c r="L418" s="6">
        <f>IF(I418="Cut","",IF(I418="Your call","(decide)",IF(I418="Rename",J418,IF(I418="Keep",IF(D418="",E418,D418),IF(E418="(unchanged)",D418,E418)))))</f>
      </c>
      <c r="M418" s="6">
        <f>IF(AND(I418="Cut",N418&gt;0,K418=""),"USED: say what replaces it (Note)",IF(AND(I418="Rename",J418=""),"type the new name",IF(AND(L418&lt;&gt;"",L418&lt;&gt;"(decide)",COUNTIF($L$2:$L$1680,L418)&gt;1),"SAME FINAL NAME AS ANOTHER ROW","")))</f>
      </c>
      <c r="N418" s="6">
        <v>0</v>
      </c>
      <c r="O418" s="6" t="s">
        <v>2</v>
      </c>
    </row>
    <row r="419" spans="1:15" x14ac:dyDescent="0.25">
      <c r="A419">
        <v>418</v>
      </c>
      <c r="B419" t="s">
        <v>353</v>
      </c>
      <c r="C419" t="s">
        <v>635</v>
      </c>
      <c r="D419" t="s">
        <v>640</v>
      </c>
      <c r="E419" t="s">
        <v>292</v>
      </c>
      <c r="F419" t="s">
        <v>2</v>
      </c>
      <c r="G419" t="s">
        <v>38</v>
      </c>
      <c r="H419" t="s">
        <v>39</v>
      </c>
      <c r="I419" s="5" t="s">
        <v>294</v>
      </c>
      <c r="J419" s="5" t="s">
        <v>2</v>
      </c>
      <c r="K419" s="5" t="s">
        <v>2</v>
      </c>
      <c r="L419" s="6">
        <f>IF(I419="Cut","",IF(I419="Your call","(decide)",IF(I419="Rename",J419,IF(I419="Keep",IF(D419="",E419,D419),IF(E419="(unchanged)",D419,E419)))))</f>
      </c>
      <c r="M419" s="6">
        <f>IF(AND(I419="Cut",N419&gt;0,K419=""),"USED: say what replaces it (Note)",IF(AND(I419="Rename",J419=""),"type the new name",IF(AND(L419&lt;&gt;"",L419&lt;&gt;"(decide)",COUNTIF($L$2:$L$1680,L419)&gt;1),"SAME FINAL NAME AS ANOTHER ROW","")))</f>
      </c>
      <c r="N419" s="6">
        <v>0</v>
      </c>
      <c r="O419" s="6" t="s">
        <v>2</v>
      </c>
    </row>
    <row r="420" spans="1:15" x14ac:dyDescent="0.25">
      <c r="A420">
        <v>419</v>
      </c>
      <c r="B420" t="s">
        <v>353</v>
      </c>
      <c r="C420" t="s">
        <v>635</v>
      </c>
      <c r="D420" t="s">
        <v>641</v>
      </c>
      <c r="E420" t="s">
        <v>292</v>
      </c>
      <c r="F420" t="s">
        <v>2</v>
      </c>
      <c r="G420" t="s">
        <v>38</v>
      </c>
      <c r="H420" t="s">
        <v>39</v>
      </c>
      <c r="I420" s="5" t="s">
        <v>294</v>
      </c>
      <c r="J420" s="5" t="s">
        <v>2</v>
      </c>
      <c r="K420" s="5" t="s">
        <v>2</v>
      </c>
      <c r="L420" s="6">
        <f>IF(I420="Cut","",IF(I420="Your call","(decide)",IF(I420="Rename",J420,IF(I420="Keep",IF(D420="",E420,D420),IF(E420="(unchanged)",D420,E420)))))</f>
      </c>
      <c r="M420" s="6">
        <f>IF(AND(I420="Cut",N420&gt;0,K420=""),"USED: say what replaces it (Note)",IF(AND(I420="Rename",J420=""),"type the new name",IF(AND(L420&lt;&gt;"",L420&lt;&gt;"(decide)",COUNTIF($L$2:$L$1680,L420)&gt;1),"SAME FINAL NAME AS ANOTHER ROW","")))</f>
      </c>
      <c r="N420" s="6">
        <v>0</v>
      </c>
      <c r="O420" s="6" t="s">
        <v>2</v>
      </c>
    </row>
    <row r="421" spans="1:15" x14ac:dyDescent="0.25">
      <c r="A421">
        <v>420</v>
      </c>
      <c r="B421" t="s">
        <v>353</v>
      </c>
      <c r="C421" t="s">
        <v>635</v>
      </c>
      <c r="D421" t="s">
        <v>642</v>
      </c>
      <c r="E421" t="s">
        <v>292</v>
      </c>
      <c r="F421" t="s">
        <v>2</v>
      </c>
      <c r="G421" t="s">
        <v>38</v>
      </c>
      <c r="H421" t="s">
        <v>39</v>
      </c>
      <c r="I421" s="5" t="s">
        <v>294</v>
      </c>
      <c r="J421" s="5" t="s">
        <v>2</v>
      </c>
      <c r="K421" s="5" t="s">
        <v>2</v>
      </c>
      <c r="L421" s="6">
        <f>IF(I421="Cut","",IF(I421="Your call","(decide)",IF(I421="Rename",J421,IF(I421="Keep",IF(D421="",E421,D421),IF(E421="(unchanged)",D421,E421)))))</f>
      </c>
      <c r="M421" s="6">
        <f>IF(AND(I421="Cut",N421&gt;0,K421=""),"USED: say what replaces it (Note)",IF(AND(I421="Rename",J421=""),"type the new name",IF(AND(L421&lt;&gt;"",L421&lt;&gt;"(decide)",COUNTIF($L$2:$L$1680,L421)&gt;1),"SAME FINAL NAME AS ANOTHER ROW","")))</f>
      </c>
      <c r="N421" s="6">
        <v>0</v>
      </c>
      <c r="O421" s="6" t="s">
        <v>2</v>
      </c>
    </row>
    <row r="422" spans="1:15" x14ac:dyDescent="0.25">
      <c r="A422">
        <v>421</v>
      </c>
      <c r="B422" t="s">
        <v>353</v>
      </c>
      <c r="C422" t="s">
        <v>643</v>
      </c>
      <c r="D422" t="s">
        <v>644</v>
      </c>
      <c r="E422" t="s">
        <v>292</v>
      </c>
      <c r="F422" t="s">
        <v>2</v>
      </c>
      <c r="G422" t="s">
        <v>38</v>
      </c>
      <c r="H422" t="s">
        <v>39</v>
      </c>
      <c r="I422" s="5" t="s">
        <v>294</v>
      </c>
      <c r="J422" s="5" t="s">
        <v>2</v>
      </c>
      <c r="K422" s="5" t="s">
        <v>2</v>
      </c>
      <c r="L422" s="6">
        <f>IF(I422="Cut","",IF(I422="Your call","(decide)",IF(I422="Rename",J422,IF(I422="Keep",IF(D422="",E422,D422),IF(E422="(unchanged)",D422,E422)))))</f>
      </c>
      <c r="M422" s="6">
        <f>IF(AND(I422="Cut",N422&gt;0,K422=""),"USED: say what replaces it (Note)",IF(AND(I422="Rename",J422=""),"type the new name",IF(AND(L422&lt;&gt;"",L422&lt;&gt;"(decide)",COUNTIF($L$2:$L$1680,L422)&gt;1),"SAME FINAL NAME AS ANOTHER ROW","")))</f>
      </c>
      <c r="N422" s="6">
        <v>0</v>
      </c>
      <c r="O422" s="6" t="s">
        <v>2</v>
      </c>
    </row>
    <row r="423" spans="1:15" x14ac:dyDescent="0.25">
      <c r="A423">
        <v>422</v>
      </c>
      <c r="B423" t="s">
        <v>353</v>
      </c>
      <c r="C423" t="s">
        <v>643</v>
      </c>
      <c r="D423" t="s">
        <v>645</v>
      </c>
      <c r="E423" t="s">
        <v>292</v>
      </c>
      <c r="F423" t="s">
        <v>2</v>
      </c>
      <c r="G423" t="s">
        <v>38</v>
      </c>
      <c r="H423" t="s">
        <v>39</v>
      </c>
      <c r="I423" s="5" t="s">
        <v>294</v>
      </c>
      <c r="J423" s="5" t="s">
        <v>2</v>
      </c>
      <c r="K423" s="5" t="s">
        <v>2</v>
      </c>
      <c r="L423" s="6">
        <f>IF(I423="Cut","",IF(I423="Your call","(decide)",IF(I423="Rename",J423,IF(I423="Keep",IF(D423="",E423,D423),IF(E423="(unchanged)",D423,E423)))))</f>
      </c>
      <c r="M423" s="6">
        <f>IF(AND(I423="Cut",N423&gt;0,K423=""),"USED: say what replaces it (Note)",IF(AND(I423="Rename",J423=""),"type the new name",IF(AND(L423&lt;&gt;"",L423&lt;&gt;"(decide)",COUNTIF($L$2:$L$1680,L423)&gt;1),"SAME FINAL NAME AS ANOTHER ROW","")))</f>
      </c>
      <c r="N423" s="6">
        <v>0</v>
      </c>
      <c r="O423" s="6" t="s">
        <v>2</v>
      </c>
    </row>
    <row r="424" spans="1:15" x14ac:dyDescent="0.25">
      <c r="A424">
        <v>423</v>
      </c>
      <c r="B424" t="s">
        <v>353</v>
      </c>
      <c r="C424" t="s">
        <v>643</v>
      </c>
      <c r="D424" t="s">
        <v>646</v>
      </c>
      <c r="E424" t="s">
        <v>292</v>
      </c>
      <c r="F424" t="s">
        <v>2</v>
      </c>
      <c r="G424" t="s">
        <v>38</v>
      </c>
      <c r="H424" t="s">
        <v>39</v>
      </c>
      <c r="I424" s="5" t="s">
        <v>294</v>
      </c>
      <c r="J424" s="5" t="s">
        <v>2</v>
      </c>
      <c r="K424" s="5" t="s">
        <v>2</v>
      </c>
      <c r="L424" s="6">
        <f>IF(I424="Cut","",IF(I424="Your call","(decide)",IF(I424="Rename",J424,IF(I424="Keep",IF(D424="",E424,D424),IF(E424="(unchanged)",D424,E424)))))</f>
      </c>
      <c r="M424" s="6">
        <f>IF(AND(I424="Cut",N424&gt;0,K424=""),"USED: say what replaces it (Note)",IF(AND(I424="Rename",J424=""),"type the new name",IF(AND(L424&lt;&gt;"",L424&lt;&gt;"(decide)",COUNTIF($L$2:$L$1680,L424)&gt;1),"SAME FINAL NAME AS ANOTHER ROW","")))</f>
      </c>
      <c r="N424" s="6">
        <v>0</v>
      </c>
      <c r="O424" s="6" t="s">
        <v>2</v>
      </c>
    </row>
    <row r="425" spans="1:15" x14ac:dyDescent="0.25">
      <c r="A425">
        <v>424</v>
      </c>
      <c r="B425" t="s">
        <v>353</v>
      </c>
      <c r="C425" t="s">
        <v>643</v>
      </c>
      <c r="D425" t="s">
        <v>647</v>
      </c>
      <c r="E425" t="s">
        <v>292</v>
      </c>
      <c r="F425" t="s">
        <v>2</v>
      </c>
      <c r="G425" t="s">
        <v>38</v>
      </c>
      <c r="H425" t="s">
        <v>39</v>
      </c>
      <c r="I425" s="5" t="s">
        <v>294</v>
      </c>
      <c r="J425" s="5" t="s">
        <v>2</v>
      </c>
      <c r="K425" s="5" t="s">
        <v>2</v>
      </c>
      <c r="L425" s="6">
        <f>IF(I425="Cut","",IF(I425="Your call","(decide)",IF(I425="Rename",J425,IF(I425="Keep",IF(D425="",E425,D425),IF(E425="(unchanged)",D425,E425)))))</f>
      </c>
      <c r="M425" s="6">
        <f>IF(AND(I425="Cut",N425&gt;0,K425=""),"USED: say what replaces it (Note)",IF(AND(I425="Rename",J425=""),"type the new name",IF(AND(L425&lt;&gt;"",L425&lt;&gt;"(decide)",COUNTIF($L$2:$L$1680,L425)&gt;1),"SAME FINAL NAME AS ANOTHER ROW","")))</f>
      </c>
      <c r="N425" s="6">
        <v>0</v>
      </c>
      <c r="O425" s="6" t="s">
        <v>2</v>
      </c>
    </row>
    <row r="426" spans="1:15" x14ac:dyDescent="0.25">
      <c r="A426">
        <v>425</v>
      </c>
      <c r="B426" t="s">
        <v>353</v>
      </c>
      <c r="C426" t="s">
        <v>643</v>
      </c>
      <c r="D426" t="s">
        <v>648</v>
      </c>
      <c r="E426" t="s">
        <v>292</v>
      </c>
      <c r="F426" t="s">
        <v>2</v>
      </c>
      <c r="G426" t="s">
        <v>38</v>
      </c>
      <c r="H426" t="s">
        <v>39</v>
      </c>
      <c r="I426" s="5" t="s">
        <v>294</v>
      </c>
      <c r="J426" s="5" t="s">
        <v>2</v>
      </c>
      <c r="K426" s="5" t="s">
        <v>2</v>
      </c>
      <c r="L426" s="6">
        <f>IF(I426="Cut","",IF(I426="Your call","(decide)",IF(I426="Rename",J426,IF(I426="Keep",IF(D426="",E426,D426),IF(E426="(unchanged)",D426,E426)))))</f>
      </c>
      <c r="M426" s="6">
        <f>IF(AND(I426="Cut",N426&gt;0,K426=""),"USED: say what replaces it (Note)",IF(AND(I426="Rename",J426=""),"type the new name",IF(AND(L426&lt;&gt;"",L426&lt;&gt;"(decide)",COUNTIF($L$2:$L$1680,L426)&gt;1),"SAME FINAL NAME AS ANOTHER ROW","")))</f>
      </c>
      <c r="N426" s="6">
        <v>0</v>
      </c>
      <c r="O426" s="6" t="s">
        <v>2</v>
      </c>
    </row>
    <row r="427" spans="1:15" x14ac:dyDescent="0.25">
      <c r="A427">
        <v>426</v>
      </c>
      <c r="B427" t="s">
        <v>353</v>
      </c>
      <c r="C427" t="s">
        <v>643</v>
      </c>
      <c r="D427" t="s">
        <v>649</v>
      </c>
      <c r="E427" t="s">
        <v>292</v>
      </c>
      <c r="F427" t="s">
        <v>2</v>
      </c>
      <c r="G427" t="s">
        <v>38</v>
      </c>
      <c r="H427" t="s">
        <v>39</v>
      </c>
      <c r="I427" s="5" t="s">
        <v>294</v>
      </c>
      <c r="J427" s="5" t="s">
        <v>2</v>
      </c>
      <c r="K427" s="5" t="s">
        <v>2</v>
      </c>
      <c r="L427" s="6">
        <f>IF(I427="Cut","",IF(I427="Your call","(decide)",IF(I427="Rename",J427,IF(I427="Keep",IF(D427="",E427,D427),IF(E427="(unchanged)",D427,E427)))))</f>
      </c>
      <c r="M427" s="6">
        <f>IF(AND(I427="Cut",N427&gt;0,K427=""),"USED: say what replaces it (Note)",IF(AND(I427="Rename",J427=""),"type the new name",IF(AND(L427&lt;&gt;"",L427&lt;&gt;"(decide)",COUNTIF($L$2:$L$1680,L427)&gt;1),"SAME FINAL NAME AS ANOTHER ROW","")))</f>
      </c>
      <c r="N427" s="6">
        <v>0</v>
      </c>
      <c r="O427" s="6" t="s">
        <v>2</v>
      </c>
    </row>
    <row r="428" spans="1:15" x14ac:dyDescent="0.25">
      <c r="A428">
        <v>427</v>
      </c>
      <c r="B428" t="s">
        <v>353</v>
      </c>
      <c r="C428" t="s">
        <v>643</v>
      </c>
      <c r="D428" t="s">
        <v>650</v>
      </c>
      <c r="E428" t="s">
        <v>292</v>
      </c>
      <c r="F428" t="s">
        <v>2</v>
      </c>
      <c r="G428" t="s">
        <v>38</v>
      </c>
      <c r="H428" t="s">
        <v>39</v>
      </c>
      <c r="I428" s="5" t="s">
        <v>294</v>
      </c>
      <c r="J428" s="5" t="s">
        <v>2</v>
      </c>
      <c r="K428" s="5" t="s">
        <v>2</v>
      </c>
      <c r="L428" s="6">
        <f>IF(I428="Cut","",IF(I428="Your call","(decide)",IF(I428="Rename",J428,IF(I428="Keep",IF(D428="",E428,D428),IF(E428="(unchanged)",D428,E428)))))</f>
      </c>
      <c r="M428" s="6">
        <f>IF(AND(I428="Cut",N428&gt;0,K428=""),"USED: say what replaces it (Note)",IF(AND(I428="Rename",J428=""),"type the new name",IF(AND(L428&lt;&gt;"",L428&lt;&gt;"(decide)",COUNTIF($L$2:$L$1680,L428)&gt;1),"SAME FINAL NAME AS ANOTHER ROW","")))</f>
      </c>
      <c r="N428" s="6">
        <v>0</v>
      </c>
      <c r="O428" s="6" t="s">
        <v>2</v>
      </c>
    </row>
    <row r="429" spans="1:15" x14ac:dyDescent="0.25">
      <c r="A429">
        <v>428</v>
      </c>
      <c r="B429" t="s">
        <v>353</v>
      </c>
      <c r="C429" t="s">
        <v>643</v>
      </c>
      <c r="D429" t="s">
        <v>651</v>
      </c>
      <c r="E429" t="s">
        <v>292</v>
      </c>
      <c r="F429" t="s">
        <v>2</v>
      </c>
      <c r="G429" t="s">
        <v>38</v>
      </c>
      <c r="H429" t="s">
        <v>39</v>
      </c>
      <c r="I429" s="5" t="s">
        <v>294</v>
      </c>
      <c r="J429" s="5" t="s">
        <v>2</v>
      </c>
      <c r="K429" s="5" t="s">
        <v>2</v>
      </c>
      <c r="L429" s="6">
        <f>IF(I429="Cut","",IF(I429="Your call","(decide)",IF(I429="Rename",J429,IF(I429="Keep",IF(D429="",E429,D429),IF(E429="(unchanged)",D429,E429)))))</f>
      </c>
      <c r="M429" s="6">
        <f>IF(AND(I429="Cut",N429&gt;0,K429=""),"USED: say what replaces it (Note)",IF(AND(I429="Rename",J429=""),"type the new name",IF(AND(L429&lt;&gt;"",L429&lt;&gt;"(decide)",COUNTIF($L$2:$L$1680,L429)&gt;1),"SAME FINAL NAME AS ANOTHER ROW","")))</f>
      </c>
      <c r="N429" s="6">
        <v>0</v>
      </c>
      <c r="O429" s="6" t="s">
        <v>2</v>
      </c>
    </row>
    <row r="430" spans="1:15" x14ac:dyDescent="0.25">
      <c r="A430">
        <v>429</v>
      </c>
      <c r="B430" t="s">
        <v>353</v>
      </c>
      <c r="C430" t="s">
        <v>643</v>
      </c>
      <c r="D430" t="s">
        <v>652</v>
      </c>
      <c r="E430" t="s">
        <v>292</v>
      </c>
      <c r="F430" t="s">
        <v>2</v>
      </c>
      <c r="G430" t="s">
        <v>38</v>
      </c>
      <c r="H430" t="s">
        <v>39</v>
      </c>
      <c r="I430" s="5" t="s">
        <v>294</v>
      </c>
      <c r="J430" s="5" t="s">
        <v>2</v>
      </c>
      <c r="K430" s="5" t="s">
        <v>2</v>
      </c>
      <c r="L430" s="6">
        <f>IF(I430="Cut","",IF(I430="Your call","(decide)",IF(I430="Rename",J430,IF(I430="Keep",IF(D430="",E430,D430),IF(E430="(unchanged)",D430,E430)))))</f>
      </c>
      <c r="M430" s="6">
        <f>IF(AND(I430="Cut",N430&gt;0,K430=""),"USED: say what replaces it (Note)",IF(AND(I430="Rename",J430=""),"type the new name",IF(AND(L430&lt;&gt;"",L430&lt;&gt;"(decide)",COUNTIF($L$2:$L$1680,L430)&gt;1),"SAME FINAL NAME AS ANOTHER ROW","")))</f>
      </c>
      <c r="N430" s="6">
        <v>0</v>
      </c>
      <c r="O430" s="6" t="s">
        <v>2</v>
      </c>
    </row>
    <row r="431" spans="1:15" x14ac:dyDescent="0.25">
      <c r="A431">
        <v>430</v>
      </c>
      <c r="B431" t="s">
        <v>353</v>
      </c>
      <c r="C431" t="s">
        <v>653</v>
      </c>
      <c r="D431" t="s">
        <v>654</v>
      </c>
      <c r="E431" t="s">
        <v>292</v>
      </c>
      <c r="F431" t="s">
        <v>2</v>
      </c>
      <c r="G431" t="s">
        <v>38</v>
      </c>
      <c r="H431" t="s">
        <v>39</v>
      </c>
      <c r="I431" s="5" t="s">
        <v>294</v>
      </c>
      <c r="J431" s="5" t="s">
        <v>2</v>
      </c>
      <c r="K431" s="5" t="s">
        <v>2</v>
      </c>
      <c r="L431" s="6">
        <f>IF(I431="Cut","",IF(I431="Your call","(decide)",IF(I431="Rename",J431,IF(I431="Keep",IF(D431="",E431,D431),IF(E431="(unchanged)",D431,E431)))))</f>
      </c>
      <c r="M431" s="6">
        <f>IF(AND(I431="Cut",N431&gt;0,K431=""),"USED: say what replaces it (Note)",IF(AND(I431="Rename",J431=""),"type the new name",IF(AND(L431&lt;&gt;"",L431&lt;&gt;"(decide)",COUNTIF($L$2:$L$1680,L431)&gt;1),"SAME FINAL NAME AS ANOTHER ROW","")))</f>
      </c>
      <c r="N431" s="6">
        <v>0</v>
      </c>
      <c r="O431" s="6" t="s">
        <v>2</v>
      </c>
    </row>
    <row r="432" spans="1:15" x14ac:dyDescent="0.25">
      <c r="A432">
        <v>431</v>
      </c>
      <c r="B432" t="s">
        <v>353</v>
      </c>
      <c r="C432" t="s">
        <v>653</v>
      </c>
      <c r="D432" t="s">
        <v>655</v>
      </c>
      <c r="E432" t="s">
        <v>292</v>
      </c>
      <c r="F432" t="s">
        <v>2</v>
      </c>
      <c r="G432" t="s">
        <v>38</v>
      </c>
      <c r="H432" t="s">
        <v>39</v>
      </c>
      <c r="I432" s="5" t="s">
        <v>294</v>
      </c>
      <c r="J432" s="5" t="s">
        <v>2</v>
      </c>
      <c r="K432" s="5" t="s">
        <v>2</v>
      </c>
      <c r="L432" s="6">
        <f>IF(I432="Cut","",IF(I432="Your call","(decide)",IF(I432="Rename",J432,IF(I432="Keep",IF(D432="",E432,D432),IF(E432="(unchanged)",D432,E432)))))</f>
      </c>
      <c r="M432" s="6">
        <f>IF(AND(I432="Cut",N432&gt;0,K432=""),"USED: say what replaces it (Note)",IF(AND(I432="Rename",J432=""),"type the new name",IF(AND(L432&lt;&gt;"",L432&lt;&gt;"(decide)",COUNTIF($L$2:$L$1680,L432)&gt;1),"SAME FINAL NAME AS ANOTHER ROW","")))</f>
      </c>
      <c r="N432" s="6">
        <v>0</v>
      </c>
      <c r="O432" s="6" t="s">
        <v>2</v>
      </c>
    </row>
    <row r="433" spans="1:15" x14ac:dyDescent="0.25">
      <c r="A433">
        <v>432</v>
      </c>
      <c r="B433" t="s">
        <v>353</v>
      </c>
      <c r="C433" t="s">
        <v>653</v>
      </c>
      <c r="D433" t="s">
        <v>656</v>
      </c>
      <c r="E433" t="s">
        <v>292</v>
      </c>
      <c r="F433" t="s">
        <v>2</v>
      </c>
      <c r="G433" t="s">
        <v>38</v>
      </c>
      <c r="H433" t="s">
        <v>39</v>
      </c>
      <c r="I433" s="5" t="s">
        <v>294</v>
      </c>
      <c r="J433" s="5" t="s">
        <v>2</v>
      </c>
      <c r="K433" s="5" t="s">
        <v>2</v>
      </c>
      <c r="L433" s="6">
        <f>IF(I433="Cut","",IF(I433="Your call","(decide)",IF(I433="Rename",J433,IF(I433="Keep",IF(D433="",E433,D433),IF(E433="(unchanged)",D433,E433)))))</f>
      </c>
      <c r="M433" s="6">
        <f>IF(AND(I433="Cut",N433&gt;0,K433=""),"USED: say what replaces it (Note)",IF(AND(I433="Rename",J433=""),"type the new name",IF(AND(L433&lt;&gt;"",L433&lt;&gt;"(decide)",COUNTIF($L$2:$L$1680,L433)&gt;1),"SAME FINAL NAME AS ANOTHER ROW","")))</f>
      </c>
      <c r="N433" s="6">
        <v>0</v>
      </c>
      <c r="O433" s="6" t="s">
        <v>2</v>
      </c>
    </row>
    <row r="434" spans="1:15" x14ac:dyDescent="0.25">
      <c r="A434">
        <v>433</v>
      </c>
      <c r="B434" t="s">
        <v>353</v>
      </c>
      <c r="C434" t="s">
        <v>653</v>
      </c>
      <c r="D434" t="s">
        <v>657</v>
      </c>
      <c r="E434" t="s">
        <v>292</v>
      </c>
      <c r="F434" t="s">
        <v>2</v>
      </c>
      <c r="G434" t="s">
        <v>38</v>
      </c>
      <c r="H434" t="s">
        <v>39</v>
      </c>
      <c r="I434" s="5" t="s">
        <v>294</v>
      </c>
      <c r="J434" s="5" t="s">
        <v>2</v>
      </c>
      <c r="K434" s="5" t="s">
        <v>2</v>
      </c>
      <c r="L434" s="6">
        <f>IF(I434="Cut","",IF(I434="Your call","(decide)",IF(I434="Rename",J434,IF(I434="Keep",IF(D434="",E434,D434),IF(E434="(unchanged)",D434,E434)))))</f>
      </c>
      <c r="M434" s="6">
        <f>IF(AND(I434="Cut",N434&gt;0,K434=""),"USED: say what replaces it (Note)",IF(AND(I434="Rename",J434=""),"type the new name",IF(AND(L434&lt;&gt;"",L434&lt;&gt;"(decide)",COUNTIF($L$2:$L$1680,L434)&gt;1),"SAME FINAL NAME AS ANOTHER ROW","")))</f>
      </c>
      <c r="N434" s="6">
        <v>0</v>
      </c>
      <c r="O434" s="6" t="s">
        <v>2</v>
      </c>
    </row>
    <row r="435" spans="1:15" x14ac:dyDescent="0.25">
      <c r="A435">
        <v>434</v>
      </c>
      <c r="B435" t="s">
        <v>353</v>
      </c>
      <c r="C435" t="s">
        <v>653</v>
      </c>
      <c r="D435" t="s">
        <v>658</v>
      </c>
      <c r="E435" t="s">
        <v>292</v>
      </c>
      <c r="F435" t="s">
        <v>2</v>
      </c>
      <c r="G435" t="s">
        <v>38</v>
      </c>
      <c r="H435" t="s">
        <v>39</v>
      </c>
      <c r="I435" s="5" t="s">
        <v>294</v>
      </c>
      <c r="J435" s="5" t="s">
        <v>2</v>
      </c>
      <c r="K435" s="5" t="s">
        <v>2</v>
      </c>
      <c r="L435" s="6">
        <f>IF(I435="Cut","",IF(I435="Your call","(decide)",IF(I435="Rename",J435,IF(I435="Keep",IF(D435="",E435,D435),IF(E435="(unchanged)",D435,E435)))))</f>
      </c>
      <c r="M435" s="6">
        <f>IF(AND(I435="Cut",N435&gt;0,K435=""),"USED: say what replaces it (Note)",IF(AND(I435="Rename",J435=""),"type the new name",IF(AND(L435&lt;&gt;"",L435&lt;&gt;"(decide)",COUNTIF($L$2:$L$1680,L435)&gt;1),"SAME FINAL NAME AS ANOTHER ROW","")))</f>
      </c>
      <c r="N435" s="6">
        <v>0</v>
      </c>
      <c r="O435" s="6" t="s">
        <v>2</v>
      </c>
    </row>
    <row r="436" spans="1:15" x14ac:dyDescent="0.25">
      <c r="A436">
        <v>435</v>
      </c>
      <c r="B436" t="s">
        <v>353</v>
      </c>
      <c r="C436" t="s">
        <v>653</v>
      </c>
      <c r="D436" t="s">
        <v>659</v>
      </c>
      <c r="E436" t="s">
        <v>292</v>
      </c>
      <c r="F436" t="s">
        <v>2</v>
      </c>
      <c r="G436" t="s">
        <v>38</v>
      </c>
      <c r="H436" t="s">
        <v>39</v>
      </c>
      <c r="I436" s="5" t="s">
        <v>294</v>
      </c>
      <c r="J436" s="5" t="s">
        <v>2</v>
      </c>
      <c r="K436" s="5" t="s">
        <v>2</v>
      </c>
      <c r="L436" s="6">
        <f>IF(I436="Cut","",IF(I436="Your call","(decide)",IF(I436="Rename",J436,IF(I436="Keep",IF(D436="",E436,D436),IF(E436="(unchanged)",D436,E436)))))</f>
      </c>
      <c r="M436" s="6">
        <f>IF(AND(I436="Cut",N436&gt;0,K436=""),"USED: say what replaces it (Note)",IF(AND(I436="Rename",J436=""),"type the new name",IF(AND(L436&lt;&gt;"",L436&lt;&gt;"(decide)",COUNTIF($L$2:$L$1680,L436)&gt;1),"SAME FINAL NAME AS ANOTHER ROW","")))</f>
      </c>
      <c r="N436" s="6">
        <v>0</v>
      </c>
      <c r="O436" s="6" t="s">
        <v>2</v>
      </c>
    </row>
    <row r="437" spans="1:15" x14ac:dyDescent="0.25">
      <c r="A437">
        <v>436</v>
      </c>
      <c r="B437" t="s">
        <v>353</v>
      </c>
      <c r="C437" t="s">
        <v>653</v>
      </c>
      <c r="D437" t="s">
        <v>660</v>
      </c>
      <c r="E437" t="s">
        <v>292</v>
      </c>
      <c r="F437" t="s">
        <v>2</v>
      </c>
      <c r="G437" t="s">
        <v>38</v>
      </c>
      <c r="H437" t="s">
        <v>39</v>
      </c>
      <c r="I437" s="5" t="s">
        <v>294</v>
      </c>
      <c r="J437" s="5" t="s">
        <v>2</v>
      </c>
      <c r="K437" s="5" t="s">
        <v>2</v>
      </c>
      <c r="L437" s="6">
        <f>IF(I437="Cut","",IF(I437="Your call","(decide)",IF(I437="Rename",J437,IF(I437="Keep",IF(D437="",E437,D437),IF(E437="(unchanged)",D437,E437)))))</f>
      </c>
      <c r="M437" s="6">
        <f>IF(AND(I437="Cut",N437&gt;0,K437=""),"USED: say what replaces it (Note)",IF(AND(I437="Rename",J437=""),"type the new name",IF(AND(L437&lt;&gt;"",L437&lt;&gt;"(decide)",COUNTIF($L$2:$L$1680,L437)&gt;1),"SAME FINAL NAME AS ANOTHER ROW","")))</f>
      </c>
      <c r="N437" s="6">
        <v>0</v>
      </c>
      <c r="O437" s="6" t="s">
        <v>2</v>
      </c>
    </row>
    <row r="438" spans="1:15" x14ac:dyDescent="0.25">
      <c r="A438">
        <v>437</v>
      </c>
      <c r="B438" t="s">
        <v>353</v>
      </c>
      <c r="C438" t="s">
        <v>661</v>
      </c>
      <c r="D438" t="s">
        <v>662</v>
      </c>
      <c r="E438" t="s">
        <v>292</v>
      </c>
      <c r="F438" t="s">
        <v>2</v>
      </c>
      <c r="G438" t="s">
        <v>38</v>
      </c>
      <c r="H438" t="s">
        <v>39</v>
      </c>
      <c r="I438" s="5" t="s">
        <v>294</v>
      </c>
      <c r="J438" s="5" t="s">
        <v>2</v>
      </c>
      <c r="K438" s="5" t="s">
        <v>2</v>
      </c>
      <c r="L438" s="6">
        <f>IF(I438="Cut","",IF(I438="Your call","(decide)",IF(I438="Rename",J438,IF(I438="Keep",IF(D438="",E438,D438),IF(E438="(unchanged)",D438,E438)))))</f>
      </c>
      <c r="M438" s="6">
        <f>IF(AND(I438="Cut",N438&gt;0,K438=""),"USED: say what replaces it (Note)",IF(AND(I438="Rename",J438=""),"type the new name",IF(AND(L438&lt;&gt;"",L438&lt;&gt;"(decide)",COUNTIF($L$2:$L$1680,L438)&gt;1),"SAME FINAL NAME AS ANOTHER ROW","")))</f>
      </c>
      <c r="N438" s="6">
        <v>0</v>
      </c>
      <c r="O438" s="6" t="s">
        <v>2</v>
      </c>
    </row>
    <row r="439" spans="1:15" x14ac:dyDescent="0.25">
      <c r="A439">
        <v>438</v>
      </c>
      <c r="B439" t="s">
        <v>353</v>
      </c>
      <c r="C439" t="s">
        <v>661</v>
      </c>
      <c r="D439" t="s">
        <v>663</v>
      </c>
      <c r="E439" t="s">
        <v>292</v>
      </c>
      <c r="F439" t="s">
        <v>2</v>
      </c>
      <c r="G439" t="s">
        <v>38</v>
      </c>
      <c r="H439" t="s">
        <v>39</v>
      </c>
      <c r="I439" s="5" t="s">
        <v>294</v>
      </c>
      <c r="J439" s="5" t="s">
        <v>2</v>
      </c>
      <c r="K439" s="5" t="s">
        <v>2</v>
      </c>
      <c r="L439" s="6">
        <f>IF(I439="Cut","",IF(I439="Your call","(decide)",IF(I439="Rename",J439,IF(I439="Keep",IF(D439="",E439,D439),IF(E439="(unchanged)",D439,E439)))))</f>
      </c>
      <c r="M439" s="6">
        <f>IF(AND(I439="Cut",N439&gt;0,K439=""),"USED: say what replaces it (Note)",IF(AND(I439="Rename",J439=""),"type the new name",IF(AND(L439&lt;&gt;"",L439&lt;&gt;"(decide)",COUNTIF($L$2:$L$1680,L439)&gt;1),"SAME FINAL NAME AS ANOTHER ROW","")))</f>
      </c>
      <c r="N439" s="6">
        <v>0</v>
      </c>
      <c r="O439" s="6" t="s">
        <v>2</v>
      </c>
    </row>
    <row r="440" spans="1:15" x14ac:dyDescent="0.25">
      <c r="A440">
        <v>439</v>
      </c>
      <c r="B440" t="s">
        <v>353</v>
      </c>
      <c r="C440" t="s">
        <v>661</v>
      </c>
      <c r="D440" t="s">
        <v>664</v>
      </c>
      <c r="E440" t="s">
        <v>292</v>
      </c>
      <c r="F440" t="s">
        <v>2</v>
      </c>
      <c r="G440" t="s">
        <v>38</v>
      </c>
      <c r="H440" t="s">
        <v>39</v>
      </c>
      <c r="I440" s="5" t="s">
        <v>294</v>
      </c>
      <c r="J440" s="5" t="s">
        <v>2</v>
      </c>
      <c r="K440" s="5" t="s">
        <v>2</v>
      </c>
      <c r="L440" s="6">
        <f>IF(I440="Cut","",IF(I440="Your call","(decide)",IF(I440="Rename",J440,IF(I440="Keep",IF(D440="",E440,D440),IF(E440="(unchanged)",D440,E440)))))</f>
      </c>
      <c r="M440" s="6">
        <f>IF(AND(I440="Cut",N440&gt;0,K440=""),"USED: say what replaces it (Note)",IF(AND(I440="Rename",J440=""),"type the new name",IF(AND(L440&lt;&gt;"",L440&lt;&gt;"(decide)",COUNTIF($L$2:$L$1680,L440)&gt;1),"SAME FINAL NAME AS ANOTHER ROW","")))</f>
      </c>
      <c r="N440" s="6">
        <v>0</v>
      </c>
      <c r="O440" s="6" t="s">
        <v>2</v>
      </c>
    </row>
    <row r="441" spans="1:15" x14ac:dyDescent="0.25">
      <c r="A441">
        <v>440</v>
      </c>
      <c r="B441" t="s">
        <v>353</v>
      </c>
      <c r="C441" t="s">
        <v>661</v>
      </c>
      <c r="D441" t="s">
        <v>665</v>
      </c>
      <c r="E441" t="s">
        <v>292</v>
      </c>
      <c r="F441" t="s">
        <v>2</v>
      </c>
      <c r="G441" t="s">
        <v>38</v>
      </c>
      <c r="H441" t="s">
        <v>39</v>
      </c>
      <c r="I441" s="5" t="s">
        <v>294</v>
      </c>
      <c r="J441" s="5" t="s">
        <v>2</v>
      </c>
      <c r="K441" s="5" t="s">
        <v>2</v>
      </c>
      <c r="L441" s="6">
        <f>IF(I441="Cut","",IF(I441="Your call","(decide)",IF(I441="Rename",J441,IF(I441="Keep",IF(D441="",E441,D441),IF(E441="(unchanged)",D441,E441)))))</f>
      </c>
      <c r="M441" s="6">
        <f>IF(AND(I441="Cut",N441&gt;0,K441=""),"USED: say what replaces it (Note)",IF(AND(I441="Rename",J441=""),"type the new name",IF(AND(L441&lt;&gt;"",L441&lt;&gt;"(decide)",COUNTIF($L$2:$L$1680,L441)&gt;1),"SAME FINAL NAME AS ANOTHER ROW","")))</f>
      </c>
      <c r="N441" s="6">
        <v>0</v>
      </c>
      <c r="O441" s="6" t="s">
        <v>2</v>
      </c>
    </row>
    <row r="442" spans="1:15" x14ac:dyDescent="0.25">
      <c r="A442">
        <v>441</v>
      </c>
      <c r="B442" t="s">
        <v>353</v>
      </c>
      <c r="C442" t="s">
        <v>661</v>
      </c>
      <c r="D442" t="s">
        <v>666</v>
      </c>
      <c r="E442" t="s">
        <v>292</v>
      </c>
      <c r="F442" t="s">
        <v>2</v>
      </c>
      <c r="G442" t="s">
        <v>38</v>
      </c>
      <c r="H442" t="s">
        <v>39</v>
      </c>
      <c r="I442" s="5" t="s">
        <v>294</v>
      </c>
      <c r="J442" s="5" t="s">
        <v>2</v>
      </c>
      <c r="K442" s="5" t="s">
        <v>2</v>
      </c>
      <c r="L442" s="6">
        <f>IF(I442="Cut","",IF(I442="Your call","(decide)",IF(I442="Rename",J442,IF(I442="Keep",IF(D442="",E442,D442),IF(E442="(unchanged)",D442,E442)))))</f>
      </c>
      <c r="M442" s="6">
        <f>IF(AND(I442="Cut",N442&gt;0,K442=""),"USED: say what replaces it (Note)",IF(AND(I442="Rename",J442=""),"type the new name",IF(AND(L442&lt;&gt;"",L442&lt;&gt;"(decide)",COUNTIF($L$2:$L$1680,L442)&gt;1),"SAME FINAL NAME AS ANOTHER ROW","")))</f>
      </c>
      <c r="N442" s="6">
        <v>0</v>
      </c>
      <c r="O442" s="6" t="s">
        <v>2</v>
      </c>
    </row>
    <row r="443" spans="1:15" x14ac:dyDescent="0.25">
      <c r="A443">
        <v>442</v>
      </c>
      <c r="B443" t="s">
        <v>353</v>
      </c>
      <c r="C443" t="s">
        <v>661</v>
      </c>
      <c r="D443" t="s">
        <v>667</v>
      </c>
      <c r="E443" t="s">
        <v>292</v>
      </c>
      <c r="F443" t="s">
        <v>2</v>
      </c>
      <c r="G443" t="s">
        <v>38</v>
      </c>
      <c r="H443" t="s">
        <v>39</v>
      </c>
      <c r="I443" s="5" t="s">
        <v>294</v>
      </c>
      <c r="J443" s="5" t="s">
        <v>2</v>
      </c>
      <c r="K443" s="5" t="s">
        <v>2</v>
      </c>
      <c r="L443" s="6">
        <f>IF(I443="Cut","",IF(I443="Your call","(decide)",IF(I443="Rename",J443,IF(I443="Keep",IF(D443="",E443,D443),IF(E443="(unchanged)",D443,E443)))))</f>
      </c>
      <c r="M443" s="6">
        <f>IF(AND(I443="Cut",N443&gt;0,K443=""),"USED: say what replaces it (Note)",IF(AND(I443="Rename",J443=""),"type the new name",IF(AND(L443&lt;&gt;"",L443&lt;&gt;"(decide)",COUNTIF($L$2:$L$1680,L443)&gt;1),"SAME FINAL NAME AS ANOTHER ROW","")))</f>
      </c>
      <c r="N443" s="6">
        <v>0</v>
      </c>
      <c r="O443" s="6" t="s">
        <v>2</v>
      </c>
    </row>
    <row r="444" spans="1:15" x14ac:dyDescent="0.25">
      <c r="A444">
        <v>443</v>
      </c>
      <c r="B444" t="s">
        <v>353</v>
      </c>
      <c r="C444" t="s">
        <v>661</v>
      </c>
      <c r="D444" t="s">
        <v>668</v>
      </c>
      <c r="E444" t="s">
        <v>292</v>
      </c>
      <c r="F444" t="s">
        <v>2</v>
      </c>
      <c r="G444" t="s">
        <v>38</v>
      </c>
      <c r="H444" t="s">
        <v>39</v>
      </c>
      <c r="I444" s="5" t="s">
        <v>294</v>
      </c>
      <c r="J444" s="5" t="s">
        <v>2</v>
      </c>
      <c r="K444" s="5" t="s">
        <v>2</v>
      </c>
      <c r="L444" s="6">
        <f>IF(I444="Cut","",IF(I444="Your call","(decide)",IF(I444="Rename",J444,IF(I444="Keep",IF(D444="",E444,D444),IF(E444="(unchanged)",D444,E444)))))</f>
      </c>
      <c r="M444" s="6">
        <f>IF(AND(I444="Cut",N444&gt;0,K444=""),"USED: say what replaces it (Note)",IF(AND(I444="Rename",J444=""),"type the new name",IF(AND(L444&lt;&gt;"",L444&lt;&gt;"(decide)",COUNTIF($L$2:$L$1680,L444)&gt;1),"SAME FINAL NAME AS ANOTHER ROW","")))</f>
      </c>
      <c r="N444" s="6">
        <v>0</v>
      </c>
      <c r="O444" s="6" t="s">
        <v>2</v>
      </c>
    </row>
    <row r="445" spans="1:15" x14ac:dyDescent="0.25">
      <c r="A445">
        <v>444</v>
      </c>
      <c r="B445" t="s">
        <v>353</v>
      </c>
      <c r="C445" t="s">
        <v>669</v>
      </c>
      <c r="D445" t="s">
        <v>670</v>
      </c>
      <c r="E445" t="s">
        <v>292</v>
      </c>
      <c r="F445" t="s">
        <v>2</v>
      </c>
      <c r="G445" t="s">
        <v>38</v>
      </c>
      <c r="H445" t="s">
        <v>39</v>
      </c>
      <c r="I445" s="5" t="s">
        <v>294</v>
      </c>
      <c r="J445" s="5" t="s">
        <v>2</v>
      </c>
      <c r="K445" s="5" t="s">
        <v>2</v>
      </c>
      <c r="L445" s="6">
        <f>IF(I445="Cut","",IF(I445="Your call","(decide)",IF(I445="Rename",J445,IF(I445="Keep",IF(D445="",E445,D445),IF(E445="(unchanged)",D445,E445)))))</f>
      </c>
      <c r="M445" s="6">
        <f>IF(AND(I445="Cut",N445&gt;0,K445=""),"USED: say what replaces it (Note)",IF(AND(I445="Rename",J445=""),"type the new name",IF(AND(L445&lt;&gt;"",L445&lt;&gt;"(decide)",COUNTIF($L$2:$L$1680,L445)&gt;1),"SAME FINAL NAME AS ANOTHER ROW","")))</f>
      </c>
      <c r="N445" s="6">
        <v>0</v>
      </c>
      <c r="O445" s="6" t="s">
        <v>2</v>
      </c>
    </row>
    <row r="446" spans="1:15" x14ac:dyDescent="0.25">
      <c r="A446">
        <v>445</v>
      </c>
      <c r="B446" t="s">
        <v>353</v>
      </c>
      <c r="C446" t="s">
        <v>669</v>
      </c>
      <c r="D446" t="s">
        <v>671</v>
      </c>
      <c r="E446" t="s">
        <v>292</v>
      </c>
      <c r="F446" t="s">
        <v>2</v>
      </c>
      <c r="G446" t="s">
        <v>38</v>
      </c>
      <c r="H446" t="s">
        <v>39</v>
      </c>
      <c r="I446" s="5" t="s">
        <v>294</v>
      </c>
      <c r="J446" s="5" t="s">
        <v>2</v>
      </c>
      <c r="K446" s="5" t="s">
        <v>2</v>
      </c>
      <c r="L446" s="6">
        <f>IF(I446="Cut","",IF(I446="Your call","(decide)",IF(I446="Rename",J446,IF(I446="Keep",IF(D446="",E446,D446),IF(E446="(unchanged)",D446,E446)))))</f>
      </c>
      <c r="M446" s="6">
        <f>IF(AND(I446="Cut",N446&gt;0,K446=""),"USED: say what replaces it (Note)",IF(AND(I446="Rename",J446=""),"type the new name",IF(AND(L446&lt;&gt;"",L446&lt;&gt;"(decide)",COUNTIF($L$2:$L$1680,L446)&gt;1),"SAME FINAL NAME AS ANOTHER ROW","")))</f>
      </c>
      <c r="N446" s="6">
        <v>0</v>
      </c>
      <c r="O446" s="6" t="s">
        <v>2</v>
      </c>
    </row>
    <row r="447" spans="1:15" x14ac:dyDescent="0.25">
      <c r="A447">
        <v>446</v>
      </c>
      <c r="B447" t="s">
        <v>353</v>
      </c>
      <c r="C447" t="s">
        <v>669</v>
      </c>
      <c r="D447" t="s">
        <v>672</v>
      </c>
      <c r="E447" t="s">
        <v>292</v>
      </c>
      <c r="F447" t="s">
        <v>2</v>
      </c>
      <c r="G447" t="s">
        <v>38</v>
      </c>
      <c r="H447" t="s">
        <v>39</v>
      </c>
      <c r="I447" s="5" t="s">
        <v>294</v>
      </c>
      <c r="J447" s="5" t="s">
        <v>2</v>
      </c>
      <c r="K447" s="5" t="s">
        <v>2</v>
      </c>
      <c r="L447" s="6">
        <f>IF(I447="Cut","",IF(I447="Your call","(decide)",IF(I447="Rename",J447,IF(I447="Keep",IF(D447="",E447,D447),IF(E447="(unchanged)",D447,E447)))))</f>
      </c>
      <c r="M447" s="6">
        <f>IF(AND(I447="Cut",N447&gt;0,K447=""),"USED: say what replaces it (Note)",IF(AND(I447="Rename",J447=""),"type the new name",IF(AND(L447&lt;&gt;"",L447&lt;&gt;"(decide)",COUNTIF($L$2:$L$1680,L447)&gt;1),"SAME FINAL NAME AS ANOTHER ROW","")))</f>
      </c>
      <c r="N447" s="6">
        <v>0</v>
      </c>
      <c r="O447" s="6" t="s">
        <v>2</v>
      </c>
    </row>
    <row r="448" spans="1:15" x14ac:dyDescent="0.25">
      <c r="A448">
        <v>447</v>
      </c>
      <c r="B448" t="s">
        <v>353</v>
      </c>
      <c r="C448" t="s">
        <v>669</v>
      </c>
      <c r="D448" t="s">
        <v>673</v>
      </c>
      <c r="E448" t="s">
        <v>292</v>
      </c>
      <c r="F448" t="s">
        <v>2</v>
      </c>
      <c r="G448" t="s">
        <v>38</v>
      </c>
      <c r="H448" t="s">
        <v>39</v>
      </c>
      <c r="I448" s="5" t="s">
        <v>294</v>
      </c>
      <c r="J448" s="5" t="s">
        <v>2</v>
      </c>
      <c r="K448" s="5" t="s">
        <v>2</v>
      </c>
      <c r="L448" s="6">
        <f>IF(I448="Cut","",IF(I448="Your call","(decide)",IF(I448="Rename",J448,IF(I448="Keep",IF(D448="",E448,D448),IF(E448="(unchanged)",D448,E448)))))</f>
      </c>
      <c r="M448" s="6">
        <f>IF(AND(I448="Cut",N448&gt;0,K448=""),"USED: say what replaces it (Note)",IF(AND(I448="Rename",J448=""),"type the new name",IF(AND(L448&lt;&gt;"",L448&lt;&gt;"(decide)",COUNTIF($L$2:$L$1680,L448)&gt;1),"SAME FINAL NAME AS ANOTHER ROW","")))</f>
      </c>
      <c r="N448" s="6">
        <v>0</v>
      </c>
      <c r="O448" s="6" t="s">
        <v>2</v>
      </c>
    </row>
    <row r="449" spans="1:15" x14ac:dyDescent="0.25">
      <c r="A449">
        <v>448</v>
      </c>
      <c r="B449" t="s">
        <v>353</v>
      </c>
      <c r="C449" t="s">
        <v>669</v>
      </c>
      <c r="D449" t="s">
        <v>674</v>
      </c>
      <c r="E449" t="s">
        <v>292</v>
      </c>
      <c r="F449" t="s">
        <v>2</v>
      </c>
      <c r="G449" t="s">
        <v>38</v>
      </c>
      <c r="H449" t="s">
        <v>39</v>
      </c>
      <c r="I449" s="5" t="s">
        <v>294</v>
      </c>
      <c r="J449" s="5" t="s">
        <v>2</v>
      </c>
      <c r="K449" s="5" t="s">
        <v>2</v>
      </c>
      <c r="L449" s="6">
        <f>IF(I449="Cut","",IF(I449="Your call","(decide)",IF(I449="Rename",J449,IF(I449="Keep",IF(D449="",E449,D449),IF(E449="(unchanged)",D449,E449)))))</f>
      </c>
      <c r="M449" s="6">
        <f>IF(AND(I449="Cut",N449&gt;0,K449=""),"USED: say what replaces it (Note)",IF(AND(I449="Rename",J449=""),"type the new name",IF(AND(L449&lt;&gt;"",L449&lt;&gt;"(decide)",COUNTIF($L$2:$L$1680,L449)&gt;1),"SAME FINAL NAME AS ANOTHER ROW","")))</f>
      </c>
      <c r="N449" s="6">
        <v>0</v>
      </c>
      <c r="O449" s="6" t="s">
        <v>2</v>
      </c>
    </row>
    <row r="450" spans="1:15" x14ac:dyDescent="0.25">
      <c r="A450">
        <v>449</v>
      </c>
      <c r="B450" t="s">
        <v>353</v>
      </c>
      <c r="C450" t="s">
        <v>669</v>
      </c>
      <c r="D450" t="s">
        <v>675</v>
      </c>
      <c r="E450" t="s">
        <v>292</v>
      </c>
      <c r="F450" t="s">
        <v>2</v>
      </c>
      <c r="G450" t="s">
        <v>38</v>
      </c>
      <c r="H450" t="s">
        <v>39</v>
      </c>
      <c r="I450" s="5" t="s">
        <v>294</v>
      </c>
      <c r="J450" s="5" t="s">
        <v>2</v>
      </c>
      <c r="K450" s="5" t="s">
        <v>2</v>
      </c>
      <c r="L450" s="6">
        <f>IF(I450="Cut","",IF(I450="Your call","(decide)",IF(I450="Rename",J450,IF(I450="Keep",IF(D450="",E450,D450),IF(E450="(unchanged)",D450,E450)))))</f>
      </c>
      <c r="M450" s="6">
        <f>IF(AND(I450="Cut",N450&gt;0,K450=""),"USED: say what replaces it (Note)",IF(AND(I450="Rename",J450=""),"type the new name",IF(AND(L450&lt;&gt;"",L450&lt;&gt;"(decide)",COUNTIF($L$2:$L$1680,L450)&gt;1),"SAME FINAL NAME AS ANOTHER ROW","")))</f>
      </c>
      <c r="N450" s="6">
        <v>0</v>
      </c>
      <c r="O450" s="6" t="s">
        <v>2</v>
      </c>
    </row>
    <row r="451" spans="1:15" x14ac:dyDescent="0.25">
      <c r="A451">
        <v>450</v>
      </c>
      <c r="B451" t="s">
        <v>353</v>
      </c>
      <c r="C451" t="s">
        <v>669</v>
      </c>
      <c r="D451" t="s">
        <v>676</v>
      </c>
      <c r="E451" t="s">
        <v>292</v>
      </c>
      <c r="F451" t="s">
        <v>2</v>
      </c>
      <c r="G451" t="s">
        <v>38</v>
      </c>
      <c r="H451" t="s">
        <v>39</v>
      </c>
      <c r="I451" s="5" t="s">
        <v>294</v>
      </c>
      <c r="J451" s="5" t="s">
        <v>2</v>
      </c>
      <c r="K451" s="5" t="s">
        <v>2</v>
      </c>
      <c r="L451" s="6">
        <f>IF(I451="Cut","",IF(I451="Your call","(decide)",IF(I451="Rename",J451,IF(I451="Keep",IF(D451="",E451,D451),IF(E451="(unchanged)",D451,E451)))))</f>
      </c>
      <c r="M451" s="6">
        <f>IF(AND(I451="Cut",N451&gt;0,K451=""),"USED: say what replaces it (Note)",IF(AND(I451="Rename",J451=""),"type the new name",IF(AND(L451&lt;&gt;"",L451&lt;&gt;"(decide)",COUNTIF($L$2:$L$1680,L451)&gt;1),"SAME FINAL NAME AS ANOTHER ROW","")))</f>
      </c>
      <c r="N451" s="6">
        <v>0</v>
      </c>
      <c r="O451" s="6" t="s">
        <v>2</v>
      </c>
    </row>
    <row r="452" spans="1:15" x14ac:dyDescent="0.25">
      <c r="A452">
        <v>451</v>
      </c>
      <c r="B452" t="s">
        <v>353</v>
      </c>
      <c r="C452" t="s">
        <v>669</v>
      </c>
      <c r="D452" t="s">
        <v>677</v>
      </c>
      <c r="E452" t="s">
        <v>292</v>
      </c>
      <c r="F452" t="s">
        <v>2</v>
      </c>
      <c r="G452" t="s">
        <v>38</v>
      </c>
      <c r="H452" t="s">
        <v>39</v>
      </c>
      <c r="I452" s="5" t="s">
        <v>294</v>
      </c>
      <c r="J452" s="5" t="s">
        <v>2</v>
      </c>
      <c r="K452" s="5" t="s">
        <v>2</v>
      </c>
      <c r="L452" s="6">
        <f>IF(I452="Cut","",IF(I452="Your call","(decide)",IF(I452="Rename",J452,IF(I452="Keep",IF(D452="",E452,D452),IF(E452="(unchanged)",D452,E452)))))</f>
      </c>
      <c r="M452" s="6">
        <f>IF(AND(I452="Cut",N452&gt;0,K452=""),"USED: say what replaces it (Note)",IF(AND(I452="Rename",J452=""),"type the new name",IF(AND(L452&lt;&gt;"",L452&lt;&gt;"(decide)",COUNTIF($L$2:$L$1680,L452)&gt;1),"SAME FINAL NAME AS ANOTHER ROW","")))</f>
      </c>
      <c r="N452" s="6">
        <v>0</v>
      </c>
      <c r="O452" s="6" t="s">
        <v>2</v>
      </c>
    </row>
    <row r="453" spans="1:15" x14ac:dyDescent="0.25">
      <c r="A453">
        <v>452</v>
      </c>
      <c r="B453" t="s">
        <v>353</v>
      </c>
      <c r="C453" t="s">
        <v>669</v>
      </c>
      <c r="D453" t="s">
        <v>678</v>
      </c>
      <c r="E453" t="s">
        <v>292</v>
      </c>
      <c r="F453" t="s">
        <v>2</v>
      </c>
      <c r="G453" t="s">
        <v>38</v>
      </c>
      <c r="H453" t="s">
        <v>39</v>
      </c>
      <c r="I453" s="5" t="s">
        <v>294</v>
      </c>
      <c r="J453" s="5" t="s">
        <v>2</v>
      </c>
      <c r="K453" s="5" t="s">
        <v>2</v>
      </c>
      <c r="L453" s="6">
        <f>IF(I453="Cut","",IF(I453="Your call","(decide)",IF(I453="Rename",J453,IF(I453="Keep",IF(D453="",E453,D453),IF(E453="(unchanged)",D453,E453)))))</f>
      </c>
      <c r="M453" s="6">
        <f>IF(AND(I453="Cut",N453&gt;0,K453=""),"USED: say what replaces it (Note)",IF(AND(I453="Rename",J453=""),"type the new name",IF(AND(L453&lt;&gt;"",L453&lt;&gt;"(decide)",COUNTIF($L$2:$L$1680,L453)&gt;1),"SAME FINAL NAME AS ANOTHER ROW","")))</f>
      </c>
      <c r="N453" s="6">
        <v>0</v>
      </c>
      <c r="O453" s="6" t="s">
        <v>2</v>
      </c>
    </row>
    <row r="454" spans="1:15" x14ac:dyDescent="0.25">
      <c r="A454">
        <v>453</v>
      </c>
      <c r="B454" t="s">
        <v>353</v>
      </c>
      <c r="C454" t="s">
        <v>679</v>
      </c>
      <c r="D454" t="s">
        <v>680</v>
      </c>
      <c r="E454" t="s">
        <v>292</v>
      </c>
      <c r="F454" t="s">
        <v>2</v>
      </c>
      <c r="G454" t="s">
        <v>38</v>
      </c>
      <c r="H454" t="s">
        <v>39</v>
      </c>
      <c r="I454" s="5" t="s">
        <v>294</v>
      </c>
      <c r="J454" s="5" t="s">
        <v>2</v>
      </c>
      <c r="K454" s="5" t="s">
        <v>2</v>
      </c>
      <c r="L454" s="6">
        <f>IF(I454="Cut","",IF(I454="Your call","(decide)",IF(I454="Rename",J454,IF(I454="Keep",IF(D454="",E454,D454),IF(E454="(unchanged)",D454,E454)))))</f>
      </c>
      <c r="M454" s="6">
        <f>IF(AND(I454="Cut",N454&gt;0,K454=""),"USED: say what replaces it (Note)",IF(AND(I454="Rename",J454=""),"type the new name",IF(AND(L454&lt;&gt;"",L454&lt;&gt;"(decide)",COUNTIF($L$2:$L$1680,L454)&gt;1),"SAME FINAL NAME AS ANOTHER ROW","")))</f>
      </c>
      <c r="N454" s="6">
        <v>0</v>
      </c>
      <c r="O454" s="6" t="s">
        <v>2</v>
      </c>
    </row>
    <row r="455" spans="1:15" x14ac:dyDescent="0.25">
      <c r="A455">
        <v>454</v>
      </c>
      <c r="B455" t="s">
        <v>353</v>
      </c>
      <c r="C455" t="s">
        <v>679</v>
      </c>
      <c r="D455" t="s">
        <v>681</v>
      </c>
      <c r="E455" t="s">
        <v>292</v>
      </c>
      <c r="F455" t="s">
        <v>2</v>
      </c>
      <c r="G455" t="s">
        <v>38</v>
      </c>
      <c r="H455" t="s">
        <v>39</v>
      </c>
      <c r="I455" s="5" t="s">
        <v>294</v>
      </c>
      <c r="J455" s="5" t="s">
        <v>2</v>
      </c>
      <c r="K455" s="5" t="s">
        <v>2</v>
      </c>
      <c r="L455" s="6">
        <f>IF(I455="Cut","",IF(I455="Your call","(decide)",IF(I455="Rename",J455,IF(I455="Keep",IF(D455="",E455,D455),IF(E455="(unchanged)",D455,E455)))))</f>
      </c>
      <c r="M455" s="6">
        <f>IF(AND(I455="Cut",N455&gt;0,K455=""),"USED: say what replaces it (Note)",IF(AND(I455="Rename",J455=""),"type the new name",IF(AND(L455&lt;&gt;"",L455&lt;&gt;"(decide)",COUNTIF($L$2:$L$1680,L455)&gt;1),"SAME FINAL NAME AS ANOTHER ROW","")))</f>
      </c>
      <c r="N455" s="6">
        <v>0</v>
      </c>
      <c r="O455" s="6" t="s">
        <v>2</v>
      </c>
    </row>
    <row r="456" spans="1:15" x14ac:dyDescent="0.25">
      <c r="A456">
        <v>455</v>
      </c>
      <c r="B456" t="s">
        <v>353</v>
      </c>
      <c r="C456" t="s">
        <v>679</v>
      </c>
      <c r="D456" t="s">
        <v>682</v>
      </c>
      <c r="E456" t="s">
        <v>292</v>
      </c>
      <c r="F456" t="s">
        <v>2</v>
      </c>
      <c r="G456" t="s">
        <v>38</v>
      </c>
      <c r="H456" t="s">
        <v>39</v>
      </c>
      <c r="I456" s="5" t="s">
        <v>294</v>
      </c>
      <c r="J456" s="5" t="s">
        <v>2</v>
      </c>
      <c r="K456" s="5" t="s">
        <v>2</v>
      </c>
      <c r="L456" s="6">
        <f>IF(I456="Cut","",IF(I456="Your call","(decide)",IF(I456="Rename",J456,IF(I456="Keep",IF(D456="",E456,D456),IF(E456="(unchanged)",D456,E456)))))</f>
      </c>
      <c r="M456" s="6">
        <f>IF(AND(I456="Cut",N456&gt;0,K456=""),"USED: say what replaces it (Note)",IF(AND(I456="Rename",J456=""),"type the new name",IF(AND(L456&lt;&gt;"",L456&lt;&gt;"(decide)",COUNTIF($L$2:$L$1680,L456)&gt;1),"SAME FINAL NAME AS ANOTHER ROW","")))</f>
      </c>
      <c r="N456" s="6">
        <v>0</v>
      </c>
      <c r="O456" s="6" t="s">
        <v>2</v>
      </c>
    </row>
    <row r="457" spans="1:15" x14ac:dyDescent="0.25">
      <c r="A457">
        <v>456</v>
      </c>
      <c r="B457" t="s">
        <v>353</v>
      </c>
      <c r="C457" t="s">
        <v>679</v>
      </c>
      <c r="D457" t="s">
        <v>683</v>
      </c>
      <c r="E457" t="s">
        <v>292</v>
      </c>
      <c r="F457" t="s">
        <v>2</v>
      </c>
      <c r="G457" t="s">
        <v>38</v>
      </c>
      <c r="H457" t="s">
        <v>39</v>
      </c>
      <c r="I457" s="5" t="s">
        <v>294</v>
      </c>
      <c r="J457" s="5" t="s">
        <v>2</v>
      </c>
      <c r="K457" s="5" t="s">
        <v>2</v>
      </c>
      <c r="L457" s="6">
        <f>IF(I457="Cut","",IF(I457="Your call","(decide)",IF(I457="Rename",J457,IF(I457="Keep",IF(D457="",E457,D457),IF(E457="(unchanged)",D457,E457)))))</f>
      </c>
      <c r="M457" s="6">
        <f>IF(AND(I457="Cut",N457&gt;0,K457=""),"USED: say what replaces it (Note)",IF(AND(I457="Rename",J457=""),"type the new name",IF(AND(L457&lt;&gt;"",L457&lt;&gt;"(decide)",COUNTIF($L$2:$L$1680,L457)&gt;1),"SAME FINAL NAME AS ANOTHER ROW","")))</f>
      </c>
      <c r="N457" s="6">
        <v>0</v>
      </c>
      <c r="O457" s="6" t="s">
        <v>2</v>
      </c>
    </row>
    <row r="458" spans="1:15" x14ac:dyDescent="0.25">
      <c r="A458">
        <v>457</v>
      </c>
      <c r="B458" t="s">
        <v>353</v>
      </c>
      <c r="C458" t="s">
        <v>679</v>
      </c>
      <c r="D458" t="s">
        <v>684</v>
      </c>
      <c r="E458" t="s">
        <v>292</v>
      </c>
      <c r="F458" t="s">
        <v>2</v>
      </c>
      <c r="G458" t="s">
        <v>38</v>
      </c>
      <c r="H458" t="s">
        <v>39</v>
      </c>
      <c r="I458" s="5" t="s">
        <v>294</v>
      </c>
      <c r="J458" s="5" t="s">
        <v>2</v>
      </c>
      <c r="K458" s="5" t="s">
        <v>2</v>
      </c>
      <c r="L458" s="6">
        <f>IF(I458="Cut","",IF(I458="Your call","(decide)",IF(I458="Rename",J458,IF(I458="Keep",IF(D458="",E458,D458),IF(E458="(unchanged)",D458,E458)))))</f>
      </c>
      <c r="M458" s="6">
        <f>IF(AND(I458="Cut",N458&gt;0,K458=""),"USED: say what replaces it (Note)",IF(AND(I458="Rename",J458=""),"type the new name",IF(AND(L458&lt;&gt;"",L458&lt;&gt;"(decide)",COUNTIF($L$2:$L$1680,L458)&gt;1),"SAME FINAL NAME AS ANOTHER ROW","")))</f>
      </c>
      <c r="N458" s="6">
        <v>0</v>
      </c>
      <c r="O458" s="6" t="s">
        <v>2</v>
      </c>
    </row>
    <row r="459" spans="1:15" x14ac:dyDescent="0.25">
      <c r="A459">
        <v>458</v>
      </c>
      <c r="B459" t="s">
        <v>353</v>
      </c>
      <c r="C459" t="s">
        <v>679</v>
      </c>
      <c r="D459" t="s">
        <v>685</v>
      </c>
      <c r="E459" t="s">
        <v>292</v>
      </c>
      <c r="F459" t="s">
        <v>2</v>
      </c>
      <c r="G459" t="s">
        <v>38</v>
      </c>
      <c r="H459" t="s">
        <v>39</v>
      </c>
      <c r="I459" s="5" t="s">
        <v>294</v>
      </c>
      <c r="J459" s="5" t="s">
        <v>2</v>
      </c>
      <c r="K459" s="5" t="s">
        <v>2</v>
      </c>
      <c r="L459" s="6">
        <f>IF(I459="Cut","",IF(I459="Your call","(decide)",IF(I459="Rename",J459,IF(I459="Keep",IF(D459="",E459,D459),IF(E459="(unchanged)",D459,E459)))))</f>
      </c>
      <c r="M459" s="6">
        <f>IF(AND(I459="Cut",N459&gt;0,K459=""),"USED: say what replaces it (Note)",IF(AND(I459="Rename",J459=""),"type the new name",IF(AND(L459&lt;&gt;"",L459&lt;&gt;"(decide)",COUNTIF($L$2:$L$1680,L459)&gt;1),"SAME FINAL NAME AS ANOTHER ROW","")))</f>
      </c>
      <c r="N459" s="6">
        <v>0</v>
      </c>
      <c r="O459" s="6" t="s">
        <v>2</v>
      </c>
    </row>
    <row r="460" spans="1:15" x14ac:dyDescent="0.25">
      <c r="A460">
        <v>459</v>
      </c>
      <c r="B460" t="s">
        <v>353</v>
      </c>
      <c r="C460" t="s">
        <v>679</v>
      </c>
      <c r="D460" t="s">
        <v>686</v>
      </c>
      <c r="E460" t="s">
        <v>292</v>
      </c>
      <c r="F460" t="s">
        <v>2</v>
      </c>
      <c r="G460" t="s">
        <v>38</v>
      </c>
      <c r="H460" t="s">
        <v>39</v>
      </c>
      <c r="I460" s="5" t="s">
        <v>294</v>
      </c>
      <c r="J460" s="5" t="s">
        <v>2</v>
      </c>
      <c r="K460" s="5" t="s">
        <v>2</v>
      </c>
      <c r="L460" s="6">
        <f>IF(I460="Cut","",IF(I460="Your call","(decide)",IF(I460="Rename",J460,IF(I460="Keep",IF(D460="",E460,D460),IF(E460="(unchanged)",D460,E460)))))</f>
      </c>
      <c r="M460" s="6">
        <f>IF(AND(I460="Cut",N460&gt;0,K460=""),"USED: say what replaces it (Note)",IF(AND(I460="Rename",J460=""),"type the new name",IF(AND(L460&lt;&gt;"",L460&lt;&gt;"(decide)",COUNTIF($L$2:$L$1680,L460)&gt;1),"SAME FINAL NAME AS ANOTHER ROW","")))</f>
      </c>
      <c r="N460" s="6">
        <v>0</v>
      </c>
      <c r="O460" s="6" t="s">
        <v>2</v>
      </c>
    </row>
    <row r="461" spans="1:15" x14ac:dyDescent="0.25">
      <c r="A461">
        <v>460</v>
      </c>
      <c r="B461" t="s">
        <v>353</v>
      </c>
      <c r="C461" t="s">
        <v>679</v>
      </c>
      <c r="D461" t="s">
        <v>687</v>
      </c>
      <c r="E461" t="s">
        <v>292</v>
      </c>
      <c r="F461" t="s">
        <v>2</v>
      </c>
      <c r="G461" t="s">
        <v>38</v>
      </c>
      <c r="H461" t="s">
        <v>39</v>
      </c>
      <c r="I461" s="5" t="s">
        <v>294</v>
      </c>
      <c r="J461" s="5" t="s">
        <v>2</v>
      </c>
      <c r="K461" s="5" t="s">
        <v>2</v>
      </c>
      <c r="L461" s="6">
        <f>IF(I461="Cut","",IF(I461="Your call","(decide)",IF(I461="Rename",J461,IF(I461="Keep",IF(D461="",E461,D461),IF(E461="(unchanged)",D461,E461)))))</f>
      </c>
      <c r="M461" s="6">
        <f>IF(AND(I461="Cut",N461&gt;0,K461=""),"USED: say what replaces it (Note)",IF(AND(I461="Rename",J461=""),"type the new name",IF(AND(L461&lt;&gt;"",L461&lt;&gt;"(decide)",COUNTIF($L$2:$L$1680,L461)&gt;1),"SAME FINAL NAME AS ANOTHER ROW","")))</f>
      </c>
      <c r="N461" s="6">
        <v>0</v>
      </c>
      <c r="O461" s="6" t="s">
        <v>2</v>
      </c>
    </row>
    <row r="462" spans="1:15" x14ac:dyDescent="0.25">
      <c r="A462">
        <v>461</v>
      </c>
      <c r="B462" t="s">
        <v>353</v>
      </c>
      <c r="C462" t="s">
        <v>679</v>
      </c>
      <c r="D462" t="s">
        <v>688</v>
      </c>
      <c r="E462" t="s">
        <v>292</v>
      </c>
      <c r="F462" t="s">
        <v>2</v>
      </c>
      <c r="G462" t="s">
        <v>38</v>
      </c>
      <c r="H462" t="s">
        <v>39</v>
      </c>
      <c r="I462" s="5" t="s">
        <v>294</v>
      </c>
      <c r="J462" s="5" t="s">
        <v>2</v>
      </c>
      <c r="K462" s="5" t="s">
        <v>2</v>
      </c>
      <c r="L462" s="6">
        <f>IF(I462="Cut","",IF(I462="Your call","(decide)",IF(I462="Rename",J462,IF(I462="Keep",IF(D462="",E462,D462),IF(E462="(unchanged)",D462,E462)))))</f>
      </c>
      <c r="M462" s="6">
        <f>IF(AND(I462="Cut",N462&gt;0,K462=""),"USED: say what replaces it (Note)",IF(AND(I462="Rename",J462=""),"type the new name",IF(AND(L462&lt;&gt;"",L462&lt;&gt;"(decide)",COUNTIF($L$2:$L$1680,L462)&gt;1),"SAME FINAL NAME AS ANOTHER ROW","")))</f>
      </c>
      <c r="N462" s="6">
        <v>0</v>
      </c>
      <c r="O462" s="6" t="s">
        <v>2</v>
      </c>
    </row>
    <row r="463" spans="1:15" x14ac:dyDescent="0.25">
      <c r="A463">
        <v>462</v>
      </c>
      <c r="B463" t="s">
        <v>353</v>
      </c>
      <c r="C463" t="s">
        <v>689</v>
      </c>
      <c r="D463" t="s">
        <v>690</v>
      </c>
      <c r="E463" t="s">
        <v>292</v>
      </c>
      <c r="F463" t="s">
        <v>2</v>
      </c>
      <c r="G463" t="s">
        <v>38</v>
      </c>
      <c r="H463" t="s">
        <v>39</v>
      </c>
      <c r="I463" s="5" t="s">
        <v>294</v>
      </c>
      <c r="J463" s="5" t="s">
        <v>2</v>
      </c>
      <c r="K463" s="5" t="s">
        <v>2</v>
      </c>
      <c r="L463" s="6">
        <f>IF(I463="Cut","",IF(I463="Your call","(decide)",IF(I463="Rename",J463,IF(I463="Keep",IF(D463="",E463,D463),IF(E463="(unchanged)",D463,E463)))))</f>
      </c>
      <c r="M463" s="6">
        <f>IF(AND(I463="Cut",N463&gt;0,K463=""),"USED: say what replaces it (Note)",IF(AND(I463="Rename",J463=""),"type the new name",IF(AND(L463&lt;&gt;"",L463&lt;&gt;"(decide)",COUNTIF($L$2:$L$1680,L463)&gt;1),"SAME FINAL NAME AS ANOTHER ROW","")))</f>
      </c>
      <c r="N463" s="6">
        <v>0</v>
      </c>
      <c r="O463" s="6" t="s">
        <v>2</v>
      </c>
    </row>
    <row r="464" spans="1:15" x14ac:dyDescent="0.25">
      <c r="A464">
        <v>463</v>
      </c>
      <c r="B464" t="s">
        <v>353</v>
      </c>
      <c r="C464" t="s">
        <v>689</v>
      </c>
      <c r="D464" t="s">
        <v>691</v>
      </c>
      <c r="E464" t="s">
        <v>292</v>
      </c>
      <c r="F464" t="s">
        <v>2</v>
      </c>
      <c r="G464" t="s">
        <v>38</v>
      </c>
      <c r="H464" t="s">
        <v>39</v>
      </c>
      <c r="I464" s="5" t="s">
        <v>294</v>
      </c>
      <c r="J464" s="5" t="s">
        <v>2</v>
      </c>
      <c r="K464" s="5" t="s">
        <v>2</v>
      </c>
      <c r="L464" s="6">
        <f>IF(I464="Cut","",IF(I464="Your call","(decide)",IF(I464="Rename",J464,IF(I464="Keep",IF(D464="",E464,D464),IF(E464="(unchanged)",D464,E464)))))</f>
      </c>
      <c r="M464" s="6">
        <f>IF(AND(I464="Cut",N464&gt;0,K464=""),"USED: say what replaces it (Note)",IF(AND(I464="Rename",J464=""),"type the new name",IF(AND(L464&lt;&gt;"",L464&lt;&gt;"(decide)",COUNTIF($L$2:$L$1680,L464)&gt;1),"SAME FINAL NAME AS ANOTHER ROW","")))</f>
      </c>
      <c r="N464" s="6">
        <v>0</v>
      </c>
      <c r="O464" s="6" t="s">
        <v>2</v>
      </c>
    </row>
    <row r="465" spans="1:15" x14ac:dyDescent="0.25">
      <c r="A465">
        <v>464</v>
      </c>
      <c r="B465" t="s">
        <v>353</v>
      </c>
      <c r="C465" t="s">
        <v>689</v>
      </c>
      <c r="D465" t="s">
        <v>692</v>
      </c>
      <c r="E465" t="s">
        <v>292</v>
      </c>
      <c r="F465" t="s">
        <v>2</v>
      </c>
      <c r="G465" t="s">
        <v>38</v>
      </c>
      <c r="H465" t="s">
        <v>39</v>
      </c>
      <c r="I465" s="5" t="s">
        <v>294</v>
      </c>
      <c r="J465" s="5" t="s">
        <v>2</v>
      </c>
      <c r="K465" s="5" t="s">
        <v>2</v>
      </c>
      <c r="L465" s="6">
        <f>IF(I465="Cut","",IF(I465="Your call","(decide)",IF(I465="Rename",J465,IF(I465="Keep",IF(D465="",E465,D465),IF(E465="(unchanged)",D465,E465)))))</f>
      </c>
      <c r="M465" s="6">
        <f>IF(AND(I465="Cut",N465&gt;0,K465=""),"USED: say what replaces it (Note)",IF(AND(I465="Rename",J465=""),"type the new name",IF(AND(L465&lt;&gt;"",L465&lt;&gt;"(decide)",COUNTIF($L$2:$L$1680,L465)&gt;1),"SAME FINAL NAME AS ANOTHER ROW","")))</f>
      </c>
      <c r="N465" s="6">
        <v>0</v>
      </c>
      <c r="O465" s="6" t="s">
        <v>2</v>
      </c>
    </row>
    <row r="466" spans="1:15" x14ac:dyDescent="0.25">
      <c r="A466">
        <v>465</v>
      </c>
      <c r="B466" t="s">
        <v>353</v>
      </c>
      <c r="C466" t="s">
        <v>689</v>
      </c>
      <c r="D466" t="s">
        <v>693</v>
      </c>
      <c r="E466" t="s">
        <v>292</v>
      </c>
      <c r="F466" t="s">
        <v>2</v>
      </c>
      <c r="G466" t="s">
        <v>38</v>
      </c>
      <c r="H466" t="s">
        <v>39</v>
      </c>
      <c r="I466" s="5" t="s">
        <v>294</v>
      </c>
      <c r="J466" s="5" t="s">
        <v>2</v>
      </c>
      <c r="K466" s="5" t="s">
        <v>2</v>
      </c>
      <c r="L466" s="6">
        <f>IF(I466="Cut","",IF(I466="Your call","(decide)",IF(I466="Rename",J466,IF(I466="Keep",IF(D466="",E466,D466),IF(E466="(unchanged)",D466,E466)))))</f>
      </c>
      <c r="M466" s="6">
        <f>IF(AND(I466="Cut",N466&gt;0,K466=""),"USED: say what replaces it (Note)",IF(AND(I466="Rename",J466=""),"type the new name",IF(AND(L466&lt;&gt;"",L466&lt;&gt;"(decide)",COUNTIF($L$2:$L$1680,L466)&gt;1),"SAME FINAL NAME AS ANOTHER ROW","")))</f>
      </c>
      <c r="N466" s="6">
        <v>0</v>
      </c>
      <c r="O466" s="6" t="s">
        <v>2</v>
      </c>
    </row>
    <row r="467" spans="1:15" x14ac:dyDescent="0.25">
      <c r="A467">
        <v>466</v>
      </c>
      <c r="B467" t="s">
        <v>353</v>
      </c>
      <c r="C467" t="s">
        <v>689</v>
      </c>
      <c r="D467" t="s">
        <v>694</v>
      </c>
      <c r="E467" t="s">
        <v>292</v>
      </c>
      <c r="F467" t="s">
        <v>2</v>
      </c>
      <c r="G467" t="s">
        <v>38</v>
      </c>
      <c r="H467" t="s">
        <v>39</v>
      </c>
      <c r="I467" s="5" t="s">
        <v>294</v>
      </c>
      <c r="J467" s="5" t="s">
        <v>2</v>
      </c>
      <c r="K467" s="5" t="s">
        <v>2</v>
      </c>
      <c r="L467" s="6">
        <f>IF(I467="Cut","",IF(I467="Your call","(decide)",IF(I467="Rename",J467,IF(I467="Keep",IF(D467="",E467,D467),IF(E467="(unchanged)",D467,E467)))))</f>
      </c>
      <c r="M467" s="6">
        <f>IF(AND(I467="Cut",N467&gt;0,K467=""),"USED: say what replaces it (Note)",IF(AND(I467="Rename",J467=""),"type the new name",IF(AND(L467&lt;&gt;"",L467&lt;&gt;"(decide)",COUNTIF($L$2:$L$1680,L467)&gt;1),"SAME FINAL NAME AS ANOTHER ROW","")))</f>
      </c>
      <c r="N467" s="6">
        <v>0</v>
      </c>
      <c r="O467" s="6" t="s">
        <v>2</v>
      </c>
    </row>
    <row r="468" spans="1:15" x14ac:dyDescent="0.25">
      <c r="A468">
        <v>467</v>
      </c>
      <c r="B468" t="s">
        <v>353</v>
      </c>
      <c r="C468" t="s">
        <v>689</v>
      </c>
      <c r="D468" t="s">
        <v>695</v>
      </c>
      <c r="E468" t="s">
        <v>292</v>
      </c>
      <c r="F468" t="s">
        <v>2</v>
      </c>
      <c r="G468" t="s">
        <v>38</v>
      </c>
      <c r="H468" t="s">
        <v>39</v>
      </c>
      <c r="I468" s="5" t="s">
        <v>294</v>
      </c>
      <c r="J468" s="5" t="s">
        <v>2</v>
      </c>
      <c r="K468" s="5" t="s">
        <v>2</v>
      </c>
      <c r="L468" s="6">
        <f>IF(I468="Cut","",IF(I468="Your call","(decide)",IF(I468="Rename",J468,IF(I468="Keep",IF(D468="",E468,D468),IF(E468="(unchanged)",D468,E468)))))</f>
      </c>
      <c r="M468" s="6">
        <f>IF(AND(I468="Cut",N468&gt;0,K468=""),"USED: say what replaces it (Note)",IF(AND(I468="Rename",J468=""),"type the new name",IF(AND(L468&lt;&gt;"",L468&lt;&gt;"(decide)",COUNTIF($L$2:$L$1680,L468)&gt;1),"SAME FINAL NAME AS ANOTHER ROW","")))</f>
      </c>
      <c r="N468" s="6">
        <v>0</v>
      </c>
      <c r="O468" s="6" t="s">
        <v>2</v>
      </c>
    </row>
    <row r="469" spans="1:15" x14ac:dyDescent="0.25">
      <c r="A469">
        <v>468</v>
      </c>
      <c r="B469" t="s">
        <v>353</v>
      </c>
      <c r="C469" t="s">
        <v>689</v>
      </c>
      <c r="D469" t="s">
        <v>696</v>
      </c>
      <c r="E469" t="s">
        <v>292</v>
      </c>
      <c r="F469" t="s">
        <v>2</v>
      </c>
      <c r="G469" t="s">
        <v>38</v>
      </c>
      <c r="H469" t="s">
        <v>39</v>
      </c>
      <c r="I469" s="5" t="s">
        <v>294</v>
      </c>
      <c r="J469" s="5" t="s">
        <v>2</v>
      </c>
      <c r="K469" s="5" t="s">
        <v>2</v>
      </c>
      <c r="L469" s="6">
        <f>IF(I469="Cut","",IF(I469="Your call","(decide)",IF(I469="Rename",J469,IF(I469="Keep",IF(D469="",E469,D469),IF(E469="(unchanged)",D469,E469)))))</f>
      </c>
      <c r="M469" s="6">
        <f>IF(AND(I469="Cut",N469&gt;0,K469=""),"USED: say what replaces it (Note)",IF(AND(I469="Rename",J469=""),"type the new name",IF(AND(L469&lt;&gt;"",L469&lt;&gt;"(decide)",COUNTIF($L$2:$L$1680,L469)&gt;1),"SAME FINAL NAME AS ANOTHER ROW","")))</f>
      </c>
      <c r="N469" s="6">
        <v>0</v>
      </c>
      <c r="O469" s="6" t="s">
        <v>2</v>
      </c>
    </row>
    <row r="470" spans="1:15" x14ac:dyDescent="0.25">
      <c r="A470">
        <v>469</v>
      </c>
      <c r="B470" t="s">
        <v>353</v>
      </c>
      <c r="C470" t="s">
        <v>689</v>
      </c>
      <c r="D470" t="s">
        <v>697</v>
      </c>
      <c r="E470" t="s">
        <v>292</v>
      </c>
      <c r="F470" t="s">
        <v>2</v>
      </c>
      <c r="G470" t="s">
        <v>38</v>
      </c>
      <c r="H470" t="s">
        <v>39</v>
      </c>
      <c r="I470" s="5" t="s">
        <v>294</v>
      </c>
      <c r="J470" s="5" t="s">
        <v>2</v>
      </c>
      <c r="K470" s="5" t="s">
        <v>2</v>
      </c>
      <c r="L470" s="6">
        <f>IF(I470="Cut","",IF(I470="Your call","(decide)",IF(I470="Rename",J470,IF(I470="Keep",IF(D470="",E470,D470),IF(E470="(unchanged)",D470,E470)))))</f>
      </c>
      <c r="M470" s="6">
        <f>IF(AND(I470="Cut",N470&gt;0,K470=""),"USED: say what replaces it (Note)",IF(AND(I470="Rename",J470=""),"type the new name",IF(AND(L470&lt;&gt;"",L470&lt;&gt;"(decide)",COUNTIF($L$2:$L$1680,L470)&gt;1),"SAME FINAL NAME AS ANOTHER ROW","")))</f>
      </c>
      <c r="N470" s="6">
        <v>0</v>
      </c>
      <c r="O470" s="6" t="s">
        <v>2</v>
      </c>
    </row>
    <row r="471" spans="1:15" x14ac:dyDescent="0.25">
      <c r="A471">
        <v>470</v>
      </c>
      <c r="B471" t="s">
        <v>353</v>
      </c>
      <c r="C471" t="s">
        <v>689</v>
      </c>
      <c r="D471" t="s">
        <v>698</v>
      </c>
      <c r="E471" t="s">
        <v>292</v>
      </c>
      <c r="F471" t="s">
        <v>2</v>
      </c>
      <c r="G471" t="s">
        <v>38</v>
      </c>
      <c r="H471" t="s">
        <v>39</v>
      </c>
      <c r="I471" s="5" t="s">
        <v>294</v>
      </c>
      <c r="J471" s="5" t="s">
        <v>2</v>
      </c>
      <c r="K471" s="5" t="s">
        <v>2</v>
      </c>
      <c r="L471" s="6">
        <f>IF(I471="Cut","",IF(I471="Your call","(decide)",IF(I471="Rename",J471,IF(I471="Keep",IF(D471="",E471,D471),IF(E471="(unchanged)",D471,E471)))))</f>
      </c>
      <c r="M471" s="6">
        <f>IF(AND(I471="Cut",N471&gt;0,K471=""),"USED: say what replaces it (Note)",IF(AND(I471="Rename",J471=""),"type the new name",IF(AND(L471&lt;&gt;"",L471&lt;&gt;"(decide)",COUNTIF($L$2:$L$1680,L471)&gt;1),"SAME FINAL NAME AS ANOTHER ROW","")))</f>
      </c>
      <c r="N471" s="6">
        <v>0</v>
      </c>
      <c r="O471" s="6" t="s">
        <v>2</v>
      </c>
    </row>
    <row r="472" spans="1:15" x14ac:dyDescent="0.25">
      <c r="A472">
        <v>471</v>
      </c>
      <c r="B472" t="s">
        <v>353</v>
      </c>
      <c r="C472" t="s">
        <v>699</v>
      </c>
      <c r="D472" t="s">
        <v>700</v>
      </c>
      <c r="E472" t="s">
        <v>292</v>
      </c>
      <c r="F472" t="s">
        <v>2</v>
      </c>
      <c r="G472" t="s">
        <v>38</v>
      </c>
      <c r="H472" t="s">
        <v>39</v>
      </c>
      <c r="I472" s="5" t="s">
        <v>294</v>
      </c>
      <c r="J472" s="5" t="s">
        <v>2</v>
      </c>
      <c r="K472" s="5" t="s">
        <v>2</v>
      </c>
      <c r="L472" s="6">
        <f>IF(I472="Cut","",IF(I472="Your call","(decide)",IF(I472="Rename",J472,IF(I472="Keep",IF(D472="",E472,D472),IF(E472="(unchanged)",D472,E472)))))</f>
      </c>
      <c r="M472" s="6">
        <f>IF(AND(I472="Cut",N472&gt;0,K472=""),"USED: say what replaces it (Note)",IF(AND(I472="Rename",J472=""),"type the new name",IF(AND(L472&lt;&gt;"",L472&lt;&gt;"(decide)",COUNTIF($L$2:$L$1680,L472)&gt;1),"SAME FINAL NAME AS ANOTHER ROW","")))</f>
      </c>
      <c r="N472" s="6">
        <v>0</v>
      </c>
      <c r="O472" s="6" t="s">
        <v>2</v>
      </c>
    </row>
    <row r="473" spans="1:15" x14ac:dyDescent="0.25">
      <c r="A473">
        <v>472</v>
      </c>
      <c r="B473" t="s">
        <v>353</v>
      </c>
      <c r="C473" t="s">
        <v>699</v>
      </c>
      <c r="D473" t="s">
        <v>701</v>
      </c>
      <c r="E473" t="s">
        <v>292</v>
      </c>
      <c r="F473" t="s">
        <v>2</v>
      </c>
      <c r="G473" t="s">
        <v>38</v>
      </c>
      <c r="H473" t="s">
        <v>39</v>
      </c>
      <c r="I473" s="5" t="s">
        <v>294</v>
      </c>
      <c r="J473" s="5" t="s">
        <v>2</v>
      </c>
      <c r="K473" s="5" t="s">
        <v>2</v>
      </c>
      <c r="L473" s="6">
        <f>IF(I473="Cut","",IF(I473="Your call","(decide)",IF(I473="Rename",J473,IF(I473="Keep",IF(D473="",E473,D473),IF(E473="(unchanged)",D473,E473)))))</f>
      </c>
      <c r="M473" s="6">
        <f>IF(AND(I473="Cut",N473&gt;0,K473=""),"USED: say what replaces it (Note)",IF(AND(I473="Rename",J473=""),"type the new name",IF(AND(L473&lt;&gt;"",L473&lt;&gt;"(decide)",COUNTIF($L$2:$L$1680,L473)&gt;1),"SAME FINAL NAME AS ANOTHER ROW","")))</f>
      </c>
      <c r="N473" s="6">
        <v>0</v>
      </c>
      <c r="O473" s="6" t="s">
        <v>2</v>
      </c>
    </row>
    <row r="474" spans="1:15" x14ac:dyDescent="0.25">
      <c r="A474">
        <v>473</v>
      </c>
      <c r="B474" t="s">
        <v>353</v>
      </c>
      <c r="C474" t="s">
        <v>699</v>
      </c>
      <c r="D474" t="s">
        <v>702</v>
      </c>
      <c r="E474" t="s">
        <v>292</v>
      </c>
      <c r="F474" t="s">
        <v>2</v>
      </c>
      <c r="G474" t="s">
        <v>38</v>
      </c>
      <c r="H474" t="s">
        <v>39</v>
      </c>
      <c r="I474" s="5" t="s">
        <v>294</v>
      </c>
      <c r="J474" s="5" t="s">
        <v>2</v>
      </c>
      <c r="K474" s="5" t="s">
        <v>2</v>
      </c>
      <c r="L474" s="6">
        <f>IF(I474="Cut","",IF(I474="Your call","(decide)",IF(I474="Rename",J474,IF(I474="Keep",IF(D474="",E474,D474),IF(E474="(unchanged)",D474,E474)))))</f>
      </c>
      <c r="M474" s="6">
        <f>IF(AND(I474="Cut",N474&gt;0,K474=""),"USED: say what replaces it (Note)",IF(AND(I474="Rename",J474=""),"type the new name",IF(AND(L474&lt;&gt;"",L474&lt;&gt;"(decide)",COUNTIF($L$2:$L$1680,L474)&gt;1),"SAME FINAL NAME AS ANOTHER ROW","")))</f>
      </c>
      <c r="N474" s="6">
        <v>0</v>
      </c>
      <c r="O474" s="6" t="s">
        <v>2</v>
      </c>
    </row>
    <row r="475" spans="1:15" x14ac:dyDescent="0.25">
      <c r="A475">
        <v>474</v>
      </c>
      <c r="B475" t="s">
        <v>353</v>
      </c>
      <c r="C475" t="s">
        <v>699</v>
      </c>
      <c r="D475" t="s">
        <v>703</v>
      </c>
      <c r="E475" t="s">
        <v>292</v>
      </c>
      <c r="F475" t="s">
        <v>2</v>
      </c>
      <c r="G475" t="s">
        <v>38</v>
      </c>
      <c r="H475" t="s">
        <v>39</v>
      </c>
      <c r="I475" s="5" t="s">
        <v>294</v>
      </c>
      <c r="J475" s="5" t="s">
        <v>2</v>
      </c>
      <c r="K475" s="5" t="s">
        <v>2</v>
      </c>
      <c r="L475" s="6">
        <f>IF(I475="Cut","",IF(I475="Your call","(decide)",IF(I475="Rename",J475,IF(I475="Keep",IF(D475="",E475,D475),IF(E475="(unchanged)",D475,E475)))))</f>
      </c>
      <c r="M475" s="6">
        <f>IF(AND(I475="Cut",N475&gt;0,K475=""),"USED: say what replaces it (Note)",IF(AND(I475="Rename",J475=""),"type the new name",IF(AND(L475&lt;&gt;"",L475&lt;&gt;"(decide)",COUNTIF($L$2:$L$1680,L475)&gt;1),"SAME FINAL NAME AS ANOTHER ROW","")))</f>
      </c>
      <c r="N475" s="6">
        <v>0</v>
      </c>
      <c r="O475" s="6" t="s">
        <v>2</v>
      </c>
    </row>
    <row r="476" spans="1:15" x14ac:dyDescent="0.25">
      <c r="A476">
        <v>475</v>
      </c>
      <c r="B476" t="s">
        <v>353</v>
      </c>
      <c r="C476" t="s">
        <v>699</v>
      </c>
      <c r="D476" t="s">
        <v>704</v>
      </c>
      <c r="E476" t="s">
        <v>292</v>
      </c>
      <c r="F476" t="s">
        <v>2</v>
      </c>
      <c r="G476" t="s">
        <v>38</v>
      </c>
      <c r="H476" t="s">
        <v>39</v>
      </c>
      <c r="I476" s="5" t="s">
        <v>294</v>
      </c>
      <c r="J476" s="5" t="s">
        <v>2</v>
      </c>
      <c r="K476" s="5" t="s">
        <v>2</v>
      </c>
      <c r="L476" s="6">
        <f>IF(I476="Cut","",IF(I476="Your call","(decide)",IF(I476="Rename",J476,IF(I476="Keep",IF(D476="",E476,D476),IF(E476="(unchanged)",D476,E476)))))</f>
      </c>
      <c r="M476" s="6">
        <f>IF(AND(I476="Cut",N476&gt;0,K476=""),"USED: say what replaces it (Note)",IF(AND(I476="Rename",J476=""),"type the new name",IF(AND(L476&lt;&gt;"",L476&lt;&gt;"(decide)",COUNTIF($L$2:$L$1680,L476)&gt;1),"SAME FINAL NAME AS ANOTHER ROW","")))</f>
      </c>
      <c r="N476" s="6">
        <v>0</v>
      </c>
      <c r="O476" s="6" t="s">
        <v>2</v>
      </c>
    </row>
    <row r="477" spans="1:15" x14ac:dyDescent="0.25">
      <c r="A477">
        <v>476</v>
      </c>
      <c r="B477" t="s">
        <v>353</v>
      </c>
      <c r="C477" t="s">
        <v>699</v>
      </c>
      <c r="D477" t="s">
        <v>705</v>
      </c>
      <c r="E477" t="s">
        <v>292</v>
      </c>
      <c r="F477" t="s">
        <v>2</v>
      </c>
      <c r="G477" t="s">
        <v>38</v>
      </c>
      <c r="H477" t="s">
        <v>39</v>
      </c>
      <c r="I477" s="5" t="s">
        <v>294</v>
      </c>
      <c r="J477" s="5" t="s">
        <v>2</v>
      </c>
      <c r="K477" s="5" t="s">
        <v>2</v>
      </c>
      <c r="L477" s="6">
        <f>IF(I477="Cut","",IF(I477="Your call","(decide)",IF(I477="Rename",J477,IF(I477="Keep",IF(D477="",E477,D477),IF(E477="(unchanged)",D477,E477)))))</f>
      </c>
      <c r="M477" s="6">
        <f>IF(AND(I477="Cut",N477&gt;0,K477=""),"USED: say what replaces it (Note)",IF(AND(I477="Rename",J477=""),"type the new name",IF(AND(L477&lt;&gt;"",L477&lt;&gt;"(decide)",COUNTIF($L$2:$L$1680,L477)&gt;1),"SAME FINAL NAME AS ANOTHER ROW","")))</f>
      </c>
      <c r="N477" s="6">
        <v>0</v>
      </c>
      <c r="O477" s="6" t="s">
        <v>2</v>
      </c>
    </row>
    <row r="478" spans="1:15" x14ac:dyDescent="0.25">
      <c r="A478">
        <v>477</v>
      </c>
      <c r="B478" t="s">
        <v>353</v>
      </c>
      <c r="C478" t="s">
        <v>699</v>
      </c>
      <c r="D478" t="s">
        <v>706</v>
      </c>
      <c r="E478" t="s">
        <v>292</v>
      </c>
      <c r="F478" t="s">
        <v>2</v>
      </c>
      <c r="G478" t="s">
        <v>38</v>
      </c>
      <c r="H478" t="s">
        <v>39</v>
      </c>
      <c r="I478" s="5" t="s">
        <v>294</v>
      </c>
      <c r="J478" s="5" t="s">
        <v>2</v>
      </c>
      <c r="K478" s="5" t="s">
        <v>2</v>
      </c>
      <c r="L478" s="6">
        <f>IF(I478="Cut","",IF(I478="Your call","(decide)",IF(I478="Rename",J478,IF(I478="Keep",IF(D478="",E478,D478),IF(E478="(unchanged)",D478,E478)))))</f>
      </c>
      <c r="M478" s="6">
        <f>IF(AND(I478="Cut",N478&gt;0,K478=""),"USED: say what replaces it (Note)",IF(AND(I478="Rename",J478=""),"type the new name",IF(AND(L478&lt;&gt;"",L478&lt;&gt;"(decide)",COUNTIF($L$2:$L$1680,L478)&gt;1),"SAME FINAL NAME AS ANOTHER ROW","")))</f>
      </c>
      <c r="N478" s="6">
        <v>0</v>
      </c>
      <c r="O478" s="6" t="s">
        <v>2</v>
      </c>
    </row>
    <row r="479" spans="1:15" x14ac:dyDescent="0.25">
      <c r="A479">
        <v>478</v>
      </c>
      <c r="B479" t="s">
        <v>353</v>
      </c>
      <c r="C479" t="s">
        <v>699</v>
      </c>
      <c r="D479" t="s">
        <v>707</v>
      </c>
      <c r="E479" t="s">
        <v>292</v>
      </c>
      <c r="F479" t="s">
        <v>2</v>
      </c>
      <c r="G479" t="s">
        <v>38</v>
      </c>
      <c r="H479" t="s">
        <v>39</v>
      </c>
      <c r="I479" s="5" t="s">
        <v>294</v>
      </c>
      <c r="J479" s="5" t="s">
        <v>2</v>
      </c>
      <c r="K479" s="5" t="s">
        <v>2</v>
      </c>
      <c r="L479" s="6">
        <f>IF(I479="Cut","",IF(I479="Your call","(decide)",IF(I479="Rename",J479,IF(I479="Keep",IF(D479="",E479,D479),IF(E479="(unchanged)",D479,E479)))))</f>
      </c>
      <c r="M479" s="6">
        <f>IF(AND(I479="Cut",N479&gt;0,K479=""),"USED: say what replaces it (Note)",IF(AND(I479="Rename",J479=""),"type the new name",IF(AND(L479&lt;&gt;"",L479&lt;&gt;"(decide)",COUNTIF($L$2:$L$1680,L479)&gt;1),"SAME FINAL NAME AS ANOTHER ROW","")))</f>
      </c>
      <c r="N479" s="6">
        <v>0</v>
      </c>
      <c r="O479" s="6" t="s">
        <v>2</v>
      </c>
    </row>
    <row r="480" spans="1:15" x14ac:dyDescent="0.25">
      <c r="A480">
        <v>479</v>
      </c>
      <c r="B480" t="s">
        <v>353</v>
      </c>
      <c r="C480" t="s">
        <v>699</v>
      </c>
      <c r="D480" t="s">
        <v>708</v>
      </c>
      <c r="E480" t="s">
        <v>292</v>
      </c>
      <c r="F480" t="s">
        <v>2</v>
      </c>
      <c r="G480" t="s">
        <v>38</v>
      </c>
      <c r="H480" t="s">
        <v>39</v>
      </c>
      <c r="I480" s="5" t="s">
        <v>294</v>
      </c>
      <c r="J480" s="5" t="s">
        <v>2</v>
      </c>
      <c r="K480" s="5" t="s">
        <v>2</v>
      </c>
      <c r="L480" s="6">
        <f>IF(I480="Cut","",IF(I480="Your call","(decide)",IF(I480="Rename",J480,IF(I480="Keep",IF(D480="",E480,D480),IF(E480="(unchanged)",D480,E480)))))</f>
      </c>
      <c r="M480" s="6">
        <f>IF(AND(I480="Cut",N480&gt;0,K480=""),"USED: say what replaces it (Note)",IF(AND(I480="Rename",J480=""),"type the new name",IF(AND(L480&lt;&gt;"",L480&lt;&gt;"(decide)",COUNTIF($L$2:$L$1680,L480)&gt;1),"SAME FINAL NAME AS ANOTHER ROW","")))</f>
      </c>
      <c r="N480" s="6">
        <v>0</v>
      </c>
      <c r="O480" s="6" t="s">
        <v>2</v>
      </c>
    </row>
    <row r="481" spans="1:15" x14ac:dyDescent="0.25">
      <c r="A481">
        <v>480</v>
      </c>
      <c r="B481" t="s">
        <v>353</v>
      </c>
      <c r="C481" t="s">
        <v>709</v>
      </c>
      <c r="D481" t="s">
        <v>710</v>
      </c>
      <c r="E481" t="s">
        <v>292</v>
      </c>
      <c r="F481" t="s">
        <v>2</v>
      </c>
      <c r="G481" t="s">
        <v>38</v>
      </c>
      <c r="H481" t="s">
        <v>39</v>
      </c>
      <c r="I481" s="5" t="s">
        <v>294</v>
      </c>
      <c r="J481" s="5" t="s">
        <v>2</v>
      </c>
      <c r="K481" s="5" t="s">
        <v>2</v>
      </c>
      <c r="L481" s="6">
        <f>IF(I481="Cut","",IF(I481="Your call","(decide)",IF(I481="Rename",J481,IF(I481="Keep",IF(D481="",E481,D481),IF(E481="(unchanged)",D481,E481)))))</f>
      </c>
      <c r="M481" s="6">
        <f>IF(AND(I481="Cut",N481&gt;0,K481=""),"USED: say what replaces it (Note)",IF(AND(I481="Rename",J481=""),"type the new name",IF(AND(L481&lt;&gt;"",L481&lt;&gt;"(decide)",COUNTIF($L$2:$L$1680,L481)&gt;1),"SAME FINAL NAME AS ANOTHER ROW","")))</f>
      </c>
      <c r="N481" s="6">
        <v>0</v>
      </c>
      <c r="O481" s="6" t="s">
        <v>2</v>
      </c>
    </row>
    <row r="482" spans="1:15" x14ac:dyDescent="0.25">
      <c r="A482">
        <v>481</v>
      </c>
      <c r="B482" t="s">
        <v>353</v>
      </c>
      <c r="C482" t="s">
        <v>709</v>
      </c>
      <c r="D482" t="s">
        <v>711</v>
      </c>
      <c r="E482" t="s">
        <v>292</v>
      </c>
      <c r="F482" t="s">
        <v>2</v>
      </c>
      <c r="G482" t="s">
        <v>38</v>
      </c>
      <c r="H482" t="s">
        <v>39</v>
      </c>
      <c r="I482" s="5" t="s">
        <v>294</v>
      </c>
      <c r="J482" s="5" t="s">
        <v>2</v>
      </c>
      <c r="K482" s="5" t="s">
        <v>2</v>
      </c>
      <c r="L482" s="6">
        <f>IF(I482="Cut","",IF(I482="Your call","(decide)",IF(I482="Rename",J482,IF(I482="Keep",IF(D482="",E482,D482),IF(E482="(unchanged)",D482,E482)))))</f>
      </c>
      <c r="M482" s="6">
        <f>IF(AND(I482="Cut",N482&gt;0,K482=""),"USED: say what replaces it (Note)",IF(AND(I482="Rename",J482=""),"type the new name",IF(AND(L482&lt;&gt;"",L482&lt;&gt;"(decide)",COUNTIF($L$2:$L$1680,L482)&gt;1),"SAME FINAL NAME AS ANOTHER ROW","")))</f>
      </c>
      <c r="N482" s="6">
        <v>0</v>
      </c>
      <c r="O482" s="6" t="s">
        <v>2</v>
      </c>
    </row>
    <row r="483" spans="1:15" x14ac:dyDescent="0.25">
      <c r="A483">
        <v>482</v>
      </c>
      <c r="B483" t="s">
        <v>353</v>
      </c>
      <c r="C483" t="s">
        <v>709</v>
      </c>
      <c r="D483" t="s">
        <v>712</v>
      </c>
      <c r="E483" t="s">
        <v>292</v>
      </c>
      <c r="F483" t="s">
        <v>2</v>
      </c>
      <c r="G483" t="s">
        <v>38</v>
      </c>
      <c r="H483" t="s">
        <v>39</v>
      </c>
      <c r="I483" s="5" t="s">
        <v>294</v>
      </c>
      <c r="J483" s="5" t="s">
        <v>2</v>
      </c>
      <c r="K483" s="5" t="s">
        <v>2</v>
      </c>
      <c r="L483" s="6">
        <f>IF(I483="Cut","",IF(I483="Your call","(decide)",IF(I483="Rename",J483,IF(I483="Keep",IF(D483="",E483,D483),IF(E483="(unchanged)",D483,E483)))))</f>
      </c>
      <c r="M483" s="6">
        <f>IF(AND(I483="Cut",N483&gt;0,K483=""),"USED: say what replaces it (Note)",IF(AND(I483="Rename",J483=""),"type the new name",IF(AND(L483&lt;&gt;"",L483&lt;&gt;"(decide)",COUNTIF($L$2:$L$1680,L483)&gt;1),"SAME FINAL NAME AS ANOTHER ROW","")))</f>
      </c>
      <c r="N483" s="6">
        <v>0</v>
      </c>
      <c r="O483" s="6" t="s">
        <v>2</v>
      </c>
    </row>
    <row r="484" spans="1:15" x14ac:dyDescent="0.25">
      <c r="A484">
        <v>483</v>
      </c>
      <c r="B484" t="s">
        <v>353</v>
      </c>
      <c r="C484" t="s">
        <v>709</v>
      </c>
      <c r="D484" t="s">
        <v>713</v>
      </c>
      <c r="E484" t="s">
        <v>292</v>
      </c>
      <c r="F484" t="s">
        <v>2</v>
      </c>
      <c r="G484" t="s">
        <v>38</v>
      </c>
      <c r="H484" t="s">
        <v>39</v>
      </c>
      <c r="I484" s="5" t="s">
        <v>294</v>
      </c>
      <c r="J484" s="5" t="s">
        <v>2</v>
      </c>
      <c r="K484" s="5" t="s">
        <v>2</v>
      </c>
      <c r="L484" s="6">
        <f>IF(I484="Cut","",IF(I484="Your call","(decide)",IF(I484="Rename",J484,IF(I484="Keep",IF(D484="",E484,D484),IF(E484="(unchanged)",D484,E484)))))</f>
      </c>
      <c r="M484" s="6">
        <f>IF(AND(I484="Cut",N484&gt;0,K484=""),"USED: say what replaces it (Note)",IF(AND(I484="Rename",J484=""),"type the new name",IF(AND(L484&lt;&gt;"",L484&lt;&gt;"(decide)",COUNTIF($L$2:$L$1680,L484)&gt;1),"SAME FINAL NAME AS ANOTHER ROW","")))</f>
      </c>
      <c r="N484" s="6">
        <v>0</v>
      </c>
      <c r="O484" s="6" t="s">
        <v>2</v>
      </c>
    </row>
    <row r="485" spans="1:15" x14ac:dyDescent="0.25">
      <c r="A485">
        <v>484</v>
      </c>
      <c r="B485" t="s">
        <v>353</v>
      </c>
      <c r="C485" t="s">
        <v>709</v>
      </c>
      <c r="D485" t="s">
        <v>714</v>
      </c>
      <c r="E485" t="s">
        <v>292</v>
      </c>
      <c r="F485" t="s">
        <v>2</v>
      </c>
      <c r="G485" t="s">
        <v>38</v>
      </c>
      <c r="H485" t="s">
        <v>39</v>
      </c>
      <c r="I485" s="5" t="s">
        <v>294</v>
      </c>
      <c r="J485" s="5" t="s">
        <v>2</v>
      </c>
      <c r="K485" s="5" t="s">
        <v>2</v>
      </c>
      <c r="L485" s="6">
        <f>IF(I485="Cut","",IF(I485="Your call","(decide)",IF(I485="Rename",J485,IF(I485="Keep",IF(D485="",E485,D485),IF(E485="(unchanged)",D485,E485)))))</f>
      </c>
      <c r="M485" s="6">
        <f>IF(AND(I485="Cut",N485&gt;0,K485=""),"USED: say what replaces it (Note)",IF(AND(I485="Rename",J485=""),"type the new name",IF(AND(L485&lt;&gt;"",L485&lt;&gt;"(decide)",COUNTIF($L$2:$L$1680,L485)&gt;1),"SAME FINAL NAME AS ANOTHER ROW","")))</f>
      </c>
      <c r="N485" s="6">
        <v>0</v>
      </c>
      <c r="O485" s="6" t="s">
        <v>2</v>
      </c>
    </row>
    <row r="486" spans="1:15" x14ac:dyDescent="0.25">
      <c r="A486">
        <v>485</v>
      </c>
      <c r="B486" t="s">
        <v>353</v>
      </c>
      <c r="C486" t="s">
        <v>709</v>
      </c>
      <c r="D486" t="s">
        <v>715</v>
      </c>
      <c r="E486" t="s">
        <v>292</v>
      </c>
      <c r="F486" t="s">
        <v>2</v>
      </c>
      <c r="G486" t="s">
        <v>38</v>
      </c>
      <c r="H486" t="s">
        <v>39</v>
      </c>
      <c r="I486" s="5" t="s">
        <v>294</v>
      </c>
      <c r="J486" s="5" t="s">
        <v>2</v>
      </c>
      <c r="K486" s="5" t="s">
        <v>2</v>
      </c>
      <c r="L486" s="6">
        <f>IF(I486="Cut","",IF(I486="Your call","(decide)",IF(I486="Rename",J486,IF(I486="Keep",IF(D486="",E486,D486),IF(E486="(unchanged)",D486,E486)))))</f>
      </c>
      <c r="M486" s="6">
        <f>IF(AND(I486="Cut",N486&gt;0,K486=""),"USED: say what replaces it (Note)",IF(AND(I486="Rename",J486=""),"type the new name",IF(AND(L486&lt;&gt;"",L486&lt;&gt;"(decide)",COUNTIF($L$2:$L$1680,L486)&gt;1),"SAME FINAL NAME AS ANOTHER ROW","")))</f>
      </c>
      <c r="N486" s="6">
        <v>0</v>
      </c>
      <c r="O486" s="6" t="s">
        <v>2</v>
      </c>
    </row>
    <row r="487" spans="1:15" x14ac:dyDescent="0.25">
      <c r="A487">
        <v>486</v>
      </c>
      <c r="B487" t="s">
        <v>353</v>
      </c>
      <c r="C487" t="s">
        <v>709</v>
      </c>
      <c r="D487" t="s">
        <v>716</v>
      </c>
      <c r="E487" t="s">
        <v>292</v>
      </c>
      <c r="F487" t="s">
        <v>2</v>
      </c>
      <c r="G487" t="s">
        <v>38</v>
      </c>
      <c r="H487" t="s">
        <v>39</v>
      </c>
      <c r="I487" s="5" t="s">
        <v>294</v>
      </c>
      <c r="J487" s="5" t="s">
        <v>2</v>
      </c>
      <c r="K487" s="5" t="s">
        <v>2</v>
      </c>
      <c r="L487" s="6">
        <f>IF(I487="Cut","",IF(I487="Your call","(decide)",IF(I487="Rename",J487,IF(I487="Keep",IF(D487="",E487,D487),IF(E487="(unchanged)",D487,E487)))))</f>
      </c>
      <c r="M487" s="6">
        <f>IF(AND(I487="Cut",N487&gt;0,K487=""),"USED: say what replaces it (Note)",IF(AND(I487="Rename",J487=""),"type the new name",IF(AND(L487&lt;&gt;"",L487&lt;&gt;"(decide)",COUNTIF($L$2:$L$1680,L487)&gt;1),"SAME FINAL NAME AS ANOTHER ROW","")))</f>
      </c>
      <c r="N487" s="6">
        <v>0</v>
      </c>
      <c r="O487" s="6" t="s">
        <v>2</v>
      </c>
    </row>
    <row r="488" spans="1:15" x14ac:dyDescent="0.25">
      <c r="A488">
        <v>487</v>
      </c>
      <c r="B488" t="s">
        <v>353</v>
      </c>
      <c r="C488" t="s">
        <v>709</v>
      </c>
      <c r="D488" t="s">
        <v>717</v>
      </c>
      <c r="E488" t="s">
        <v>292</v>
      </c>
      <c r="F488" t="s">
        <v>2</v>
      </c>
      <c r="G488" t="s">
        <v>38</v>
      </c>
      <c r="H488" t="s">
        <v>39</v>
      </c>
      <c r="I488" s="5" t="s">
        <v>294</v>
      </c>
      <c r="J488" s="5" t="s">
        <v>2</v>
      </c>
      <c r="K488" s="5" t="s">
        <v>2</v>
      </c>
      <c r="L488" s="6">
        <f>IF(I488="Cut","",IF(I488="Your call","(decide)",IF(I488="Rename",J488,IF(I488="Keep",IF(D488="",E488,D488),IF(E488="(unchanged)",D488,E488)))))</f>
      </c>
      <c r="M488" s="6">
        <f>IF(AND(I488="Cut",N488&gt;0,K488=""),"USED: say what replaces it (Note)",IF(AND(I488="Rename",J488=""),"type the new name",IF(AND(L488&lt;&gt;"",L488&lt;&gt;"(decide)",COUNTIF($L$2:$L$1680,L488)&gt;1),"SAME FINAL NAME AS ANOTHER ROW","")))</f>
      </c>
      <c r="N488" s="6">
        <v>0</v>
      </c>
      <c r="O488" s="6" t="s">
        <v>2</v>
      </c>
    </row>
    <row r="489" spans="1:15" x14ac:dyDescent="0.25">
      <c r="A489">
        <v>488</v>
      </c>
      <c r="B489" t="s">
        <v>353</v>
      </c>
      <c r="C489" t="s">
        <v>709</v>
      </c>
      <c r="D489" t="s">
        <v>718</v>
      </c>
      <c r="E489" t="s">
        <v>292</v>
      </c>
      <c r="F489" t="s">
        <v>2</v>
      </c>
      <c r="G489" t="s">
        <v>38</v>
      </c>
      <c r="H489" t="s">
        <v>39</v>
      </c>
      <c r="I489" s="5" t="s">
        <v>294</v>
      </c>
      <c r="J489" s="5" t="s">
        <v>2</v>
      </c>
      <c r="K489" s="5" t="s">
        <v>2</v>
      </c>
      <c r="L489" s="6">
        <f>IF(I489="Cut","",IF(I489="Your call","(decide)",IF(I489="Rename",J489,IF(I489="Keep",IF(D489="",E489,D489),IF(E489="(unchanged)",D489,E489)))))</f>
      </c>
      <c r="M489" s="6">
        <f>IF(AND(I489="Cut",N489&gt;0,K489=""),"USED: say what replaces it (Note)",IF(AND(I489="Rename",J489=""),"type the new name",IF(AND(L489&lt;&gt;"",L489&lt;&gt;"(decide)",COUNTIF($L$2:$L$1680,L489)&gt;1),"SAME FINAL NAME AS ANOTHER ROW","")))</f>
      </c>
      <c r="N489" s="6">
        <v>0</v>
      </c>
      <c r="O489" s="6" t="s">
        <v>2</v>
      </c>
    </row>
    <row r="490" spans="1:15" x14ac:dyDescent="0.25">
      <c r="A490">
        <v>489</v>
      </c>
      <c r="B490" t="s">
        <v>353</v>
      </c>
      <c r="C490" t="s">
        <v>719</v>
      </c>
      <c r="D490" t="s">
        <v>720</v>
      </c>
      <c r="E490" t="s">
        <v>292</v>
      </c>
      <c r="F490" t="s">
        <v>2</v>
      </c>
      <c r="G490" t="s">
        <v>38</v>
      </c>
      <c r="H490" t="s">
        <v>39</v>
      </c>
      <c r="I490" s="5" t="s">
        <v>294</v>
      </c>
      <c r="J490" s="5" t="s">
        <v>2</v>
      </c>
      <c r="K490" s="5" t="s">
        <v>2</v>
      </c>
      <c r="L490" s="6">
        <f>IF(I490="Cut","",IF(I490="Your call","(decide)",IF(I490="Rename",J490,IF(I490="Keep",IF(D490="",E490,D490),IF(E490="(unchanged)",D490,E490)))))</f>
      </c>
      <c r="M490" s="6">
        <f>IF(AND(I490="Cut",N490&gt;0,K490=""),"USED: say what replaces it (Note)",IF(AND(I490="Rename",J490=""),"type the new name",IF(AND(L490&lt;&gt;"",L490&lt;&gt;"(decide)",COUNTIF($L$2:$L$1680,L490)&gt;1),"SAME FINAL NAME AS ANOTHER ROW","")))</f>
      </c>
      <c r="N490" s="6">
        <v>0</v>
      </c>
      <c r="O490" s="6" t="s">
        <v>2</v>
      </c>
    </row>
    <row r="491" spans="1:15" x14ac:dyDescent="0.25">
      <c r="A491">
        <v>490</v>
      </c>
      <c r="B491" t="s">
        <v>353</v>
      </c>
      <c r="C491" t="s">
        <v>719</v>
      </c>
      <c r="D491" t="s">
        <v>721</v>
      </c>
      <c r="E491" t="s">
        <v>292</v>
      </c>
      <c r="F491" t="s">
        <v>2</v>
      </c>
      <c r="G491" t="s">
        <v>38</v>
      </c>
      <c r="H491" t="s">
        <v>39</v>
      </c>
      <c r="I491" s="5" t="s">
        <v>294</v>
      </c>
      <c r="J491" s="5" t="s">
        <v>2</v>
      </c>
      <c r="K491" s="5" t="s">
        <v>2</v>
      </c>
      <c r="L491" s="6">
        <f>IF(I491="Cut","",IF(I491="Your call","(decide)",IF(I491="Rename",J491,IF(I491="Keep",IF(D491="",E491,D491),IF(E491="(unchanged)",D491,E491)))))</f>
      </c>
      <c r="M491" s="6">
        <f>IF(AND(I491="Cut",N491&gt;0,K491=""),"USED: say what replaces it (Note)",IF(AND(I491="Rename",J491=""),"type the new name",IF(AND(L491&lt;&gt;"",L491&lt;&gt;"(decide)",COUNTIF($L$2:$L$1680,L491)&gt;1),"SAME FINAL NAME AS ANOTHER ROW","")))</f>
      </c>
      <c r="N491" s="6">
        <v>0</v>
      </c>
      <c r="O491" s="6" t="s">
        <v>2</v>
      </c>
    </row>
    <row r="492" spans="1:15" x14ac:dyDescent="0.25">
      <c r="A492">
        <v>491</v>
      </c>
      <c r="B492" t="s">
        <v>353</v>
      </c>
      <c r="C492" t="s">
        <v>719</v>
      </c>
      <c r="D492" t="s">
        <v>722</v>
      </c>
      <c r="E492" t="s">
        <v>292</v>
      </c>
      <c r="F492" t="s">
        <v>2</v>
      </c>
      <c r="G492" t="s">
        <v>38</v>
      </c>
      <c r="H492" t="s">
        <v>39</v>
      </c>
      <c r="I492" s="5" t="s">
        <v>294</v>
      </c>
      <c r="J492" s="5" t="s">
        <v>2</v>
      </c>
      <c r="K492" s="5" t="s">
        <v>2</v>
      </c>
      <c r="L492" s="6">
        <f>IF(I492="Cut","",IF(I492="Your call","(decide)",IF(I492="Rename",J492,IF(I492="Keep",IF(D492="",E492,D492),IF(E492="(unchanged)",D492,E492)))))</f>
      </c>
      <c r="M492" s="6">
        <f>IF(AND(I492="Cut",N492&gt;0,K492=""),"USED: say what replaces it (Note)",IF(AND(I492="Rename",J492=""),"type the new name",IF(AND(L492&lt;&gt;"",L492&lt;&gt;"(decide)",COUNTIF($L$2:$L$1680,L492)&gt;1),"SAME FINAL NAME AS ANOTHER ROW","")))</f>
      </c>
      <c r="N492" s="6">
        <v>0</v>
      </c>
      <c r="O492" s="6" t="s">
        <v>2</v>
      </c>
    </row>
    <row r="493" spans="1:15" x14ac:dyDescent="0.25">
      <c r="A493">
        <v>492</v>
      </c>
      <c r="B493" t="s">
        <v>353</v>
      </c>
      <c r="C493" t="s">
        <v>719</v>
      </c>
      <c r="D493" t="s">
        <v>723</v>
      </c>
      <c r="E493" t="s">
        <v>292</v>
      </c>
      <c r="F493" t="s">
        <v>2</v>
      </c>
      <c r="G493" t="s">
        <v>38</v>
      </c>
      <c r="H493" t="s">
        <v>39</v>
      </c>
      <c r="I493" s="5" t="s">
        <v>294</v>
      </c>
      <c r="J493" s="5" t="s">
        <v>2</v>
      </c>
      <c r="K493" s="5" t="s">
        <v>2</v>
      </c>
      <c r="L493" s="6">
        <f>IF(I493="Cut","",IF(I493="Your call","(decide)",IF(I493="Rename",J493,IF(I493="Keep",IF(D493="",E493,D493),IF(E493="(unchanged)",D493,E493)))))</f>
      </c>
      <c r="M493" s="6">
        <f>IF(AND(I493="Cut",N493&gt;0,K493=""),"USED: say what replaces it (Note)",IF(AND(I493="Rename",J493=""),"type the new name",IF(AND(L493&lt;&gt;"",L493&lt;&gt;"(decide)",COUNTIF($L$2:$L$1680,L493)&gt;1),"SAME FINAL NAME AS ANOTHER ROW","")))</f>
      </c>
      <c r="N493" s="6">
        <v>0</v>
      </c>
      <c r="O493" s="6" t="s">
        <v>2</v>
      </c>
    </row>
    <row r="494" spans="1:15" x14ac:dyDescent="0.25">
      <c r="A494">
        <v>493</v>
      </c>
      <c r="B494" t="s">
        <v>353</v>
      </c>
      <c r="C494" t="s">
        <v>719</v>
      </c>
      <c r="D494" t="s">
        <v>724</v>
      </c>
      <c r="E494" t="s">
        <v>292</v>
      </c>
      <c r="F494" t="s">
        <v>2</v>
      </c>
      <c r="G494" t="s">
        <v>38</v>
      </c>
      <c r="H494" t="s">
        <v>39</v>
      </c>
      <c r="I494" s="5" t="s">
        <v>294</v>
      </c>
      <c r="J494" s="5" t="s">
        <v>2</v>
      </c>
      <c r="K494" s="5" t="s">
        <v>2</v>
      </c>
      <c r="L494" s="6">
        <f>IF(I494="Cut","",IF(I494="Your call","(decide)",IF(I494="Rename",J494,IF(I494="Keep",IF(D494="",E494,D494),IF(E494="(unchanged)",D494,E494)))))</f>
      </c>
      <c r="M494" s="6">
        <f>IF(AND(I494="Cut",N494&gt;0,K494=""),"USED: say what replaces it (Note)",IF(AND(I494="Rename",J494=""),"type the new name",IF(AND(L494&lt;&gt;"",L494&lt;&gt;"(decide)",COUNTIF($L$2:$L$1680,L494)&gt;1),"SAME FINAL NAME AS ANOTHER ROW","")))</f>
      </c>
      <c r="N494" s="6">
        <v>0</v>
      </c>
      <c r="O494" s="6" t="s">
        <v>2</v>
      </c>
    </row>
    <row r="495" spans="1:15" x14ac:dyDescent="0.25">
      <c r="A495">
        <v>494</v>
      </c>
      <c r="B495" t="s">
        <v>353</v>
      </c>
      <c r="C495" t="s">
        <v>719</v>
      </c>
      <c r="D495" t="s">
        <v>725</v>
      </c>
      <c r="E495" t="s">
        <v>292</v>
      </c>
      <c r="F495" t="s">
        <v>2</v>
      </c>
      <c r="G495" t="s">
        <v>38</v>
      </c>
      <c r="H495" t="s">
        <v>39</v>
      </c>
      <c r="I495" s="5" t="s">
        <v>294</v>
      </c>
      <c r="J495" s="5" t="s">
        <v>2</v>
      </c>
      <c r="K495" s="5" t="s">
        <v>2</v>
      </c>
      <c r="L495" s="6">
        <f>IF(I495="Cut","",IF(I495="Your call","(decide)",IF(I495="Rename",J495,IF(I495="Keep",IF(D495="",E495,D495),IF(E495="(unchanged)",D495,E495)))))</f>
      </c>
      <c r="M495" s="6">
        <f>IF(AND(I495="Cut",N495&gt;0,K495=""),"USED: say what replaces it (Note)",IF(AND(I495="Rename",J495=""),"type the new name",IF(AND(L495&lt;&gt;"",L495&lt;&gt;"(decide)",COUNTIF($L$2:$L$1680,L495)&gt;1),"SAME FINAL NAME AS ANOTHER ROW","")))</f>
      </c>
      <c r="N495" s="6">
        <v>0</v>
      </c>
      <c r="O495" s="6" t="s">
        <v>2</v>
      </c>
    </row>
    <row r="496" spans="1:15" x14ac:dyDescent="0.25">
      <c r="A496">
        <v>495</v>
      </c>
      <c r="B496" t="s">
        <v>353</v>
      </c>
      <c r="C496" t="s">
        <v>719</v>
      </c>
      <c r="D496" t="s">
        <v>726</v>
      </c>
      <c r="E496" t="s">
        <v>292</v>
      </c>
      <c r="F496" t="s">
        <v>2</v>
      </c>
      <c r="G496" t="s">
        <v>38</v>
      </c>
      <c r="H496" t="s">
        <v>39</v>
      </c>
      <c r="I496" s="5" t="s">
        <v>294</v>
      </c>
      <c r="J496" s="5" t="s">
        <v>2</v>
      </c>
      <c r="K496" s="5" t="s">
        <v>2</v>
      </c>
      <c r="L496" s="6">
        <f>IF(I496="Cut","",IF(I496="Your call","(decide)",IF(I496="Rename",J496,IF(I496="Keep",IF(D496="",E496,D496),IF(E496="(unchanged)",D496,E496)))))</f>
      </c>
      <c r="M496" s="6">
        <f>IF(AND(I496="Cut",N496&gt;0,K496=""),"USED: say what replaces it (Note)",IF(AND(I496="Rename",J496=""),"type the new name",IF(AND(L496&lt;&gt;"",L496&lt;&gt;"(decide)",COUNTIF($L$2:$L$1680,L496)&gt;1),"SAME FINAL NAME AS ANOTHER ROW","")))</f>
      </c>
      <c r="N496" s="6">
        <v>0</v>
      </c>
      <c r="O496" s="6" t="s">
        <v>2</v>
      </c>
    </row>
    <row r="497" spans="1:15" x14ac:dyDescent="0.25">
      <c r="A497">
        <v>496</v>
      </c>
      <c r="B497" t="s">
        <v>353</v>
      </c>
      <c r="C497" t="s">
        <v>719</v>
      </c>
      <c r="D497" t="s">
        <v>727</v>
      </c>
      <c r="E497" t="s">
        <v>292</v>
      </c>
      <c r="F497" t="s">
        <v>2</v>
      </c>
      <c r="G497" t="s">
        <v>38</v>
      </c>
      <c r="H497" t="s">
        <v>39</v>
      </c>
      <c r="I497" s="5" t="s">
        <v>294</v>
      </c>
      <c r="J497" s="5" t="s">
        <v>2</v>
      </c>
      <c r="K497" s="5" t="s">
        <v>2</v>
      </c>
      <c r="L497" s="6">
        <f>IF(I497="Cut","",IF(I497="Your call","(decide)",IF(I497="Rename",J497,IF(I497="Keep",IF(D497="",E497,D497),IF(E497="(unchanged)",D497,E497)))))</f>
      </c>
      <c r="M497" s="6">
        <f>IF(AND(I497="Cut",N497&gt;0,K497=""),"USED: say what replaces it (Note)",IF(AND(I497="Rename",J497=""),"type the new name",IF(AND(L497&lt;&gt;"",L497&lt;&gt;"(decide)",COUNTIF($L$2:$L$1680,L497)&gt;1),"SAME FINAL NAME AS ANOTHER ROW","")))</f>
      </c>
      <c r="N497" s="6">
        <v>0</v>
      </c>
      <c r="O497" s="6" t="s">
        <v>2</v>
      </c>
    </row>
    <row r="498" spans="1:15" x14ac:dyDescent="0.25">
      <c r="A498">
        <v>497</v>
      </c>
      <c r="B498" t="s">
        <v>353</v>
      </c>
      <c r="C498" t="s">
        <v>719</v>
      </c>
      <c r="D498" t="s">
        <v>728</v>
      </c>
      <c r="E498" t="s">
        <v>292</v>
      </c>
      <c r="F498" t="s">
        <v>2</v>
      </c>
      <c r="G498" t="s">
        <v>38</v>
      </c>
      <c r="H498" t="s">
        <v>39</v>
      </c>
      <c r="I498" s="5" t="s">
        <v>294</v>
      </c>
      <c r="J498" s="5" t="s">
        <v>2</v>
      </c>
      <c r="K498" s="5" t="s">
        <v>2</v>
      </c>
      <c r="L498" s="6">
        <f>IF(I498="Cut","",IF(I498="Your call","(decide)",IF(I498="Rename",J498,IF(I498="Keep",IF(D498="",E498,D498),IF(E498="(unchanged)",D498,E498)))))</f>
      </c>
      <c r="M498" s="6">
        <f>IF(AND(I498="Cut",N498&gt;0,K498=""),"USED: say what replaces it (Note)",IF(AND(I498="Rename",J498=""),"type the new name",IF(AND(L498&lt;&gt;"",L498&lt;&gt;"(decide)",COUNTIF($L$2:$L$1680,L498)&gt;1),"SAME FINAL NAME AS ANOTHER ROW","")))</f>
      </c>
      <c r="N498" s="6">
        <v>0</v>
      </c>
      <c r="O498" s="6" t="s">
        <v>2</v>
      </c>
    </row>
    <row r="499" spans="1:15" x14ac:dyDescent="0.25">
      <c r="A499">
        <v>498</v>
      </c>
      <c r="B499" t="s">
        <v>353</v>
      </c>
      <c r="C499" t="s">
        <v>729</v>
      </c>
      <c r="D499" t="s">
        <v>730</v>
      </c>
      <c r="E499" t="s">
        <v>292</v>
      </c>
      <c r="F499" t="s">
        <v>2</v>
      </c>
      <c r="G499" t="s">
        <v>38</v>
      </c>
      <c r="H499" t="s">
        <v>39</v>
      </c>
      <c r="I499" s="5" t="s">
        <v>294</v>
      </c>
      <c r="J499" s="5" t="s">
        <v>2</v>
      </c>
      <c r="K499" s="5" t="s">
        <v>2</v>
      </c>
      <c r="L499" s="6">
        <f>IF(I499="Cut","",IF(I499="Your call","(decide)",IF(I499="Rename",J499,IF(I499="Keep",IF(D499="",E499,D499),IF(E499="(unchanged)",D499,E499)))))</f>
      </c>
      <c r="M499" s="6">
        <f>IF(AND(I499="Cut",N499&gt;0,K499=""),"USED: say what replaces it (Note)",IF(AND(I499="Rename",J499=""),"type the new name",IF(AND(L499&lt;&gt;"",L499&lt;&gt;"(decide)",COUNTIF($L$2:$L$1680,L499)&gt;1),"SAME FINAL NAME AS ANOTHER ROW","")))</f>
      </c>
      <c r="N499" s="6">
        <v>0</v>
      </c>
      <c r="O499" s="6" t="s">
        <v>2</v>
      </c>
    </row>
    <row r="500" spans="1:15" x14ac:dyDescent="0.25">
      <c r="A500">
        <v>499</v>
      </c>
      <c r="B500" t="s">
        <v>353</v>
      </c>
      <c r="C500" t="s">
        <v>729</v>
      </c>
      <c r="D500" t="s">
        <v>731</v>
      </c>
      <c r="E500" t="s">
        <v>292</v>
      </c>
      <c r="F500" t="s">
        <v>2</v>
      </c>
      <c r="G500" t="s">
        <v>38</v>
      </c>
      <c r="H500" t="s">
        <v>39</v>
      </c>
      <c r="I500" s="5" t="s">
        <v>294</v>
      </c>
      <c r="J500" s="5" t="s">
        <v>2</v>
      </c>
      <c r="K500" s="5" t="s">
        <v>2</v>
      </c>
      <c r="L500" s="6">
        <f>IF(I500="Cut","",IF(I500="Your call","(decide)",IF(I500="Rename",J500,IF(I500="Keep",IF(D500="",E500,D500),IF(E500="(unchanged)",D500,E500)))))</f>
      </c>
      <c r="M500" s="6">
        <f>IF(AND(I500="Cut",N500&gt;0,K500=""),"USED: say what replaces it (Note)",IF(AND(I500="Rename",J500=""),"type the new name",IF(AND(L500&lt;&gt;"",L500&lt;&gt;"(decide)",COUNTIF($L$2:$L$1680,L500)&gt;1),"SAME FINAL NAME AS ANOTHER ROW","")))</f>
      </c>
      <c r="N500" s="6">
        <v>0</v>
      </c>
      <c r="O500" s="6" t="s">
        <v>2</v>
      </c>
    </row>
    <row r="501" spans="1:15" x14ac:dyDescent="0.25">
      <c r="A501">
        <v>500</v>
      </c>
      <c r="B501" t="s">
        <v>353</v>
      </c>
      <c r="C501" t="s">
        <v>729</v>
      </c>
      <c r="D501" t="s">
        <v>732</v>
      </c>
      <c r="E501" t="s">
        <v>292</v>
      </c>
      <c r="F501" t="s">
        <v>2</v>
      </c>
      <c r="G501" t="s">
        <v>38</v>
      </c>
      <c r="H501" t="s">
        <v>39</v>
      </c>
      <c r="I501" s="5" t="s">
        <v>294</v>
      </c>
      <c r="J501" s="5" t="s">
        <v>2</v>
      </c>
      <c r="K501" s="5" t="s">
        <v>2</v>
      </c>
      <c r="L501" s="6">
        <f>IF(I501="Cut","",IF(I501="Your call","(decide)",IF(I501="Rename",J501,IF(I501="Keep",IF(D501="",E501,D501),IF(E501="(unchanged)",D501,E501)))))</f>
      </c>
      <c r="M501" s="6">
        <f>IF(AND(I501="Cut",N501&gt;0,K501=""),"USED: say what replaces it (Note)",IF(AND(I501="Rename",J501=""),"type the new name",IF(AND(L501&lt;&gt;"",L501&lt;&gt;"(decide)",COUNTIF($L$2:$L$1680,L501)&gt;1),"SAME FINAL NAME AS ANOTHER ROW","")))</f>
      </c>
      <c r="N501" s="6">
        <v>0</v>
      </c>
      <c r="O501" s="6" t="s">
        <v>2</v>
      </c>
    </row>
    <row r="502" spans="1:15" x14ac:dyDescent="0.25">
      <c r="A502">
        <v>501</v>
      </c>
      <c r="B502" t="s">
        <v>353</v>
      </c>
      <c r="C502" t="s">
        <v>729</v>
      </c>
      <c r="D502" t="s">
        <v>733</v>
      </c>
      <c r="E502" t="s">
        <v>292</v>
      </c>
      <c r="F502" t="s">
        <v>2</v>
      </c>
      <c r="G502" t="s">
        <v>38</v>
      </c>
      <c r="H502" t="s">
        <v>39</v>
      </c>
      <c r="I502" s="5" t="s">
        <v>294</v>
      </c>
      <c r="J502" s="5" t="s">
        <v>2</v>
      </c>
      <c r="K502" s="5" t="s">
        <v>2</v>
      </c>
      <c r="L502" s="6">
        <f>IF(I502="Cut","",IF(I502="Your call","(decide)",IF(I502="Rename",J502,IF(I502="Keep",IF(D502="",E502,D502),IF(E502="(unchanged)",D502,E502)))))</f>
      </c>
      <c r="M502" s="6">
        <f>IF(AND(I502="Cut",N502&gt;0,K502=""),"USED: say what replaces it (Note)",IF(AND(I502="Rename",J502=""),"type the new name",IF(AND(L502&lt;&gt;"",L502&lt;&gt;"(decide)",COUNTIF($L$2:$L$1680,L502)&gt;1),"SAME FINAL NAME AS ANOTHER ROW","")))</f>
      </c>
      <c r="N502" s="6">
        <v>0</v>
      </c>
      <c r="O502" s="6" t="s">
        <v>2</v>
      </c>
    </row>
    <row r="503" spans="1:15" x14ac:dyDescent="0.25">
      <c r="A503">
        <v>502</v>
      </c>
      <c r="B503" t="s">
        <v>353</v>
      </c>
      <c r="C503" t="s">
        <v>729</v>
      </c>
      <c r="D503" t="s">
        <v>734</v>
      </c>
      <c r="E503" t="s">
        <v>292</v>
      </c>
      <c r="F503" t="s">
        <v>2</v>
      </c>
      <c r="G503" t="s">
        <v>38</v>
      </c>
      <c r="H503" t="s">
        <v>39</v>
      </c>
      <c r="I503" s="5" t="s">
        <v>294</v>
      </c>
      <c r="J503" s="5" t="s">
        <v>2</v>
      </c>
      <c r="K503" s="5" t="s">
        <v>2</v>
      </c>
      <c r="L503" s="6">
        <f>IF(I503="Cut","",IF(I503="Your call","(decide)",IF(I503="Rename",J503,IF(I503="Keep",IF(D503="",E503,D503),IF(E503="(unchanged)",D503,E503)))))</f>
      </c>
      <c r="M503" s="6">
        <f>IF(AND(I503="Cut",N503&gt;0,K503=""),"USED: say what replaces it (Note)",IF(AND(I503="Rename",J503=""),"type the new name",IF(AND(L503&lt;&gt;"",L503&lt;&gt;"(decide)",COUNTIF($L$2:$L$1680,L503)&gt;1),"SAME FINAL NAME AS ANOTHER ROW","")))</f>
      </c>
      <c r="N503" s="6">
        <v>0</v>
      </c>
      <c r="O503" s="6" t="s">
        <v>2</v>
      </c>
    </row>
    <row r="504" spans="1:15" x14ac:dyDescent="0.25">
      <c r="A504">
        <v>503</v>
      </c>
      <c r="B504" t="s">
        <v>353</v>
      </c>
      <c r="C504" t="s">
        <v>729</v>
      </c>
      <c r="D504" t="s">
        <v>735</v>
      </c>
      <c r="E504" t="s">
        <v>292</v>
      </c>
      <c r="F504" t="s">
        <v>2</v>
      </c>
      <c r="G504" t="s">
        <v>38</v>
      </c>
      <c r="H504" t="s">
        <v>39</v>
      </c>
      <c r="I504" s="5" t="s">
        <v>294</v>
      </c>
      <c r="J504" s="5" t="s">
        <v>2</v>
      </c>
      <c r="K504" s="5" t="s">
        <v>2</v>
      </c>
      <c r="L504" s="6">
        <f>IF(I504="Cut","",IF(I504="Your call","(decide)",IF(I504="Rename",J504,IF(I504="Keep",IF(D504="",E504,D504),IF(E504="(unchanged)",D504,E504)))))</f>
      </c>
      <c r="M504" s="6">
        <f>IF(AND(I504="Cut",N504&gt;0,K504=""),"USED: say what replaces it (Note)",IF(AND(I504="Rename",J504=""),"type the new name",IF(AND(L504&lt;&gt;"",L504&lt;&gt;"(decide)",COUNTIF($L$2:$L$1680,L504)&gt;1),"SAME FINAL NAME AS ANOTHER ROW","")))</f>
      </c>
      <c r="N504" s="6">
        <v>0</v>
      </c>
      <c r="O504" s="6" t="s">
        <v>2</v>
      </c>
    </row>
    <row r="505" spans="1:15" x14ac:dyDescent="0.25">
      <c r="A505">
        <v>504</v>
      </c>
      <c r="B505" t="s">
        <v>353</v>
      </c>
      <c r="C505" t="s">
        <v>729</v>
      </c>
      <c r="D505" t="s">
        <v>736</v>
      </c>
      <c r="E505" t="s">
        <v>292</v>
      </c>
      <c r="F505" t="s">
        <v>2</v>
      </c>
      <c r="G505" t="s">
        <v>38</v>
      </c>
      <c r="H505" t="s">
        <v>39</v>
      </c>
      <c r="I505" s="5" t="s">
        <v>294</v>
      </c>
      <c r="J505" s="5" t="s">
        <v>2</v>
      </c>
      <c r="K505" s="5" t="s">
        <v>2</v>
      </c>
      <c r="L505" s="6">
        <f>IF(I505="Cut","",IF(I505="Your call","(decide)",IF(I505="Rename",J505,IF(I505="Keep",IF(D505="",E505,D505),IF(E505="(unchanged)",D505,E505)))))</f>
      </c>
      <c r="M505" s="6">
        <f>IF(AND(I505="Cut",N505&gt;0,K505=""),"USED: say what replaces it (Note)",IF(AND(I505="Rename",J505=""),"type the new name",IF(AND(L505&lt;&gt;"",L505&lt;&gt;"(decide)",COUNTIF($L$2:$L$1680,L505)&gt;1),"SAME FINAL NAME AS ANOTHER ROW","")))</f>
      </c>
      <c r="N505" s="6">
        <v>0</v>
      </c>
      <c r="O505" s="6" t="s">
        <v>2</v>
      </c>
    </row>
    <row r="506" spans="1:15" x14ac:dyDescent="0.25">
      <c r="A506">
        <v>505</v>
      </c>
      <c r="B506" t="s">
        <v>353</v>
      </c>
      <c r="C506" t="s">
        <v>729</v>
      </c>
      <c r="D506" t="s">
        <v>737</v>
      </c>
      <c r="E506" t="s">
        <v>292</v>
      </c>
      <c r="F506" t="s">
        <v>2</v>
      </c>
      <c r="G506" t="s">
        <v>38</v>
      </c>
      <c r="H506" t="s">
        <v>39</v>
      </c>
      <c r="I506" s="5" t="s">
        <v>294</v>
      </c>
      <c r="J506" s="5" t="s">
        <v>2</v>
      </c>
      <c r="K506" s="5" t="s">
        <v>2</v>
      </c>
      <c r="L506" s="6">
        <f>IF(I506="Cut","",IF(I506="Your call","(decide)",IF(I506="Rename",J506,IF(I506="Keep",IF(D506="",E506,D506),IF(E506="(unchanged)",D506,E506)))))</f>
      </c>
      <c r="M506" s="6">
        <f>IF(AND(I506="Cut",N506&gt;0,K506=""),"USED: say what replaces it (Note)",IF(AND(I506="Rename",J506=""),"type the new name",IF(AND(L506&lt;&gt;"",L506&lt;&gt;"(decide)",COUNTIF($L$2:$L$1680,L506)&gt;1),"SAME FINAL NAME AS ANOTHER ROW","")))</f>
      </c>
      <c r="N506" s="6">
        <v>0</v>
      </c>
      <c r="O506" s="6" t="s">
        <v>2</v>
      </c>
    </row>
    <row r="507" spans="1:15" x14ac:dyDescent="0.25">
      <c r="A507">
        <v>506</v>
      </c>
      <c r="B507" t="s">
        <v>353</v>
      </c>
      <c r="C507" t="s">
        <v>729</v>
      </c>
      <c r="D507" t="s">
        <v>738</v>
      </c>
      <c r="E507" t="s">
        <v>292</v>
      </c>
      <c r="F507" t="s">
        <v>2</v>
      </c>
      <c r="G507" t="s">
        <v>38</v>
      </c>
      <c r="H507" t="s">
        <v>39</v>
      </c>
      <c r="I507" s="5" t="s">
        <v>294</v>
      </c>
      <c r="J507" s="5" t="s">
        <v>2</v>
      </c>
      <c r="K507" s="5" t="s">
        <v>2</v>
      </c>
      <c r="L507" s="6">
        <f>IF(I507="Cut","",IF(I507="Your call","(decide)",IF(I507="Rename",J507,IF(I507="Keep",IF(D507="",E507,D507),IF(E507="(unchanged)",D507,E507)))))</f>
      </c>
      <c r="M507" s="6">
        <f>IF(AND(I507="Cut",N507&gt;0,K507=""),"USED: say what replaces it (Note)",IF(AND(I507="Rename",J507=""),"type the new name",IF(AND(L507&lt;&gt;"",L507&lt;&gt;"(decide)",COUNTIF($L$2:$L$1680,L507)&gt;1),"SAME FINAL NAME AS ANOTHER ROW","")))</f>
      </c>
      <c r="N507" s="6">
        <v>0</v>
      </c>
      <c r="O507" s="6" t="s">
        <v>2</v>
      </c>
    </row>
    <row r="508" spans="1:15" x14ac:dyDescent="0.25">
      <c r="A508">
        <v>507</v>
      </c>
      <c r="B508" t="s">
        <v>353</v>
      </c>
      <c r="C508" t="s">
        <v>739</v>
      </c>
      <c r="D508" t="s">
        <v>740</v>
      </c>
      <c r="E508" t="s">
        <v>292</v>
      </c>
      <c r="F508" t="s">
        <v>2</v>
      </c>
      <c r="G508" t="s">
        <v>38</v>
      </c>
      <c r="H508" t="s">
        <v>39</v>
      </c>
      <c r="I508" s="5" t="s">
        <v>294</v>
      </c>
      <c r="J508" s="5" t="s">
        <v>2</v>
      </c>
      <c r="K508" s="5" t="s">
        <v>2</v>
      </c>
      <c r="L508" s="6">
        <f>IF(I508="Cut","",IF(I508="Your call","(decide)",IF(I508="Rename",J508,IF(I508="Keep",IF(D508="",E508,D508),IF(E508="(unchanged)",D508,E508)))))</f>
      </c>
      <c r="M508" s="6">
        <f>IF(AND(I508="Cut",N508&gt;0,K508=""),"USED: say what replaces it (Note)",IF(AND(I508="Rename",J508=""),"type the new name",IF(AND(L508&lt;&gt;"",L508&lt;&gt;"(decide)",COUNTIF($L$2:$L$1680,L508)&gt;1),"SAME FINAL NAME AS ANOTHER ROW","")))</f>
      </c>
      <c r="N508" s="6">
        <v>0</v>
      </c>
      <c r="O508" s="6" t="s">
        <v>2</v>
      </c>
    </row>
    <row r="509" spans="1:15" x14ac:dyDescent="0.25">
      <c r="A509">
        <v>508</v>
      </c>
      <c r="B509" t="s">
        <v>353</v>
      </c>
      <c r="C509" t="s">
        <v>739</v>
      </c>
      <c r="D509" t="s">
        <v>741</v>
      </c>
      <c r="E509" t="s">
        <v>292</v>
      </c>
      <c r="F509" t="s">
        <v>2</v>
      </c>
      <c r="G509" t="s">
        <v>38</v>
      </c>
      <c r="H509" t="s">
        <v>39</v>
      </c>
      <c r="I509" s="5" t="s">
        <v>294</v>
      </c>
      <c r="J509" s="5" t="s">
        <v>2</v>
      </c>
      <c r="K509" s="5" t="s">
        <v>2</v>
      </c>
      <c r="L509" s="6">
        <f>IF(I509="Cut","",IF(I509="Your call","(decide)",IF(I509="Rename",J509,IF(I509="Keep",IF(D509="",E509,D509),IF(E509="(unchanged)",D509,E509)))))</f>
      </c>
      <c r="M509" s="6">
        <f>IF(AND(I509="Cut",N509&gt;0,K509=""),"USED: say what replaces it (Note)",IF(AND(I509="Rename",J509=""),"type the new name",IF(AND(L509&lt;&gt;"",L509&lt;&gt;"(decide)",COUNTIF($L$2:$L$1680,L509)&gt;1),"SAME FINAL NAME AS ANOTHER ROW","")))</f>
      </c>
      <c r="N509" s="6">
        <v>0</v>
      </c>
      <c r="O509" s="6" t="s">
        <v>2</v>
      </c>
    </row>
    <row r="510" spans="1:15" x14ac:dyDescent="0.25">
      <c r="A510">
        <v>509</v>
      </c>
      <c r="B510" t="s">
        <v>353</v>
      </c>
      <c r="C510" t="s">
        <v>739</v>
      </c>
      <c r="D510" t="s">
        <v>742</v>
      </c>
      <c r="E510" t="s">
        <v>292</v>
      </c>
      <c r="F510" t="s">
        <v>2</v>
      </c>
      <c r="G510" t="s">
        <v>38</v>
      </c>
      <c r="H510" t="s">
        <v>39</v>
      </c>
      <c r="I510" s="5" t="s">
        <v>294</v>
      </c>
      <c r="J510" s="5" t="s">
        <v>2</v>
      </c>
      <c r="K510" s="5" t="s">
        <v>2</v>
      </c>
      <c r="L510" s="6">
        <f>IF(I510="Cut","",IF(I510="Your call","(decide)",IF(I510="Rename",J510,IF(I510="Keep",IF(D510="",E510,D510),IF(E510="(unchanged)",D510,E510)))))</f>
      </c>
      <c r="M510" s="6">
        <f>IF(AND(I510="Cut",N510&gt;0,K510=""),"USED: say what replaces it (Note)",IF(AND(I510="Rename",J510=""),"type the new name",IF(AND(L510&lt;&gt;"",L510&lt;&gt;"(decide)",COUNTIF($L$2:$L$1680,L510)&gt;1),"SAME FINAL NAME AS ANOTHER ROW","")))</f>
      </c>
      <c r="N510" s="6">
        <v>0</v>
      </c>
      <c r="O510" s="6" t="s">
        <v>2</v>
      </c>
    </row>
    <row r="511" spans="1:15" x14ac:dyDescent="0.25">
      <c r="A511">
        <v>510</v>
      </c>
      <c r="B511" t="s">
        <v>353</v>
      </c>
      <c r="C511" t="s">
        <v>739</v>
      </c>
      <c r="D511" t="s">
        <v>743</v>
      </c>
      <c r="E511" t="s">
        <v>292</v>
      </c>
      <c r="F511" t="s">
        <v>2</v>
      </c>
      <c r="G511" t="s">
        <v>38</v>
      </c>
      <c r="H511" t="s">
        <v>39</v>
      </c>
      <c r="I511" s="5" t="s">
        <v>294</v>
      </c>
      <c r="J511" s="5" t="s">
        <v>2</v>
      </c>
      <c r="K511" s="5" t="s">
        <v>2</v>
      </c>
      <c r="L511" s="6">
        <f>IF(I511="Cut","",IF(I511="Your call","(decide)",IF(I511="Rename",J511,IF(I511="Keep",IF(D511="",E511,D511),IF(E511="(unchanged)",D511,E511)))))</f>
      </c>
      <c r="M511" s="6">
        <f>IF(AND(I511="Cut",N511&gt;0,K511=""),"USED: say what replaces it (Note)",IF(AND(I511="Rename",J511=""),"type the new name",IF(AND(L511&lt;&gt;"",L511&lt;&gt;"(decide)",COUNTIF($L$2:$L$1680,L511)&gt;1),"SAME FINAL NAME AS ANOTHER ROW","")))</f>
      </c>
      <c r="N511" s="6">
        <v>0</v>
      </c>
      <c r="O511" s="6" t="s">
        <v>2</v>
      </c>
    </row>
    <row r="512" spans="1:15" x14ac:dyDescent="0.25">
      <c r="A512">
        <v>511</v>
      </c>
      <c r="B512" t="s">
        <v>353</v>
      </c>
      <c r="C512" t="s">
        <v>739</v>
      </c>
      <c r="D512" t="s">
        <v>744</v>
      </c>
      <c r="E512" t="s">
        <v>292</v>
      </c>
      <c r="F512" t="s">
        <v>2</v>
      </c>
      <c r="G512" t="s">
        <v>38</v>
      </c>
      <c r="H512" t="s">
        <v>39</v>
      </c>
      <c r="I512" s="5" t="s">
        <v>294</v>
      </c>
      <c r="J512" s="5" t="s">
        <v>2</v>
      </c>
      <c r="K512" s="5" t="s">
        <v>2</v>
      </c>
      <c r="L512" s="6">
        <f>IF(I512="Cut","",IF(I512="Your call","(decide)",IF(I512="Rename",J512,IF(I512="Keep",IF(D512="",E512,D512),IF(E512="(unchanged)",D512,E512)))))</f>
      </c>
      <c r="M512" s="6">
        <f>IF(AND(I512="Cut",N512&gt;0,K512=""),"USED: say what replaces it (Note)",IF(AND(I512="Rename",J512=""),"type the new name",IF(AND(L512&lt;&gt;"",L512&lt;&gt;"(decide)",COUNTIF($L$2:$L$1680,L512)&gt;1),"SAME FINAL NAME AS ANOTHER ROW","")))</f>
      </c>
      <c r="N512" s="6">
        <v>0</v>
      </c>
      <c r="O512" s="6" t="s">
        <v>2</v>
      </c>
    </row>
    <row r="513" spans="1:15" x14ac:dyDescent="0.25">
      <c r="A513">
        <v>512</v>
      </c>
      <c r="B513" t="s">
        <v>353</v>
      </c>
      <c r="C513" t="s">
        <v>739</v>
      </c>
      <c r="D513" t="s">
        <v>745</v>
      </c>
      <c r="E513" t="s">
        <v>292</v>
      </c>
      <c r="F513" t="s">
        <v>2</v>
      </c>
      <c r="G513" t="s">
        <v>38</v>
      </c>
      <c r="H513" t="s">
        <v>39</v>
      </c>
      <c r="I513" s="5" t="s">
        <v>294</v>
      </c>
      <c r="J513" s="5" t="s">
        <v>2</v>
      </c>
      <c r="K513" s="5" t="s">
        <v>2</v>
      </c>
      <c r="L513" s="6">
        <f>IF(I513="Cut","",IF(I513="Your call","(decide)",IF(I513="Rename",J513,IF(I513="Keep",IF(D513="",E513,D513),IF(E513="(unchanged)",D513,E513)))))</f>
      </c>
      <c r="M513" s="6">
        <f>IF(AND(I513="Cut",N513&gt;0,K513=""),"USED: say what replaces it (Note)",IF(AND(I513="Rename",J513=""),"type the new name",IF(AND(L513&lt;&gt;"",L513&lt;&gt;"(decide)",COUNTIF($L$2:$L$1680,L513)&gt;1),"SAME FINAL NAME AS ANOTHER ROW","")))</f>
      </c>
      <c r="N513" s="6">
        <v>0</v>
      </c>
      <c r="O513" s="6" t="s">
        <v>2</v>
      </c>
    </row>
    <row r="514" spans="1:15" x14ac:dyDescent="0.25">
      <c r="A514">
        <v>513</v>
      </c>
      <c r="B514" t="s">
        <v>353</v>
      </c>
      <c r="C514" t="s">
        <v>739</v>
      </c>
      <c r="D514" t="s">
        <v>746</v>
      </c>
      <c r="E514" t="s">
        <v>292</v>
      </c>
      <c r="F514" t="s">
        <v>2</v>
      </c>
      <c r="G514" t="s">
        <v>38</v>
      </c>
      <c r="H514" t="s">
        <v>39</v>
      </c>
      <c r="I514" s="5" t="s">
        <v>294</v>
      </c>
      <c r="J514" s="5" t="s">
        <v>2</v>
      </c>
      <c r="K514" s="5" t="s">
        <v>2</v>
      </c>
      <c r="L514" s="6">
        <f>IF(I514="Cut","",IF(I514="Your call","(decide)",IF(I514="Rename",J514,IF(I514="Keep",IF(D514="",E514,D514),IF(E514="(unchanged)",D514,E514)))))</f>
      </c>
      <c r="M514" s="6">
        <f>IF(AND(I514="Cut",N514&gt;0,K514=""),"USED: say what replaces it (Note)",IF(AND(I514="Rename",J514=""),"type the new name",IF(AND(L514&lt;&gt;"",L514&lt;&gt;"(decide)",COUNTIF($L$2:$L$1680,L514)&gt;1),"SAME FINAL NAME AS ANOTHER ROW","")))</f>
      </c>
      <c r="N514" s="6">
        <v>0</v>
      </c>
      <c r="O514" s="6" t="s">
        <v>2</v>
      </c>
    </row>
    <row r="515" spans="1:15" x14ac:dyDescent="0.25">
      <c r="A515">
        <v>514</v>
      </c>
      <c r="B515" t="s">
        <v>353</v>
      </c>
      <c r="C515" t="s">
        <v>739</v>
      </c>
      <c r="D515" t="s">
        <v>747</v>
      </c>
      <c r="E515" t="s">
        <v>292</v>
      </c>
      <c r="F515" t="s">
        <v>2</v>
      </c>
      <c r="G515" t="s">
        <v>38</v>
      </c>
      <c r="H515" t="s">
        <v>39</v>
      </c>
      <c r="I515" s="5" t="s">
        <v>294</v>
      </c>
      <c r="J515" s="5" t="s">
        <v>2</v>
      </c>
      <c r="K515" s="5" t="s">
        <v>2</v>
      </c>
      <c r="L515" s="6">
        <f>IF(I515="Cut","",IF(I515="Your call","(decide)",IF(I515="Rename",J515,IF(I515="Keep",IF(D515="",E515,D515),IF(E515="(unchanged)",D515,E515)))))</f>
      </c>
      <c r="M515" s="6">
        <f>IF(AND(I515="Cut",N515&gt;0,K515=""),"USED: say what replaces it (Note)",IF(AND(I515="Rename",J515=""),"type the new name",IF(AND(L515&lt;&gt;"",L515&lt;&gt;"(decide)",COUNTIF($L$2:$L$1680,L515)&gt;1),"SAME FINAL NAME AS ANOTHER ROW","")))</f>
      </c>
      <c r="N515" s="6">
        <v>0</v>
      </c>
      <c r="O515" s="6" t="s">
        <v>2</v>
      </c>
    </row>
    <row r="516" spans="1:15" x14ac:dyDescent="0.25">
      <c r="A516">
        <v>515</v>
      </c>
      <c r="B516" t="s">
        <v>353</v>
      </c>
      <c r="C516" t="s">
        <v>739</v>
      </c>
      <c r="D516" t="s">
        <v>748</v>
      </c>
      <c r="E516" t="s">
        <v>292</v>
      </c>
      <c r="F516" t="s">
        <v>2</v>
      </c>
      <c r="G516" t="s">
        <v>38</v>
      </c>
      <c r="H516" t="s">
        <v>39</v>
      </c>
      <c r="I516" s="5" t="s">
        <v>294</v>
      </c>
      <c r="J516" s="5" t="s">
        <v>2</v>
      </c>
      <c r="K516" s="5" t="s">
        <v>2</v>
      </c>
      <c r="L516" s="6">
        <f>IF(I516="Cut","",IF(I516="Your call","(decide)",IF(I516="Rename",J516,IF(I516="Keep",IF(D516="",E516,D516),IF(E516="(unchanged)",D516,E516)))))</f>
      </c>
      <c r="M516" s="6">
        <f>IF(AND(I516="Cut",N516&gt;0,K516=""),"USED: say what replaces it (Note)",IF(AND(I516="Rename",J516=""),"type the new name",IF(AND(L516&lt;&gt;"",L516&lt;&gt;"(decide)",COUNTIF($L$2:$L$1680,L516)&gt;1),"SAME FINAL NAME AS ANOTHER ROW","")))</f>
      </c>
      <c r="N516" s="6">
        <v>0</v>
      </c>
      <c r="O516" s="6" t="s">
        <v>2</v>
      </c>
    </row>
    <row r="517" spans="1:15" x14ac:dyDescent="0.25">
      <c r="A517">
        <v>516</v>
      </c>
      <c r="B517" t="s">
        <v>353</v>
      </c>
      <c r="C517" t="s">
        <v>749</v>
      </c>
      <c r="D517" t="s">
        <v>750</v>
      </c>
      <c r="E517" t="s">
        <v>292</v>
      </c>
      <c r="F517" t="s">
        <v>2</v>
      </c>
      <c r="G517" t="s">
        <v>38</v>
      </c>
      <c r="H517" t="s">
        <v>39</v>
      </c>
      <c r="I517" s="5" t="s">
        <v>294</v>
      </c>
      <c r="J517" s="5" t="s">
        <v>2</v>
      </c>
      <c r="K517" s="5" t="s">
        <v>2</v>
      </c>
      <c r="L517" s="6">
        <f>IF(I517="Cut","",IF(I517="Your call","(decide)",IF(I517="Rename",J517,IF(I517="Keep",IF(D517="",E517,D517),IF(E517="(unchanged)",D517,E517)))))</f>
      </c>
      <c r="M517" s="6">
        <f>IF(AND(I517="Cut",N517&gt;0,K517=""),"USED: say what replaces it (Note)",IF(AND(I517="Rename",J517=""),"type the new name",IF(AND(L517&lt;&gt;"",L517&lt;&gt;"(decide)",COUNTIF($L$2:$L$1680,L517)&gt;1),"SAME FINAL NAME AS ANOTHER ROW","")))</f>
      </c>
      <c r="N517" s="6">
        <v>0</v>
      </c>
      <c r="O517" s="6" t="s">
        <v>2</v>
      </c>
    </row>
    <row r="518" spans="1:15" x14ac:dyDescent="0.25">
      <c r="A518">
        <v>517</v>
      </c>
      <c r="B518" t="s">
        <v>353</v>
      </c>
      <c r="C518" t="s">
        <v>749</v>
      </c>
      <c r="D518" t="s">
        <v>751</v>
      </c>
      <c r="E518" t="s">
        <v>292</v>
      </c>
      <c r="F518" t="s">
        <v>2</v>
      </c>
      <c r="G518" t="s">
        <v>38</v>
      </c>
      <c r="H518" t="s">
        <v>39</v>
      </c>
      <c r="I518" s="5" t="s">
        <v>294</v>
      </c>
      <c r="J518" s="5" t="s">
        <v>2</v>
      </c>
      <c r="K518" s="5" t="s">
        <v>2</v>
      </c>
      <c r="L518" s="6">
        <f>IF(I518="Cut","",IF(I518="Your call","(decide)",IF(I518="Rename",J518,IF(I518="Keep",IF(D518="",E518,D518),IF(E518="(unchanged)",D518,E518)))))</f>
      </c>
      <c r="M518" s="6">
        <f>IF(AND(I518="Cut",N518&gt;0,K518=""),"USED: say what replaces it (Note)",IF(AND(I518="Rename",J518=""),"type the new name",IF(AND(L518&lt;&gt;"",L518&lt;&gt;"(decide)",COUNTIF($L$2:$L$1680,L518)&gt;1),"SAME FINAL NAME AS ANOTHER ROW","")))</f>
      </c>
      <c r="N518" s="6">
        <v>0</v>
      </c>
      <c r="O518" s="6" t="s">
        <v>2</v>
      </c>
    </row>
    <row r="519" spans="1:15" x14ac:dyDescent="0.25">
      <c r="A519">
        <v>518</v>
      </c>
      <c r="B519" t="s">
        <v>353</v>
      </c>
      <c r="C519" t="s">
        <v>749</v>
      </c>
      <c r="D519" t="s">
        <v>752</v>
      </c>
      <c r="E519" t="s">
        <v>292</v>
      </c>
      <c r="F519" t="s">
        <v>2</v>
      </c>
      <c r="G519" t="s">
        <v>38</v>
      </c>
      <c r="H519" t="s">
        <v>39</v>
      </c>
      <c r="I519" s="5" t="s">
        <v>294</v>
      </c>
      <c r="J519" s="5" t="s">
        <v>2</v>
      </c>
      <c r="K519" s="5" t="s">
        <v>2</v>
      </c>
      <c r="L519" s="6">
        <f>IF(I519="Cut","",IF(I519="Your call","(decide)",IF(I519="Rename",J519,IF(I519="Keep",IF(D519="",E519,D519),IF(E519="(unchanged)",D519,E519)))))</f>
      </c>
      <c r="M519" s="6">
        <f>IF(AND(I519="Cut",N519&gt;0,K519=""),"USED: say what replaces it (Note)",IF(AND(I519="Rename",J519=""),"type the new name",IF(AND(L519&lt;&gt;"",L519&lt;&gt;"(decide)",COUNTIF($L$2:$L$1680,L519)&gt;1),"SAME FINAL NAME AS ANOTHER ROW","")))</f>
      </c>
      <c r="N519" s="6">
        <v>0</v>
      </c>
      <c r="O519" s="6" t="s">
        <v>2</v>
      </c>
    </row>
    <row r="520" spans="1:15" x14ac:dyDescent="0.25">
      <c r="A520">
        <v>519</v>
      </c>
      <c r="B520" t="s">
        <v>353</v>
      </c>
      <c r="C520" t="s">
        <v>749</v>
      </c>
      <c r="D520" t="s">
        <v>753</v>
      </c>
      <c r="E520" t="s">
        <v>292</v>
      </c>
      <c r="F520" t="s">
        <v>2</v>
      </c>
      <c r="G520" t="s">
        <v>38</v>
      </c>
      <c r="H520" t="s">
        <v>39</v>
      </c>
      <c r="I520" s="5" t="s">
        <v>294</v>
      </c>
      <c r="J520" s="5" t="s">
        <v>2</v>
      </c>
      <c r="K520" s="5" t="s">
        <v>2</v>
      </c>
      <c r="L520" s="6">
        <f>IF(I520="Cut","",IF(I520="Your call","(decide)",IF(I520="Rename",J520,IF(I520="Keep",IF(D520="",E520,D520),IF(E520="(unchanged)",D520,E520)))))</f>
      </c>
      <c r="M520" s="6">
        <f>IF(AND(I520="Cut",N520&gt;0,K520=""),"USED: say what replaces it (Note)",IF(AND(I520="Rename",J520=""),"type the new name",IF(AND(L520&lt;&gt;"",L520&lt;&gt;"(decide)",COUNTIF($L$2:$L$1680,L520)&gt;1),"SAME FINAL NAME AS ANOTHER ROW","")))</f>
      </c>
      <c r="N520" s="6">
        <v>0</v>
      </c>
      <c r="O520" s="6" t="s">
        <v>2</v>
      </c>
    </row>
    <row r="521" spans="1:15" x14ac:dyDescent="0.25">
      <c r="A521">
        <v>520</v>
      </c>
      <c r="B521" t="s">
        <v>353</v>
      </c>
      <c r="C521" t="s">
        <v>749</v>
      </c>
      <c r="D521" t="s">
        <v>754</v>
      </c>
      <c r="E521" t="s">
        <v>292</v>
      </c>
      <c r="F521" t="s">
        <v>2</v>
      </c>
      <c r="G521" t="s">
        <v>38</v>
      </c>
      <c r="H521" t="s">
        <v>39</v>
      </c>
      <c r="I521" s="5" t="s">
        <v>294</v>
      </c>
      <c r="J521" s="5" t="s">
        <v>2</v>
      </c>
      <c r="K521" s="5" t="s">
        <v>2</v>
      </c>
      <c r="L521" s="6">
        <f>IF(I521="Cut","",IF(I521="Your call","(decide)",IF(I521="Rename",J521,IF(I521="Keep",IF(D521="",E521,D521),IF(E521="(unchanged)",D521,E521)))))</f>
      </c>
      <c r="M521" s="6">
        <f>IF(AND(I521="Cut",N521&gt;0,K521=""),"USED: say what replaces it (Note)",IF(AND(I521="Rename",J521=""),"type the new name",IF(AND(L521&lt;&gt;"",L521&lt;&gt;"(decide)",COUNTIF($L$2:$L$1680,L521)&gt;1),"SAME FINAL NAME AS ANOTHER ROW","")))</f>
      </c>
      <c r="N521" s="6">
        <v>0</v>
      </c>
      <c r="O521" s="6" t="s">
        <v>2</v>
      </c>
    </row>
    <row r="522" spans="1:15" x14ac:dyDescent="0.25">
      <c r="A522">
        <v>521</v>
      </c>
      <c r="B522" t="s">
        <v>353</v>
      </c>
      <c r="C522" t="s">
        <v>749</v>
      </c>
      <c r="D522" t="s">
        <v>755</v>
      </c>
      <c r="E522" t="s">
        <v>292</v>
      </c>
      <c r="F522" t="s">
        <v>2</v>
      </c>
      <c r="G522" t="s">
        <v>38</v>
      </c>
      <c r="H522" t="s">
        <v>39</v>
      </c>
      <c r="I522" s="5" t="s">
        <v>294</v>
      </c>
      <c r="J522" s="5" t="s">
        <v>2</v>
      </c>
      <c r="K522" s="5" t="s">
        <v>2</v>
      </c>
      <c r="L522" s="6">
        <f>IF(I522="Cut","",IF(I522="Your call","(decide)",IF(I522="Rename",J522,IF(I522="Keep",IF(D522="",E522,D522),IF(E522="(unchanged)",D522,E522)))))</f>
      </c>
      <c r="M522" s="6">
        <f>IF(AND(I522="Cut",N522&gt;0,K522=""),"USED: say what replaces it (Note)",IF(AND(I522="Rename",J522=""),"type the new name",IF(AND(L522&lt;&gt;"",L522&lt;&gt;"(decide)",COUNTIF($L$2:$L$1680,L522)&gt;1),"SAME FINAL NAME AS ANOTHER ROW","")))</f>
      </c>
      <c r="N522" s="6">
        <v>0</v>
      </c>
      <c r="O522" s="6" t="s">
        <v>2</v>
      </c>
    </row>
    <row r="523" spans="1:15" x14ac:dyDescent="0.25">
      <c r="A523">
        <v>522</v>
      </c>
      <c r="B523" t="s">
        <v>353</v>
      </c>
      <c r="C523" t="s">
        <v>749</v>
      </c>
      <c r="D523" t="s">
        <v>756</v>
      </c>
      <c r="E523" t="s">
        <v>292</v>
      </c>
      <c r="F523" t="s">
        <v>2</v>
      </c>
      <c r="G523" t="s">
        <v>38</v>
      </c>
      <c r="H523" t="s">
        <v>39</v>
      </c>
      <c r="I523" s="5" t="s">
        <v>294</v>
      </c>
      <c r="J523" s="5" t="s">
        <v>2</v>
      </c>
      <c r="K523" s="5" t="s">
        <v>2</v>
      </c>
      <c r="L523" s="6">
        <f>IF(I523="Cut","",IF(I523="Your call","(decide)",IF(I523="Rename",J523,IF(I523="Keep",IF(D523="",E523,D523),IF(E523="(unchanged)",D523,E523)))))</f>
      </c>
      <c r="M523" s="6">
        <f>IF(AND(I523="Cut",N523&gt;0,K523=""),"USED: say what replaces it (Note)",IF(AND(I523="Rename",J523=""),"type the new name",IF(AND(L523&lt;&gt;"",L523&lt;&gt;"(decide)",COUNTIF($L$2:$L$1680,L523)&gt;1),"SAME FINAL NAME AS ANOTHER ROW","")))</f>
      </c>
      <c r="N523" s="6">
        <v>0</v>
      </c>
      <c r="O523" s="6" t="s">
        <v>2</v>
      </c>
    </row>
    <row r="524" spans="1:15" x14ac:dyDescent="0.25">
      <c r="A524">
        <v>523</v>
      </c>
      <c r="B524" t="s">
        <v>353</v>
      </c>
      <c r="C524" t="s">
        <v>749</v>
      </c>
      <c r="D524" t="s">
        <v>757</v>
      </c>
      <c r="E524" t="s">
        <v>292</v>
      </c>
      <c r="F524" t="s">
        <v>2</v>
      </c>
      <c r="G524" t="s">
        <v>38</v>
      </c>
      <c r="H524" t="s">
        <v>39</v>
      </c>
      <c r="I524" s="5" t="s">
        <v>294</v>
      </c>
      <c r="J524" s="5" t="s">
        <v>2</v>
      </c>
      <c r="K524" s="5" t="s">
        <v>2</v>
      </c>
      <c r="L524" s="6">
        <f>IF(I524="Cut","",IF(I524="Your call","(decide)",IF(I524="Rename",J524,IF(I524="Keep",IF(D524="",E524,D524),IF(E524="(unchanged)",D524,E524)))))</f>
      </c>
      <c r="M524" s="6">
        <f>IF(AND(I524="Cut",N524&gt;0,K524=""),"USED: say what replaces it (Note)",IF(AND(I524="Rename",J524=""),"type the new name",IF(AND(L524&lt;&gt;"",L524&lt;&gt;"(decide)",COUNTIF($L$2:$L$1680,L524)&gt;1),"SAME FINAL NAME AS ANOTHER ROW","")))</f>
      </c>
      <c r="N524" s="6">
        <v>0</v>
      </c>
      <c r="O524" s="6" t="s">
        <v>2</v>
      </c>
    </row>
    <row r="525" spans="1:15" x14ac:dyDescent="0.25">
      <c r="A525">
        <v>524</v>
      </c>
      <c r="B525" t="s">
        <v>353</v>
      </c>
      <c r="C525" t="s">
        <v>749</v>
      </c>
      <c r="D525" t="s">
        <v>758</v>
      </c>
      <c r="E525" t="s">
        <v>292</v>
      </c>
      <c r="F525" t="s">
        <v>2</v>
      </c>
      <c r="G525" t="s">
        <v>38</v>
      </c>
      <c r="H525" t="s">
        <v>39</v>
      </c>
      <c r="I525" s="5" t="s">
        <v>294</v>
      </c>
      <c r="J525" s="5" t="s">
        <v>2</v>
      </c>
      <c r="K525" s="5" t="s">
        <v>2</v>
      </c>
      <c r="L525" s="6">
        <f>IF(I525="Cut","",IF(I525="Your call","(decide)",IF(I525="Rename",J525,IF(I525="Keep",IF(D525="",E525,D525),IF(E525="(unchanged)",D525,E525)))))</f>
      </c>
      <c r="M525" s="6">
        <f>IF(AND(I525="Cut",N525&gt;0,K525=""),"USED: say what replaces it (Note)",IF(AND(I525="Rename",J525=""),"type the new name",IF(AND(L525&lt;&gt;"",L525&lt;&gt;"(decide)",COUNTIF($L$2:$L$1680,L525)&gt;1),"SAME FINAL NAME AS ANOTHER ROW","")))</f>
      </c>
      <c r="N525" s="6">
        <v>0</v>
      </c>
      <c r="O525" s="6" t="s">
        <v>2</v>
      </c>
    </row>
    <row r="526" spans="1:15" x14ac:dyDescent="0.25">
      <c r="A526">
        <v>525</v>
      </c>
      <c r="B526" t="s">
        <v>353</v>
      </c>
      <c r="C526" t="s">
        <v>759</v>
      </c>
      <c r="D526" t="s">
        <v>760</v>
      </c>
      <c r="E526" t="s">
        <v>292</v>
      </c>
      <c r="F526" t="s">
        <v>2</v>
      </c>
      <c r="G526" t="s">
        <v>38</v>
      </c>
      <c r="H526" t="s">
        <v>39</v>
      </c>
      <c r="I526" s="5" t="s">
        <v>294</v>
      </c>
      <c r="J526" s="5" t="s">
        <v>2</v>
      </c>
      <c r="K526" s="5" t="s">
        <v>2</v>
      </c>
      <c r="L526" s="6">
        <f>IF(I526="Cut","",IF(I526="Your call","(decide)",IF(I526="Rename",J526,IF(I526="Keep",IF(D526="",E526,D526),IF(E526="(unchanged)",D526,E526)))))</f>
      </c>
      <c r="M526" s="6">
        <f>IF(AND(I526="Cut",N526&gt;0,K526=""),"USED: say what replaces it (Note)",IF(AND(I526="Rename",J526=""),"type the new name",IF(AND(L526&lt;&gt;"",L526&lt;&gt;"(decide)",COUNTIF($L$2:$L$1680,L526)&gt;1),"SAME FINAL NAME AS ANOTHER ROW","")))</f>
      </c>
      <c r="N526" s="6">
        <v>0</v>
      </c>
      <c r="O526" s="6" t="s">
        <v>2</v>
      </c>
    </row>
    <row r="527" spans="1:15" x14ac:dyDescent="0.25">
      <c r="A527">
        <v>526</v>
      </c>
      <c r="B527" t="s">
        <v>353</v>
      </c>
      <c r="C527" t="s">
        <v>759</v>
      </c>
      <c r="D527" t="s">
        <v>761</v>
      </c>
      <c r="E527" t="s">
        <v>292</v>
      </c>
      <c r="F527" t="s">
        <v>2</v>
      </c>
      <c r="G527" t="s">
        <v>38</v>
      </c>
      <c r="H527" t="s">
        <v>39</v>
      </c>
      <c r="I527" s="5" t="s">
        <v>294</v>
      </c>
      <c r="J527" s="5" t="s">
        <v>2</v>
      </c>
      <c r="K527" s="5" t="s">
        <v>2</v>
      </c>
      <c r="L527" s="6">
        <f>IF(I527="Cut","",IF(I527="Your call","(decide)",IF(I527="Rename",J527,IF(I527="Keep",IF(D527="",E527,D527),IF(E527="(unchanged)",D527,E527)))))</f>
      </c>
      <c r="M527" s="6">
        <f>IF(AND(I527="Cut",N527&gt;0,K527=""),"USED: say what replaces it (Note)",IF(AND(I527="Rename",J527=""),"type the new name",IF(AND(L527&lt;&gt;"",L527&lt;&gt;"(decide)",COUNTIF($L$2:$L$1680,L527)&gt;1),"SAME FINAL NAME AS ANOTHER ROW","")))</f>
      </c>
      <c r="N527" s="6">
        <v>0</v>
      </c>
      <c r="O527" s="6" t="s">
        <v>2</v>
      </c>
    </row>
    <row r="528" spans="1:15" x14ac:dyDescent="0.25">
      <c r="A528">
        <v>527</v>
      </c>
      <c r="B528" t="s">
        <v>353</v>
      </c>
      <c r="C528" t="s">
        <v>759</v>
      </c>
      <c r="D528" t="s">
        <v>762</v>
      </c>
      <c r="E528" t="s">
        <v>292</v>
      </c>
      <c r="F528" t="s">
        <v>2</v>
      </c>
      <c r="G528" t="s">
        <v>38</v>
      </c>
      <c r="H528" t="s">
        <v>39</v>
      </c>
      <c r="I528" s="5" t="s">
        <v>294</v>
      </c>
      <c r="J528" s="5" t="s">
        <v>2</v>
      </c>
      <c r="K528" s="5" t="s">
        <v>2</v>
      </c>
      <c r="L528" s="6">
        <f>IF(I528="Cut","",IF(I528="Your call","(decide)",IF(I528="Rename",J528,IF(I528="Keep",IF(D528="",E528,D528),IF(E528="(unchanged)",D528,E528)))))</f>
      </c>
      <c r="M528" s="6">
        <f>IF(AND(I528="Cut",N528&gt;0,K528=""),"USED: say what replaces it (Note)",IF(AND(I528="Rename",J528=""),"type the new name",IF(AND(L528&lt;&gt;"",L528&lt;&gt;"(decide)",COUNTIF($L$2:$L$1680,L528)&gt;1),"SAME FINAL NAME AS ANOTHER ROW","")))</f>
      </c>
      <c r="N528" s="6">
        <v>0</v>
      </c>
      <c r="O528" s="6" t="s">
        <v>2</v>
      </c>
    </row>
    <row r="529" spans="1:15" x14ac:dyDescent="0.25">
      <c r="A529">
        <v>528</v>
      </c>
      <c r="B529" t="s">
        <v>353</v>
      </c>
      <c r="C529" t="s">
        <v>759</v>
      </c>
      <c r="D529" t="s">
        <v>763</v>
      </c>
      <c r="E529" t="s">
        <v>292</v>
      </c>
      <c r="F529" t="s">
        <v>2</v>
      </c>
      <c r="G529" t="s">
        <v>38</v>
      </c>
      <c r="H529" t="s">
        <v>39</v>
      </c>
      <c r="I529" s="5" t="s">
        <v>294</v>
      </c>
      <c r="J529" s="5" t="s">
        <v>2</v>
      </c>
      <c r="K529" s="5" t="s">
        <v>2</v>
      </c>
      <c r="L529" s="6">
        <f>IF(I529="Cut","",IF(I529="Your call","(decide)",IF(I529="Rename",J529,IF(I529="Keep",IF(D529="",E529,D529),IF(E529="(unchanged)",D529,E529)))))</f>
      </c>
      <c r="M529" s="6">
        <f>IF(AND(I529="Cut",N529&gt;0,K529=""),"USED: say what replaces it (Note)",IF(AND(I529="Rename",J529=""),"type the new name",IF(AND(L529&lt;&gt;"",L529&lt;&gt;"(decide)",COUNTIF($L$2:$L$1680,L529)&gt;1),"SAME FINAL NAME AS ANOTHER ROW","")))</f>
      </c>
      <c r="N529" s="6">
        <v>0</v>
      </c>
      <c r="O529" s="6" t="s">
        <v>2</v>
      </c>
    </row>
    <row r="530" spans="1:15" x14ac:dyDescent="0.25">
      <c r="A530">
        <v>529</v>
      </c>
      <c r="B530" t="s">
        <v>353</v>
      </c>
      <c r="C530" t="s">
        <v>759</v>
      </c>
      <c r="D530" t="s">
        <v>764</v>
      </c>
      <c r="E530" t="s">
        <v>292</v>
      </c>
      <c r="F530" t="s">
        <v>2</v>
      </c>
      <c r="G530" t="s">
        <v>38</v>
      </c>
      <c r="H530" t="s">
        <v>39</v>
      </c>
      <c r="I530" s="5" t="s">
        <v>294</v>
      </c>
      <c r="J530" s="5" t="s">
        <v>2</v>
      </c>
      <c r="K530" s="5" t="s">
        <v>2</v>
      </c>
      <c r="L530" s="6">
        <f>IF(I530="Cut","",IF(I530="Your call","(decide)",IF(I530="Rename",J530,IF(I530="Keep",IF(D530="",E530,D530),IF(E530="(unchanged)",D530,E530)))))</f>
      </c>
      <c r="M530" s="6">
        <f>IF(AND(I530="Cut",N530&gt;0,K530=""),"USED: say what replaces it (Note)",IF(AND(I530="Rename",J530=""),"type the new name",IF(AND(L530&lt;&gt;"",L530&lt;&gt;"(decide)",COUNTIF($L$2:$L$1680,L530)&gt;1),"SAME FINAL NAME AS ANOTHER ROW","")))</f>
      </c>
      <c r="N530" s="6">
        <v>0</v>
      </c>
      <c r="O530" s="6" t="s">
        <v>2</v>
      </c>
    </row>
    <row r="531" spans="1:15" x14ac:dyDescent="0.25">
      <c r="A531">
        <v>530</v>
      </c>
      <c r="B531" t="s">
        <v>353</v>
      </c>
      <c r="C531" t="s">
        <v>759</v>
      </c>
      <c r="D531" t="s">
        <v>765</v>
      </c>
      <c r="E531" t="s">
        <v>292</v>
      </c>
      <c r="F531" t="s">
        <v>2</v>
      </c>
      <c r="G531" t="s">
        <v>38</v>
      </c>
      <c r="H531" t="s">
        <v>39</v>
      </c>
      <c r="I531" s="5" t="s">
        <v>294</v>
      </c>
      <c r="J531" s="5" t="s">
        <v>2</v>
      </c>
      <c r="K531" s="5" t="s">
        <v>2</v>
      </c>
      <c r="L531" s="6">
        <f>IF(I531="Cut","",IF(I531="Your call","(decide)",IF(I531="Rename",J531,IF(I531="Keep",IF(D531="",E531,D531),IF(E531="(unchanged)",D531,E531)))))</f>
      </c>
      <c r="M531" s="6">
        <f>IF(AND(I531="Cut",N531&gt;0,K531=""),"USED: say what replaces it (Note)",IF(AND(I531="Rename",J531=""),"type the new name",IF(AND(L531&lt;&gt;"",L531&lt;&gt;"(decide)",COUNTIF($L$2:$L$1680,L531)&gt;1),"SAME FINAL NAME AS ANOTHER ROW","")))</f>
      </c>
      <c r="N531" s="6">
        <v>0</v>
      </c>
      <c r="O531" s="6" t="s">
        <v>2</v>
      </c>
    </row>
    <row r="532" spans="1:15" x14ac:dyDescent="0.25">
      <c r="A532">
        <v>531</v>
      </c>
      <c r="B532" t="s">
        <v>353</v>
      </c>
      <c r="C532" t="s">
        <v>759</v>
      </c>
      <c r="D532" t="s">
        <v>766</v>
      </c>
      <c r="E532" t="s">
        <v>292</v>
      </c>
      <c r="F532" t="s">
        <v>2</v>
      </c>
      <c r="G532" t="s">
        <v>38</v>
      </c>
      <c r="H532" t="s">
        <v>39</v>
      </c>
      <c r="I532" s="5" t="s">
        <v>294</v>
      </c>
      <c r="J532" s="5" t="s">
        <v>2</v>
      </c>
      <c r="K532" s="5" t="s">
        <v>2</v>
      </c>
      <c r="L532" s="6">
        <f>IF(I532="Cut","",IF(I532="Your call","(decide)",IF(I532="Rename",J532,IF(I532="Keep",IF(D532="",E532,D532),IF(E532="(unchanged)",D532,E532)))))</f>
      </c>
      <c r="M532" s="6">
        <f>IF(AND(I532="Cut",N532&gt;0,K532=""),"USED: say what replaces it (Note)",IF(AND(I532="Rename",J532=""),"type the new name",IF(AND(L532&lt;&gt;"",L532&lt;&gt;"(decide)",COUNTIF($L$2:$L$1680,L532)&gt;1),"SAME FINAL NAME AS ANOTHER ROW","")))</f>
      </c>
      <c r="N532" s="6">
        <v>0</v>
      </c>
      <c r="O532" s="6" t="s">
        <v>2</v>
      </c>
    </row>
    <row r="533" spans="1:15" x14ac:dyDescent="0.25">
      <c r="A533">
        <v>532</v>
      </c>
      <c r="B533" t="s">
        <v>353</v>
      </c>
      <c r="C533" t="s">
        <v>759</v>
      </c>
      <c r="D533" t="s">
        <v>767</v>
      </c>
      <c r="E533" t="s">
        <v>292</v>
      </c>
      <c r="F533" t="s">
        <v>2</v>
      </c>
      <c r="G533" t="s">
        <v>38</v>
      </c>
      <c r="H533" t="s">
        <v>39</v>
      </c>
      <c r="I533" s="5" t="s">
        <v>294</v>
      </c>
      <c r="J533" s="5" t="s">
        <v>2</v>
      </c>
      <c r="K533" s="5" t="s">
        <v>2</v>
      </c>
      <c r="L533" s="6">
        <f>IF(I533="Cut","",IF(I533="Your call","(decide)",IF(I533="Rename",J533,IF(I533="Keep",IF(D533="",E533,D533),IF(E533="(unchanged)",D533,E533)))))</f>
      </c>
      <c r="M533" s="6">
        <f>IF(AND(I533="Cut",N533&gt;0,K533=""),"USED: say what replaces it (Note)",IF(AND(I533="Rename",J533=""),"type the new name",IF(AND(L533&lt;&gt;"",L533&lt;&gt;"(decide)",COUNTIF($L$2:$L$1680,L533)&gt;1),"SAME FINAL NAME AS ANOTHER ROW","")))</f>
      </c>
      <c r="N533" s="6">
        <v>0</v>
      </c>
      <c r="O533" s="6" t="s">
        <v>2</v>
      </c>
    </row>
    <row r="534" spans="1:15" x14ac:dyDescent="0.25">
      <c r="A534">
        <v>533</v>
      </c>
      <c r="B534" t="s">
        <v>353</v>
      </c>
      <c r="C534" t="s">
        <v>759</v>
      </c>
      <c r="D534" t="s">
        <v>768</v>
      </c>
      <c r="E534" t="s">
        <v>292</v>
      </c>
      <c r="F534" t="s">
        <v>2</v>
      </c>
      <c r="G534" t="s">
        <v>38</v>
      </c>
      <c r="H534" t="s">
        <v>39</v>
      </c>
      <c r="I534" s="5" t="s">
        <v>294</v>
      </c>
      <c r="J534" s="5" t="s">
        <v>2</v>
      </c>
      <c r="K534" s="5" t="s">
        <v>2</v>
      </c>
      <c r="L534" s="6">
        <f>IF(I534="Cut","",IF(I534="Your call","(decide)",IF(I534="Rename",J534,IF(I534="Keep",IF(D534="",E534,D534),IF(E534="(unchanged)",D534,E534)))))</f>
      </c>
      <c r="M534" s="6">
        <f>IF(AND(I534="Cut",N534&gt;0,K534=""),"USED: say what replaces it (Note)",IF(AND(I534="Rename",J534=""),"type the new name",IF(AND(L534&lt;&gt;"",L534&lt;&gt;"(decide)",COUNTIF($L$2:$L$1680,L534)&gt;1),"SAME FINAL NAME AS ANOTHER ROW","")))</f>
      </c>
      <c r="N534" s="6">
        <v>0</v>
      </c>
      <c r="O534" s="6" t="s">
        <v>2</v>
      </c>
    </row>
    <row r="535" spans="1:15" x14ac:dyDescent="0.25">
      <c r="A535">
        <v>534</v>
      </c>
      <c r="B535" t="s">
        <v>353</v>
      </c>
      <c r="C535" t="s">
        <v>769</v>
      </c>
      <c r="D535" t="s">
        <v>770</v>
      </c>
      <c r="E535" t="s">
        <v>292</v>
      </c>
      <c r="F535" t="s">
        <v>2</v>
      </c>
      <c r="G535" t="s">
        <v>38</v>
      </c>
      <c r="H535" t="s">
        <v>39</v>
      </c>
      <c r="I535" s="5" t="s">
        <v>294</v>
      </c>
      <c r="J535" s="5" t="s">
        <v>2</v>
      </c>
      <c r="K535" s="5" t="s">
        <v>2</v>
      </c>
      <c r="L535" s="6">
        <f>IF(I535="Cut","",IF(I535="Your call","(decide)",IF(I535="Rename",J535,IF(I535="Keep",IF(D535="",E535,D535),IF(E535="(unchanged)",D535,E535)))))</f>
      </c>
      <c r="M535" s="6">
        <f>IF(AND(I535="Cut",N535&gt;0,K535=""),"USED: say what replaces it (Note)",IF(AND(I535="Rename",J535=""),"type the new name",IF(AND(L535&lt;&gt;"",L535&lt;&gt;"(decide)",COUNTIF($L$2:$L$1680,L535)&gt;1),"SAME FINAL NAME AS ANOTHER ROW","")))</f>
      </c>
      <c r="N535" s="6">
        <v>0</v>
      </c>
      <c r="O535" s="6" t="s">
        <v>2</v>
      </c>
    </row>
    <row r="536" spans="1:15" x14ac:dyDescent="0.25">
      <c r="A536">
        <v>535</v>
      </c>
      <c r="B536" t="s">
        <v>353</v>
      </c>
      <c r="C536" t="s">
        <v>769</v>
      </c>
      <c r="D536" t="s">
        <v>771</v>
      </c>
      <c r="E536" t="s">
        <v>292</v>
      </c>
      <c r="F536" t="s">
        <v>2</v>
      </c>
      <c r="G536" t="s">
        <v>38</v>
      </c>
      <c r="H536" t="s">
        <v>39</v>
      </c>
      <c r="I536" s="5" t="s">
        <v>294</v>
      </c>
      <c r="J536" s="5" t="s">
        <v>2</v>
      </c>
      <c r="K536" s="5" t="s">
        <v>2</v>
      </c>
      <c r="L536" s="6">
        <f>IF(I536="Cut","",IF(I536="Your call","(decide)",IF(I536="Rename",J536,IF(I536="Keep",IF(D536="",E536,D536),IF(E536="(unchanged)",D536,E536)))))</f>
      </c>
      <c r="M536" s="6">
        <f>IF(AND(I536="Cut",N536&gt;0,K536=""),"USED: say what replaces it (Note)",IF(AND(I536="Rename",J536=""),"type the new name",IF(AND(L536&lt;&gt;"",L536&lt;&gt;"(decide)",COUNTIF($L$2:$L$1680,L536)&gt;1),"SAME FINAL NAME AS ANOTHER ROW","")))</f>
      </c>
      <c r="N536" s="6">
        <v>0</v>
      </c>
      <c r="O536" s="6" t="s">
        <v>2</v>
      </c>
    </row>
    <row r="537" spans="1:15" x14ac:dyDescent="0.25">
      <c r="A537">
        <v>536</v>
      </c>
      <c r="B537" t="s">
        <v>353</v>
      </c>
      <c r="C537" t="s">
        <v>769</v>
      </c>
      <c r="D537" t="s">
        <v>772</v>
      </c>
      <c r="E537" t="s">
        <v>292</v>
      </c>
      <c r="F537" t="s">
        <v>2</v>
      </c>
      <c r="G537" t="s">
        <v>38</v>
      </c>
      <c r="H537" t="s">
        <v>39</v>
      </c>
      <c r="I537" s="5" t="s">
        <v>294</v>
      </c>
      <c r="J537" s="5" t="s">
        <v>2</v>
      </c>
      <c r="K537" s="5" t="s">
        <v>2</v>
      </c>
      <c r="L537" s="6">
        <f>IF(I537="Cut","",IF(I537="Your call","(decide)",IF(I537="Rename",J537,IF(I537="Keep",IF(D537="",E537,D537),IF(E537="(unchanged)",D537,E537)))))</f>
      </c>
      <c r="M537" s="6">
        <f>IF(AND(I537="Cut",N537&gt;0,K537=""),"USED: say what replaces it (Note)",IF(AND(I537="Rename",J537=""),"type the new name",IF(AND(L537&lt;&gt;"",L537&lt;&gt;"(decide)",COUNTIF($L$2:$L$1680,L537)&gt;1),"SAME FINAL NAME AS ANOTHER ROW","")))</f>
      </c>
      <c r="N537" s="6">
        <v>0</v>
      </c>
      <c r="O537" s="6" t="s">
        <v>2</v>
      </c>
    </row>
    <row r="538" spans="1:15" x14ac:dyDescent="0.25">
      <c r="A538">
        <v>537</v>
      </c>
      <c r="B538" t="s">
        <v>353</v>
      </c>
      <c r="C538" t="s">
        <v>769</v>
      </c>
      <c r="D538" t="s">
        <v>773</v>
      </c>
      <c r="E538" t="s">
        <v>292</v>
      </c>
      <c r="F538" t="s">
        <v>2</v>
      </c>
      <c r="G538" t="s">
        <v>38</v>
      </c>
      <c r="H538" t="s">
        <v>39</v>
      </c>
      <c r="I538" s="5" t="s">
        <v>294</v>
      </c>
      <c r="J538" s="5" t="s">
        <v>2</v>
      </c>
      <c r="K538" s="5" t="s">
        <v>2</v>
      </c>
      <c r="L538" s="6">
        <f>IF(I538="Cut","",IF(I538="Your call","(decide)",IF(I538="Rename",J538,IF(I538="Keep",IF(D538="",E538,D538),IF(E538="(unchanged)",D538,E538)))))</f>
      </c>
      <c r="M538" s="6">
        <f>IF(AND(I538="Cut",N538&gt;0,K538=""),"USED: say what replaces it (Note)",IF(AND(I538="Rename",J538=""),"type the new name",IF(AND(L538&lt;&gt;"",L538&lt;&gt;"(decide)",COUNTIF($L$2:$L$1680,L538)&gt;1),"SAME FINAL NAME AS ANOTHER ROW","")))</f>
      </c>
      <c r="N538" s="6">
        <v>0</v>
      </c>
      <c r="O538" s="6" t="s">
        <v>2</v>
      </c>
    </row>
    <row r="539" spans="1:15" x14ac:dyDescent="0.25">
      <c r="A539">
        <v>538</v>
      </c>
      <c r="B539" t="s">
        <v>353</v>
      </c>
      <c r="C539" t="s">
        <v>769</v>
      </c>
      <c r="D539" t="s">
        <v>774</v>
      </c>
      <c r="E539" t="s">
        <v>292</v>
      </c>
      <c r="F539" t="s">
        <v>2</v>
      </c>
      <c r="G539" t="s">
        <v>38</v>
      </c>
      <c r="H539" t="s">
        <v>39</v>
      </c>
      <c r="I539" s="5" t="s">
        <v>294</v>
      </c>
      <c r="J539" s="5" t="s">
        <v>2</v>
      </c>
      <c r="K539" s="5" t="s">
        <v>2</v>
      </c>
      <c r="L539" s="6">
        <f>IF(I539="Cut","",IF(I539="Your call","(decide)",IF(I539="Rename",J539,IF(I539="Keep",IF(D539="",E539,D539),IF(E539="(unchanged)",D539,E539)))))</f>
      </c>
      <c r="M539" s="6">
        <f>IF(AND(I539="Cut",N539&gt;0,K539=""),"USED: say what replaces it (Note)",IF(AND(I539="Rename",J539=""),"type the new name",IF(AND(L539&lt;&gt;"",L539&lt;&gt;"(decide)",COUNTIF($L$2:$L$1680,L539)&gt;1),"SAME FINAL NAME AS ANOTHER ROW","")))</f>
      </c>
      <c r="N539" s="6">
        <v>0</v>
      </c>
      <c r="O539" s="6" t="s">
        <v>2</v>
      </c>
    </row>
    <row r="540" spans="1:15" x14ac:dyDescent="0.25">
      <c r="A540">
        <v>539</v>
      </c>
      <c r="B540" t="s">
        <v>353</v>
      </c>
      <c r="C540" t="s">
        <v>769</v>
      </c>
      <c r="D540" t="s">
        <v>775</v>
      </c>
      <c r="E540" t="s">
        <v>292</v>
      </c>
      <c r="F540" t="s">
        <v>2</v>
      </c>
      <c r="G540" t="s">
        <v>38</v>
      </c>
      <c r="H540" t="s">
        <v>39</v>
      </c>
      <c r="I540" s="5" t="s">
        <v>294</v>
      </c>
      <c r="J540" s="5" t="s">
        <v>2</v>
      </c>
      <c r="K540" s="5" t="s">
        <v>2</v>
      </c>
      <c r="L540" s="6">
        <f>IF(I540="Cut","",IF(I540="Your call","(decide)",IF(I540="Rename",J540,IF(I540="Keep",IF(D540="",E540,D540),IF(E540="(unchanged)",D540,E540)))))</f>
      </c>
      <c r="M540" s="6">
        <f>IF(AND(I540="Cut",N540&gt;0,K540=""),"USED: say what replaces it (Note)",IF(AND(I540="Rename",J540=""),"type the new name",IF(AND(L540&lt;&gt;"",L540&lt;&gt;"(decide)",COUNTIF($L$2:$L$1680,L540)&gt;1),"SAME FINAL NAME AS ANOTHER ROW","")))</f>
      </c>
      <c r="N540" s="6">
        <v>0</v>
      </c>
      <c r="O540" s="6" t="s">
        <v>2</v>
      </c>
    </row>
    <row r="541" spans="1:15" x14ac:dyDescent="0.25">
      <c r="A541">
        <v>540</v>
      </c>
      <c r="B541" t="s">
        <v>353</v>
      </c>
      <c r="C541" t="s">
        <v>769</v>
      </c>
      <c r="D541" t="s">
        <v>776</v>
      </c>
      <c r="E541" t="s">
        <v>292</v>
      </c>
      <c r="F541" t="s">
        <v>2</v>
      </c>
      <c r="G541" t="s">
        <v>38</v>
      </c>
      <c r="H541" t="s">
        <v>39</v>
      </c>
      <c r="I541" s="5" t="s">
        <v>294</v>
      </c>
      <c r="J541" s="5" t="s">
        <v>2</v>
      </c>
      <c r="K541" s="5" t="s">
        <v>2</v>
      </c>
      <c r="L541" s="6">
        <f>IF(I541="Cut","",IF(I541="Your call","(decide)",IF(I541="Rename",J541,IF(I541="Keep",IF(D541="",E541,D541),IF(E541="(unchanged)",D541,E541)))))</f>
      </c>
      <c r="M541" s="6">
        <f>IF(AND(I541="Cut",N541&gt;0,K541=""),"USED: say what replaces it (Note)",IF(AND(I541="Rename",J541=""),"type the new name",IF(AND(L541&lt;&gt;"",L541&lt;&gt;"(decide)",COUNTIF($L$2:$L$1680,L541)&gt;1),"SAME FINAL NAME AS ANOTHER ROW","")))</f>
      </c>
      <c r="N541" s="6">
        <v>0</v>
      </c>
      <c r="O541" s="6" t="s">
        <v>2</v>
      </c>
    </row>
    <row r="542" spans="1:15" x14ac:dyDescent="0.25">
      <c r="A542">
        <v>541</v>
      </c>
      <c r="B542" t="s">
        <v>353</v>
      </c>
      <c r="C542" t="s">
        <v>769</v>
      </c>
      <c r="D542" t="s">
        <v>777</v>
      </c>
      <c r="E542" t="s">
        <v>292</v>
      </c>
      <c r="F542" t="s">
        <v>2</v>
      </c>
      <c r="G542" t="s">
        <v>38</v>
      </c>
      <c r="H542" t="s">
        <v>39</v>
      </c>
      <c r="I542" s="5" t="s">
        <v>294</v>
      </c>
      <c r="J542" s="5" t="s">
        <v>2</v>
      </c>
      <c r="K542" s="5" t="s">
        <v>2</v>
      </c>
      <c r="L542" s="6">
        <f>IF(I542="Cut","",IF(I542="Your call","(decide)",IF(I542="Rename",J542,IF(I542="Keep",IF(D542="",E542,D542),IF(E542="(unchanged)",D542,E542)))))</f>
      </c>
      <c r="M542" s="6">
        <f>IF(AND(I542="Cut",N542&gt;0,K542=""),"USED: say what replaces it (Note)",IF(AND(I542="Rename",J542=""),"type the new name",IF(AND(L542&lt;&gt;"",L542&lt;&gt;"(decide)",COUNTIF($L$2:$L$1680,L542)&gt;1),"SAME FINAL NAME AS ANOTHER ROW","")))</f>
      </c>
      <c r="N542" s="6">
        <v>0</v>
      </c>
      <c r="O542" s="6" t="s">
        <v>2</v>
      </c>
    </row>
    <row r="543" spans="1:15" x14ac:dyDescent="0.25">
      <c r="A543">
        <v>542</v>
      </c>
      <c r="B543" t="s">
        <v>353</v>
      </c>
      <c r="C543" t="s">
        <v>769</v>
      </c>
      <c r="D543" t="s">
        <v>778</v>
      </c>
      <c r="E543" t="s">
        <v>292</v>
      </c>
      <c r="F543" t="s">
        <v>2</v>
      </c>
      <c r="G543" t="s">
        <v>38</v>
      </c>
      <c r="H543" t="s">
        <v>39</v>
      </c>
      <c r="I543" s="5" t="s">
        <v>294</v>
      </c>
      <c r="J543" s="5" t="s">
        <v>2</v>
      </c>
      <c r="K543" s="5" t="s">
        <v>2</v>
      </c>
      <c r="L543" s="6">
        <f>IF(I543="Cut","",IF(I543="Your call","(decide)",IF(I543="Rename",J543,IF(I543="Keep",IF(D543="",E543,D543),IF(E543="(unchanged)",D543,E543)))))</f>
      </c>
      <c r="M543" s="6">
        <f>IF(AND(I543="Cut",N543&gt;0,K543=""),"USED: say what replaces it (Note)",IF(AND(I543="Rename",J543=""),"type the new name",IF(AND(L543&lt;&gt;"",L543&lt;&gt;"(decide)",COUNTIF($L$2:$L$1680,L543)&gt;1),"SAME FINAL NAME AS ANOTHER ROW","")))</f>
      </c>
      <c r="N543" s="6">
        <v>0</v>
      </c>
      <c r="O543" s="6" t="s">
        <v>2</v>
      </c>
    </row>
    <row r="544" spans="1:15" x14ac:dyDescent="0.25">
      <c r="A544">
        <v>543</v>
      </c>
      <c r="B544" t="s">
        <v>353</v>
      </c>
      <c r="C544" t="s">
        <v>779</v>
      </c>
      <c r="D544" t="s">
        <v>780</v>
      </c>
      <c r="E544" t="s">
        <v>292</v>
      </c>
      <c r="F544" t="s">
        <v>2</v>
      </c>
      <c r="G544" t="s">
        <v>38</v>
      </c>
      <c r="H544" t="s">
        <v>39</v>
      </c>
      <c r="I544" s="5" t="s">
        <v>294</v>
      </c>
      <c r="J544" s="5" t="s">
        <v>2</v>
      </c>
      <c r="K544" s="5" t="s">
        <v>2</v>
      </c>
      <c r="L544" s="6">
        <f>IF(I544="Cut","",IF(I544="Your call","(decide)",IF(I544="Rename",J544,IF(I544="Keep",IF(D544="",E544,D544),IF(E544="(unchanged)",D544,E544)))))</f>
      </c>
      <c r="M544" s="6">
        <f>IF(AND(I544="Cut",N544&gt;0,K544=""),"USED: say what replaces it (Note)",IF(AND(I544="Rename",J544=""),"type the new name",IF(AND(L544&lt;&gt;"",L544&lt;&gt;"(decide)",COUNTIF($L$2:$L$1680,L544)&gt;1),"SAME FINAL NAME AS ANOTHER ROW","")))</f>
      </c>
      <c r="N544" s="6">
        <v>0</v>
      </c>
      <c r="O544" s="6" t="s">
        <v>2</v>
      </c>
    </row>
    <row r="545" spans="1:15" x14ac:dyDescent="0.25">
      <c r="A545">
        <v>544</v>
      </c>
      <c r="B545" t="s">
        <v>353</v>
      </c>
      <c r="C545" t="s">
        <v>779</v>
      </c>
      <c r="D545" t="s">
        <v>781</v>
      </c>
      <c r="E545" t="s">
        <v>292</v>
      </c>
      <c r="F545" t="s">
        <v>2</v>
      </c>
      <c r="G545" t="s">
        <v>38</v>
      </c>
      <c r="H545" t="s">
        <v>39</v>
      </c>
      <c r="I545" s="5" t="s">
        <v>294</v>
      </c>
      <c r="J545" s="5" t="s">
        <v>2</v>
      </c>
      <c r="K545" s="5" t="s">
        <v>2</v>
      </c>
      <c r="L545" s="6">
        <f>IF(I545="Cut","",IF(I545="Your call","(decide)",IF(I545="Rename",J545,IF(I545="Keep",IF(D545="",E545,D545),IF(E545="(unchanged)",D545,E545)))))</f>
      </c>
      <c r="M545" s="6">
        <f>IF(AND(I545="Cut",N545&gt;0,K545=""),"USED: say what replaces it (Note)",IF(AND(I545="Rename",J545=""),"type the new name",IF(AND(L545&lt;&gt;"",L545&lt;&gt;"(decide)",COUNTIF($L$2:$L$1680,L545)&gt;1),"SAME FINAL NAME AS ANOTHER ROW","")))</f>
      </c>
      <c r="N545" s="6">
        <v>0</v>
      </c>
      <c r="O545" s="6" t="s">
        <v>2</v>
      </c>
    </row>
    <row r="546" spans="1:15" x14ac:dyDescent="0.25">
      <c r="A546">
        <v>545</v>
      </c>
      <c r="B546" t="s">
        <v>353</v>
      </c>
      <c r="C546" t="s">
        <v>779</v>
      </c>
      <c r="D546" t="s">
        <v>782</v>
      </c>
      <c r="E546" t="s">
        <v>292</v>
      </c>
      <c r="F546" t="s">
        <v>2</v>
      </c>
      <c r="G546" t="s">
        <v>38</v>
      </c>
      <c r="H546" t="s">
        <v>39</v>
      </c>
      <c r="I546" s="5" t="s">
        <v>294</v>
      </c>
      <c r="J546" s="5" t="s">
        <v>2</v>
      </c>
      <c r="K546" s="5" t="s">
        <v>2</v>
      </c>
      <c r="L546" s="6">
        <f>IF(I546="Cut","",IF(I546="Your call","(decide)",IF(I546="Rename",J546,IF(I546="Keep",IF(D546="",E546,D546),IF(E546="(unchanged)",D546,E546)))))</f>
      </c>
      <c r="M546" s="6">
        <f>IF(AND(I546="Cut",N546&gt;0,K546=""),"USED: say what replaces it (Note)",IF(AND(I546="Rename",J546=""),"type the new name",IF(AND(L546&lt;&gt;"",L546&lt;&gt;"(decide)",COUNTIF($L$2:$L$1680,L546)&gt;1),"SAME FINAL NAME AS ANOTHER ROW","")))</f>
      </c>
      <c r="N546" s="6">
        <v>0</v>
      </c>
      <c r="O546" s="6" t="s">
        <v>2</v>
      </c>
    </row>
    <row r="547" spans="1:15" x14ac:dyDescent="0.25">
      <c r="A547">
        <v>546</v>
      </c>
      <c r="B547" t="s">
        <v>353</v>
      </c>
      <c r="C547" t="s">
        <v>779</v>
      </c>
      <c r="D547" t="s">
        <v>783</v>
      </c>
      <c r="E547" t="s">
        <v>292</v>
      </c>
      <c r="F547" t="s">
        <v>2</v>
      </c>
      <c r="G547" t="s">
        <v>38</v>
      </c>
      <c r="H547" t="s">
        <v>39</v>
      </c>
      <c r="I547" s="5" t="s">
        <v>294</v>
      </c>
      <c r="J547" s="5" t="s">
        <v>2</v>
      </c>
      <c r="K547" s="5" t="s">
        <v>2</v>
      </c>
      <c r="L547" s="6">
        <f>IF(I547="Cut","",IF(I547="Your call","(decide)",IF(I547="Rename",J547,IF(I547="Keep",IF(D547="",E547,D547),IF(E547="(unchanged)",D547,E547)))))</f>
      </c>
      <c r="M547" s="6">
        <f>IF(AND(I547="Cut",N547&gt;0,K547=""),"USED: say what replaces it (Note)",IF(AND(I547="Rename",J547=""),"type the new name",IF(AND(L547&lt;&gt;"",L547&lt;&gt;"(decide)",COUNTIF($L$2:$L$1680,L547)&gt;1),"SAME FINAL NAME AS ANOTHER ROW","")))</f>
      </c>
      <c r="N547" s="6">
        <v>0</v>
      </c>
      <c r="O547" s="6" t="s">
        <v>2</v>
      </c>
    </row>
    <row r="548" spans="1:15" x14ac:dyDescent="0.25">
      <c r="A548">
        <v>547</v>
      </c>
      <c r="B548" t="s">
        <v>353</v>
      </c>
      <c r="C548" t="s">
        <v>779</v>
      </c>
      <c r="D548" t="s">
        <v>784</v>
      </c>
      <c r="E548" t="s">
        <v>292</v>
      </c>
      <c r="F548" t="s">
        <v>2</v>
      </c>
      <c r="G548" t="s">
        <v>38</v>
      </c>
      <c r="H548" t="s">
        <v>39</v>
      </c>
      <c r="I548" s="5" t="s">
        <v>294</v>
      </c>
      <c r="J548" s="5" t="s">
        <v>2</v>
      </c>
      <c r="K548" s="5" t="s">
        <v>2</v>
      </c>
      <c r="L548" s="6">
        <f>IF(I548="Cut","",IF(I548="Your call","(decide)",IF(I548="Rename",J548,IF(I548="Keep",IF(D548="",E548,D548),IF(E548="(unchanged)",D548,E548)))))</f>
      </c>
      <c r="M548" s="6">
        <f>IF(AND(I548="Cut",N548&gt;0,K548=""),"USED: say what replaces it (Note)",IF(AND(I548="Rename",J548=""),"type the new name",IF(AND(L548&lt;&gt;"",L548&lt;&gt;"(decide)",COUNTIF($L$2:$L$1680,L548)&gt;1),"SAME FINAL NAME AS ANOTHER ROW","")))</f>
      </c>
      <c r="N548" s="6">
        <v>0</v>
      </c>
      <c r="O548" s="6" t="s">
        <v>2</v>
      </c>
    </row>
    <row r="549" spans="1:15" x14ac:dyDescent="0.25">
      <c r="A549">
        <v>548</v>
      </c>
      <c r="B549" t="s">
        <v>353</v>
      </c>
      <c r="C549" t="s">
        <v>779</v>
      </c>
      <c r="D549" t="s">
        <v>785</v>
      </c>
      <c r="E549" t="s">
        <v>292</v>
      </c>
      <c r="F549" t="s">
        <v>2</v>
      </c>
      <c r="G549" t="s">
        <v>94</v>
      </c>
      <c r="H549" t="s">
        <v>39</v>
      </c>
      <c r="I549" s="5" t="s">
        <v>294</v>
      </c>
      <c r="J549" s="5" t="s">
        <v>2</v>
      </c>
      <c r="K549" s="5" t="s">
        <v>2</v>
      </c>
      <c r="L549" s="6">
        <f>IF(I549="Cut","",IF(I549="Your call","(decide)",IF(I549="Rename",J549,IF(I549="Keep",IF(D549="",E549,D549),IF(E549="(unchanged)",D549,E549)))))</f>
      </c>
      <c r="M549" s="6">
        <f>IF(AND(I549="Cut",N549&gt;0,K549=""),"USED: say what replaces it (Note)",IF(AND(I549="Rename",J549=""),"type the new name",IF(AND(L549&lt;&gt;"",L549&lt;&gt;"(decide)",COUNTIF($L$2:$L$1680,L549)&gt;1),"SAME FINAL NAME AS ANOTHER ROW","")))</f>
      </c>
      <c r="N549" s="6">
        <v>1</v>
      </c>
      <c r="O549" s="6" t="s">
        <v>2</v>
      </c>
    </row>
    <row r="550" spans="1:15" x14ac:dyDescent="0.25">
      <c r="A550">
        <v>549</v>
      </c>
      <c r="B550" t="s">
        <v>353</v>
      </c>
      <c r="C550" t="s">
        <v>779</v>
      </c>
      <c r="D550" t="s">
        <v>786</v>
      </c>
      <c r="E550" t="s">
        <v>292</v>
      </c>
      <c r="F550" t="s">
        <v>2</v>
      </c>
      <c r="G550" t="s">
        <v>38</v>
      </c>
      <c r="H550" t="s">
        <v>39</v>
      </c>
      <c r="I550" s="5" t="s">
        <v>294</v>
      </c>
      <c r="J550" s="5" t="s">
        <v>2</v>
      </c>
      <c r="K550" s="5" t="s">
        <v>2</v>
      </c>
      <c r="L550" s="6">
        <f>IF(I550="Cut","",IF(I550="Your call","(decide)",IF(I550="Rename",J550,IF(I550="Keep",IF(D550="",E550,D550),IF(E550="(unchanged)",D550,E550)))))</f>
      </c>
      <c r="M550" s="6">
        <f>IF(AND(I550="Cut",N550&gt;0,K550=""),"USED: say what replaces it (Note)",IF(AND(I550="Rename",J550=""),"type the new name",IF(AND(L550&lt;&gt;"",L550&lt;&gt;"(decide)",COUNTIF($L$2:$L$1680,L550)&gt;1),"SAME FINAL NAME AS ANOTHER ROW","")))</f>
      </c>
      <c r="N550" s="6">
        <v>0</v>
      </c>
      <c r="O550" s="6" t="s">
        <v>2</v>
      </c>
    </row>
    <row r="551" spans="1:15" x14ac:dyDescent="0.25">
      <c r="A551">
        <v>550</v>
      </c>
      <c r="B551" t="s">
        <v>353</v>
      </c>
      <c r="C551" t="s">
        <v>779</v>
      </c>
      <c r="D551" t="s">
        <v>787</v>
      </c>
      <c r="E551" t="s">
        <v>292</v>
      </c>
      <c r="F551" t="s">
        <v>2</v>
      </c>
      <c r="G551" t="s">
        <v>38</v>
      </c>
      <c r="H551" t="s">
        <v>39</v>
      </c>
      <c r="I551" s="5" t="s">
        <v>294</v>
      </c>
      <c r="J551" s="5" t="s">
        <v>2</v>
      </c>
      <c r="K551" s="5" t="s">
        <v>2</v>
      </c>
      <c r="L551" s="6">
        <f>IF(I551="Cut","",IF(I551="Your call","(decide)",IF(I551="Rename",J551,IF(I551="Keep",IF(D551="",E551,D551),IF(E551="(unchanged)",D551,E551)))))</f>
      </c>
      <c r="M551" s="6">
        <f>IF(AND(I551="Cut",N551&gt;0,K551=""),"USED: say what replaces it (Note)",IF(AND(I551="Rename",J551=""),"type the new name",IF(AND(L551&lt;&gt;"",L551&lt;&gt;"(decide)",COUNTIF($L$2:$L$1680,L551)&gt;1),"SAME FINAL NAME AS ANOTHER ROW","")))</f>
      </c>
      <c r="N551" s="6">
        <v>0</v>
      </c>
      <c r="O551" s="6" t="s">
        <v>2</v>
      </c>
    </row>
    <row r="552" spans="1:15" x14ac:dyDescent="0.25">
      <c r="A552">
        <v>551</v>
      </c>
      <c r="B552" t="s">
        <v>353</v>
      </c>
      <c r="C552" t="s">
        <v>779</v>
      </c>
      <c r="D552" t="s">
        <v>788</v>
      </c>
      <c r="E552" t="s">
        <v>292</v>
      </c>
      <c r="F552" t="s">
        <v>2</v>
      </c>
      <c r="G552" t="s">
        <v>38</v>
      </c>
      <c r="H552" t="s">
        <v>39</v>
      </c>
      <c r="I552" s="5" t="s">
        <v>294</v>
      </c>
      <c r="J552" s="5" t="s">
        <v>2</v>
      </c>
      <c r="K552" s="5" t="s">
        <v>2</v>
      </c>
      <c r="L552" s="6">
        <f>IF(I552="Cut","",IF(I552="Your call","(decide)",IF(I552="Rename",J552,IF(I552="Keep",IF(D552="",E552,D552),IF(E552="(unchanged)",D552,E552)))))</f>
      </c>
      <c r="M552" s="6">
        <f>IF(AND(I552="Cut",N552&gt;0,K552=""),"USED: say what replaces it (Note)",IF(AND(I552="Rename",J552=""),"type the new name",IF(AND(L552&lt;&gt;"",L552&lt;&gt;"(decide)",COUNTIF($L$2:$L$1680,L552)&gt;1),"SAME FINAL NAME AS ANOTHER ROW","")))</f>
      </c>
      <c r="N552" s="6">
        <v>0</v>
      </c>
      <c r="O552" s="6" t="s">
        <v>2</v>
      </c>
    </row>
    <row r="553" spans="1:15" x14ac:dyDescent="0.25">
      <c r="A553">
        <v>552</v>
      </c>
      <c r="B553" t="s">
        <v>353</v>
      </c>
      <c r="C553" t="s">
        <v>789</v>
      </c>
      <c r="D553" t="s">
        <v>790</v>
      </c>
      <c r="E553" t="s">
        <v>292</v>
      </c>
      <c r="F553" t="s">
        <v>2</v>
      </c>
      <c r="G553" t="s">
        <v>38</v>
      </c>
      <c r="H553" t="s">
        <v>39</v>
      </c>
      <c r="I553" s="5" t="s">
        <v>294</v>
      </c>
      <c r="J553" s="5" t="s">
        <v>2</v>
      </c>
      <c r="K553" s="5" t="s">
        <v>2</v>
      </c>
      <c r="L553" s="6">
        <f>IF(I553="Cut","",IF(I553="Your call","(decide)",IF(I553="Rename",J553,IF(I553="Keep",IF(D553="",E553,D553),IF(E553="(unchanged)",D553,E553)))))</f>
      </c>
      <c r="M553" s="6">
        <f>IF(AND(I553="Cut",N553&gt;0,K553=""),"USED: say what replaces it (Note)",IF(AND(I553="Rename",J553=""),"type the new name",IF(AND(L553&lt;&gt;"",L553&lt;&gt;"(decide)",COUNTIF($L$2:$L$1680,L553)&gt;1),"SAME FINAL NAME AS ANOTHER ROW","")))</f>
      </c>
      <c r="N553" s="6">
        <v>0</v>
      </c>
      <c r="O553" s="6" t="s">
        <v>2</v>
      </c>
    </row>
    <row r="554" spans="1:15" x14ac:dyDescent="0.25">
      <c r="A554">
        <v>553</v>
      </c>
      <c r="B554" t="s">
        <v>353</v>
      </c>
      <c r="C554" t="s">
        <v>789</v>
      </c>
      <c r="D554" t="s">
        <v>791</v>
      </c>
      <c r="E554" t="s">
        <v>292</v>
      </c>
      <c r="F554" t="s">
        <v>2</v>
      </c>
      <c r="G554" t="s">
        <v>38</v>
      </c>
      <c r="H554" t="s">
        <v>39</v>
      </c>
      <c r="I554" s="5" t="s">
        <v>294</v>
      </c>
      <c r="J554" s="5" t="s">
        <v>2</v>
      </c>
      <c r="K554" s="5" t="s">
        <v>2</v>
      </c>
      <c r="L554" s="6">
        <f>IF(I554="Cut","",IF(I554="Your call","(decide)",IF(I554="Rename",J554,IF(I554="Keep",IF(D554="",E554,D554),IF(E554="(unchanged)",D554,E554)))))</f>
      </c>
      <c r="M554" s="6">
        <f>IF(AND(I554="Cut",N554&gt;0,K554=""),"USED: say what replaces it (Note)",IF(AND(I554="Rename",J554=""),"type the new name",IF(AND(L554&lt;&gt;"",L554&lt;&gt;"(decide)",COUNTIF($L$2:$L$1680,L554)&gt;1),"SAME FINAL NAME AS ANOTHER ROW","")))</f>
      </c>
      <c r="N554" s="6">
        <v>0</v>
      </c>
      <c r="O554" s="6" t="s">
        <v>2</v>
      </c>
    </row>
    <row r="555" spans="1:15" x14ac:dyDescent="0.25">
      <c r="A555">
        <v>554</v>
      </c>
      <c r="B555" t="s">
        <v>353</v>
      </c>
      <c r="C555" t="s">
        <v>789</v>
      </c>
      <c r="D555" t="s">
        <v>792</v>
      </c>
      <c r="E555" t="s">
        <v>292</v>
      </c>
      <c r="F555" t="s">
        <v>2</v>
      </c>
      <c r="G555" t="s">
        <v>38</v>
      </c>
      <c r="H555" t="s">
        <v>39</v>
      </c>
      <c r="I555" s="5" t="s">
        <v>294</v>
      </c>
      <c r="J555" s="5" t="s">
        <v>2</v>
      </c>
      <c r="K555" s="5" t="s">
        <v>2</v>
      </c>
      <c r="L555" s="6">
        <f>IF(I555="Cut","",IF(I555="Your call","(decide)",IF(I555="Rename",J555,IF(I555="Keep",IF(D555="",E555,D555),IF(E555="(unchanged)",D555,E555)))))</f>
      </c>
      <c r="M555" s="6">
        <f>IF(AND(I555="Cut",N555&gt;0,K555=""),"USED: say what replaces it (Note)",IF(AND(I555="Rename",J555=""),"type the new name",IF(AND(L555&lt;&gt;"",L555&lt;&gt;"(decide)",COUNTIF($L$2:$L$1680,L555)&gt;1),"SAME FINAL NAME AS ANOTHER ROW","")))</f>
      </c>
      <c r="N555" s="6">
        <v>0</v>
      </c>
      <c r="O555" s="6" t="s">
        <v>2</v>
      </c>
    </row>
    <row r="556" spans="1:15" x14ac:dyDescent="0.25">
      <c r="A556">
        <v>555</v>
      </c>
      <c r="B556" t="s">
        <v>353</v>
      </c>
      <c r="C556" t="s">
        <v>789</v>
      </c>
      <c r="D556" t="s">
        <v>793</v>
      </c>
      <c r="E556" t="s">
        <v>292</v>
      </c>
      <c r="F556" t="s">
        <v>2</v>
      </c>
      <c r="G556" t="s">
        <v>38</v>
      </c>
      <c r="H556" t="s">
        <v>39</v>
      </c>
      <c r="I556" s="5" t="s">
        <v>294</v>
      </c>
      <c r="J556" s="5" t="s">
        <v>2</v>
      </c>
      <c r="K556" s="5" t="s">
        <v>2</v>
      </c>
      <c r="L556" s="6">
        <f>IF(I556="Cut","",IF(I556="Your call","(decide)",IF(I556="Rename",J556,IF(I556="Keep",IF(D556="",E556,D556),IF(E556="(unchanged)",D556,E556)))))</f>
      </c>
      <c r="M556" s="6">
        <f>IF(AND(I556="Cut",N556&gt;0,K556=""),"USED: say what replaces it (Note)",IF(AND(I556="Rename",J556=""),"type the new name",IF(AND(L556&lt;&gt;"",L556&lt;&gt;"(decide)",COUNTIF($L$2:$L$1680,L556)&gt;1),"SAME FINAL NAME AS ANOTHER ROW","")))</f>
      </c>
      <c r="N556" s="6">
        <v>0</v>
      </c>
      <c r="O556" s="6" t="s">
        <v>2</v>
      </c>
    </row>
    <row r="557" spans="1:15" x14ac:dyDescent="0.25">
      <c r="A557">
        <v>556</v>
      </c>
      <c r="B557" t="s">
        <v>353</v>
      </c>
      <c r="C557" t="s">
        <v>789</v>
      </c>
      <c r="D557" t="s">
        <v>794</v>
      </c>
      <c r="E557" t="s">
        <v>292</v>
      </c>
      <c r="F557" t="s">
        <v>2</v>
      </c>
      <c r="G557" t="s">
        <v>38</v>
      </c>
      <c r="H557" t="s">
        <v>39</v>
      </c>
      <c r="I557" s="5" t="s">
        <v>294</v>
      </c>
      <c r="J557" s="5" t="s">
        <v>2</v>
      </c>
      <c r="K557" s="5" t="s">
        <v>2</v>
      </c>
      <c r="L557" s="6">
        <f>IF(I557="Cut","",IF(I557="Your call","(decide)",IF(I557="Rename",J557,IF(I557="Keep",IF(D557="",E557,D557),IF(E557="(unchanged)",D557,E557)))))</f>
      </c>
      <c r="M557" s="6">
        <f>IF(AND(I557="Cut",N557&gt;0,K557=""),"USED: say what replaces it (Note)",IF(AND(I557="Rename",J557=""),"type the new name",IF(AND(L557&lt;&gt;"",L557&lt;&gt;"(decide)",COUNTIF($L$2:$L$1680,L557)&gt;1),"SAME FINAL NAME AS ANOTHER ROW","")))</f>
      </c>
      <c r="N557" s="6">
        <v>0</v>
      </c>
      <c r="O557" s="6" t="s">
        <v>2</v>
      </c>
    </row>
    <row r="558" spans="1:15" x14ac:dyDescent="0.25">
      <c r="A558">
        <v>557</v>
      </c>
      <c r="B558" t="s">
        <v>353</v>
      </c>
      <c r="C558" t="s">
        <v>789</v>
      </c>
      <c r="D558" t="s">
        <v>795</v>
      </c>
      <c r="E558" t="s">
        <v>292</v>
      </c>
      <c r="F558" t="s">
        <v>2</v>
      </c>
      <c r="G558" t="s">
        <v>38</v>
      </c>
      <c r="H558" t="s">
        <v>39</v>
      </c>
      <c r="I558" s="5" t="s">
        <v>294</v>
      </c>
      <c r="J558" s="5" t="s">
        <v>2</v>
      </c>
      <c r="K558" s="5" t="s">
        <v>2</v>
      </c>
      <c r="L558" s="6">
        <f>IF(I558="Cut","",IF(I558="Your call","(decide)",IF(I558="Rename",J558,IF(I558="Keep",IF(D558="",E558,D558),IF(E558="(unchanged)",D558,E558)))))</f>
      </c>
      <c r="M558" s="6">
        <f>IF(AND(I558="Cut",N558&gt;0,K558=""),"USED: say what replaces it (Note)",IF(AND(I558="Rename",J558=""),"type the new name",IF(AND(L558&lt;&gt;"",L558&lt;&gt;"(decide)",COUNTIF($L$2:$L$1680,L558)&gt;1),"SAME FINAL NAME AS ANOTHER ROW","")))</f>
      </c>
      <c r="N558" s="6">
        <v>0</v>
      </c>
      <c r="O558" s="6" t="s">
        <v>2</v>
      </c>
    </row>
    <row r="559" spans="1:15" x14ac:dyDescent="0.25">
      <c r="A559">
        <v>558</v>
      </c>
      <c r="B559" t="s">
        <v>353</v>
      </c>
      <c r="C559" t="s">
        <v>789</v>
      </c>
      <c r="D559" t="s">
        <v>796</v>
      </c>
      <c r="E559" t="s">
        <v>292</v>
      </c>
      <c r="F559" t="s">
        <v>2</v>
      </c>
      <c r="G559" t="s">
        <v>38</v>
      </c>
      <c r="H559" t="s">
        <v>39</v>
      </c>
      <c r="I559" s="5" t="s">
        <v>294</v>
      </c>
      <c r="J559" s="5" t="s">
        <v>2</v>
      </c>
      <c r="K559" s="5" t="s">
        <v>2</v>
      </c>
      <c r="L559" s="6">
        <f>IF(I559="Cut","",IF(I559="Your call","(decide)",IF(I559="Rename",J559,IF(I559="Keep",IF(D559="",E559,D559),IF(E559="(unchanged)",D559,E559)))))</f>
      </c>
      <c r="M559" s="6">
        <f>IF(AND(I559="Cut",N559&gt;0,K559=""),"USED: say what replaces it (Note)",IF(AND(I559="Rename",J559=""),"type the new name",IF(AND(L559&lt;&gt;"",L559&lt;&gt;"(decide)",COUNTIF($L$2:$L$1680,L559)&gt;1),"SAME FINAL NAME AS ANOTHER ROW","")))</f>
      </c>
      <c r="N559" s="6">
        <v>0</v>
      </c>
      <c r="O559" s="6" t="s">
        <v>2</v>
      </c>
    </row>
    <row r="560" spans="1:15" x14ac:dyDescent="0.25">
      <c r="A560">
        <v>559</v>
      </c>
      <c r="B560" t="s">
        <v>353</v>
      </c>
      <c r="C560" t="s">
        <v>789</v>
      </c>
      <c r="D560" t="s">
        <v>797</v>
      </c>
      <c r="E560" t="s">
        <v>292</v>
      </c>
      <c r="F560" t="s">
        <v>2</v>
      </c>
      <c r="G560" t="s">
        <v>38</v>
      </c>
      <c r="H560" t="s">
        <v>39</v>
      </c>
      <c r="I560" s="5" t="s">
        <v>294</v>
      </c>
      <c r="J560" s="5" t="s">
        <v>2</v>
      </c>
      <c r="K560" s="5" t="s">
        <v>2</v>
      </c>
      <c r="L560" s="6">
        <f>IF(I560="Cut","",IF(I560="Your call","(decide)",IF(I560="Rename",J560,IF(I560="Keep",IF(D560="",E560,D560),IF(E560="(unchanged)",D560,E560)))))</f>
      </c>
      <c r="M560" s="6">
        <f>IF(AND(I560="Cut",N560&gt;0,K560=""),"USED: say what replaces it (Note)",IF(AND(I560="Rename",J560=""),"type the new name",IF(AND(L560&lt;&gt;"",L560&lt;&gt;"(decide)",COUNTIF($L$2:$L$1680,L560)&gt;1),"SAME FINAL NAME AS ANOTHER ROW","")))</f>
      </c>
      <c r="N560" s="6">
        <v>0</v>
      </c>
      <c r="O560" s="6" t="s">
        <v>2</v>
      </c>
    </row>
    <row r="561" spans="1:15" x14ac:dyDescent="0.25">
      <c r="A561">
        <v>560</v>
      </c>
      <c r="B561" t="s">
        <v>353</v>
      </c>
      <c r="C561" t="s">
        <v>789</v>
      </c>
      <c r="D561" t="s">
        <v>798</v>
      </c>
      <c r="E561" t="s">
        <v>292</v>
      </c>
      <c r="F561" t="s">
        <v>2</v>
      </c>
      <c r="G561" t="s">
        <v>38</v>
      </c>
      <c r="H561" t="s">
        <v>39</v>
      </c>
      <c r="I561" s="5" t="s">
        <v>294</v>
      </c>
      <c r="J561" s="5" t="s">
        <v>2</v>
      </c>
      <c r="K561" s="5" t="s">
        <v>2</v>
      </c>
      <c r="L561" s="6">
        <f>IF(I561="Cut","",IF(I561="Your call","(decide)",IF(I561="Rename",J561,IF(I561="Keep",IF(D561="",E561,D561),IF(E561="(unchanged)",D561,E561)))))</f>
      </c>
      <c r="M561" s="6">
        <f>IF(AND(I561="Cut",N561&gt;0,K561=""),"USED: say what replaces it (Note)",IF(AND(I561="Rename",J561=""),"type the new name",IF(AND(L561&lt;&gt;"",L561&lt;&gt;"(decide)",COUNTIF($L$2:$L$1680,L561)&gt;1),"SAME FINAL NAME AS ANOTHER ROW","")))</f>
      </c>
      <c r="N561" s="6">
        <v>0</v>
      </c>
      <c r="O561" s="6" t="s">
        <v>2</v>
      </c>
    </row>
    <row r="562" spans="1:15" x14ac:dyDescent="0.25">
      <c r="A562">
        <v>561</v>
      </c>
      <c r="B562" t="s">
        <v>353</v>
      </c>
      <c r="C562" t="s">
        <v>799</v>
      </c>
      <c r="D562" t="s">
        <v>800</v>
      </c>
      <c r="E562" t="s">
        <v>292</v>
      </c>
      <c r="F562" t="s">
        <v>2</v>
      </c>
      <c r="G562" t="s">
        <v>38</v>
      </c>
      <c r="H562" t="s">
        <v>39</v>
      </c>
      <c r="I562" s="5" t="s">
        <v>294</v>
      </c>
      <c r="J562" s="5" t="s">
        <v>2</v>
      </c>
      <c r="K562" s="5" t="s">
        <v>2</v>
      </c>
      <c r="L562" s="6">
        <f>IF(I562="Cut","",IF(I562="Your call","(decide)",IF(I562="Rename",J562,IF(I562="Keep",IF(D562="",E562,D562),IF(E562="(unchanged)",D562,E562)))))</f>
      </c>
      <c r="M562" s="6">
        <f>IF(AND(I562="Cut",N562&gt;0,K562=""),"USED: say what replaces it (Note)",IF(AND(I562="Rename",J562=""),"type the new name",IF(AND(L562&lt;&gt;"",L562&lt;&gt;"(decide)",COUNTIF($L$2:$L$1680,L562)&gt;1),"SAME FINAL NAME AS ANOTHER ROW","")))</f>
      </c>
      <c r="N562" s="6">
        <v>0</v>
      </c>
      <c r="O562" s="6" t="s">
        <v>2</v>
      </c>
    </row>
    <row r="563" spans="1:15" x14ac:dyDescent="0.25">
      <c r="A563">
        <v>562</v>
      </c>
      <c r="B563" t="s">
        <v>353</v>
      </c>
      <c r="C563" t="s">
        <v>799</v>
      </c>
      <c r="D563" t="s">
        <v>801</v>
      </c>
      <c r="E563" t="s">
        <v>292</v>
      </c>
      <c r="F563" t="s">
        <v>2</v>
      </c>
      <c r="G563" t="s">
        <v>38</v>
      </c>
      <c r="H563" t="s">
        <v>39</v>
      </c>
      <c r="I563" s="5" t="s">
        <v>294</v>
      </c>
      <c r="J563" s="5" t="s">
        <v>2</v>
      </c>
      <c r="K563" s="5" t="s">
        <v>2</v>
      </c>
      <c r="L563" s="6">
        <f>IF(I563="Cut","",IF(I563="Your call","(decide)",IF(I563="Rename",J563,IF(I563="Keep",IF(D563="",E563,D563),IF(E563="(unchanged)",D563,E563)))))</f>
      </c>
      <c r="M563" s="6">
        <f>IF(AND(I563="Cut",N563&gt;0,K563=""),"USED: say what replaces it (Note)",IF(AND(I563="Rename",J563=""),"type the new name",IF(AND(L563&lt;&gt;"",L563&lt;&gt;"(decide)",COUNTIF($L$2:$L$1680,L563)&gt;1),"SAME FINAL NAME AS ANOTHER ROW","")))</f>
      </c>
      <c r="N563" s="6">
        <v>0</v>
      </c>
      <c r="O563" s="6" t="s">
        <v>2</v>
      </c>
    </row>
    <row r="564" spans="1:15" x14ac:dyDescent="0.25">
      <c r="A564">
        <v>563</v>
      </c>
      <c r="B564" t="s">
        <v>353</v>
      </c>
      <c r="C564" t="s">
        <v>799</v>
      </c>
      <c r="D564" t="s">
        <v>802</v>
      </c>
      <c r="E564" t="s">
        <v>292</v>
      </c>
      <c r="F564" t="s">
        <v>2</v>
      </c>
      <c r="G564" t="s">
        <v>38</v>
      </c>
      <c r="H564" t="s">
        <v>39</v>
      </c>
      <c r="I564" s="5" t="s">
        <v>294</v>
      </c>
      <c r="J564" s="5" t="s">
        <v>2</v>
      </c>
      <c r="K564" s="5" t="s">
        <v>2</v>
      </c>
      <c r="L564" s="6">
        <f>IF(I564="Cut","",IF(I564="Your call","(decide)",IF(I564="Rename",J564,IF(I564="Keep",IF(D564="",E564,D564),IF(E564="(unchanged)",D564,E564)))))</f>
      </c>
      <c r="M564" s="6">
        <f>IF(AND(I564="Cut",N564&gt;0,K564=""),"USED: say what replaces it (Note)",IF(AND(I564="Rename",J564=""),"type the new name",IF(AND(L564&lt;&gt;"",L564&lt;&gt;"(decide)",COUNTIF($L$2:$L$1680,L564)&gt;1),"SAME FINAL NAME AS ANOTHER ROW","")))</f>
      </c>
      <c r="N564" s="6">
        <v>0</v>
      </c>
      <c r="O564" s="6" t="s">
        <v>2</v>
      </c>
    </row>
    <row r="565" spans="1:15" x14ac:dyDescent="0.25">
      <c r="A565">
        <v>564</v>
      </c>
      <c r="B565" t="s">
        <v>353</v>
      </c>
      <c r="C565" t="s">
        <v>799</v>
      </c>
      <c r="D565" t="s">
        <v>803</v>
      </c>
      <c r="E565" t="s">
        <v>292</v>
      </c>
      <c r="F565" t="s">
        <v>2</v>
      </c>
      <c r="G565" t="s">
        <v>38</v>
      </c>
      <c r="H565" t="s">
        <v>39</v>
      </c>
      <c r="I565" s="5" t="s">
        <v>294</v>
      </c>
      <c r="J565" s="5" t="s">
        <v>2</v>
      </c>
      <c r="K565" s="5" t="s">
        <v>2</v>
      </c>
      <c r="L565" s="6">
        <f>IF(I565="Cut","",IF(I565="Your call","(decide)",IF(I565="Rename",J565,IF(I565="Keep",IF(D565="",E565,D565),IF(E565="(unchanged)",D565,E565)))))</f>
      </c>
      <c r="M565" s="6">
        <f>IF(AND(I565="Cut",N565&gt;0,K565=""),"USED: say what replaces it (Note)",IF(AND(I565="Rename",J565=""),"type the new name",IF(AND(L565&lt;&gt;"",L565&lt;&gt;"(decide)",COUNTIF($L$2:$L$1680,L565)&gt;1),"SAME FINAL NAME AS ANOTHER ROW","")))</f>
      </c>
      <c r="N565" s="6">
        <v>0</v>
      </c>
      <c r="O565" s="6" t="s">
        <v>2</v>
      </c>
    </row>
    <row r="566" spans="1:15" x14ac:dyDescent="0.25">
      <c r="A566">
        <v>565</v>
      </c>
      <c r="B566" t="s">
        <v>353</v>
      </c>
      <c r="C566" t="s">
        <v>799</v>
      </c>
      <c r="D566" t="s">
        <v>804</v>
      </c>
      <c r="E566" t="s">
        <v>292</v>
      </c>
      <c r="F566" t="s">
        <v>2</v>
      </c>
      <c r="G566" t="s">
        <v>38</v>
      </c>
      <c r="H566" t="s">
        <v>39</v>
      </c>
      <c r="I566" s="5" t="s">
        <v>294</v>
      </c>
      <c r="J566" s="5" t="s">
        <v>2</v>
      </c>
      <c r="K566" s="5" t="s">
        <v>2</v>
      </c>
      <c r="L566" s="6">
        <f>IF(I566="Cut","",IF(I566="Your call","(decide)",IF(I566="Rename",J566,IF(I566="Keep",IF(D566="",E566,D566),IF(E566="(unchanged)",D566,E566)))))</f>
      </c>
      <c r="M566" s="6">
        <f>IF(AND(I566="Cut",N566&gt;0,K566=""),"USED: say what replaces it (Note)",IF(AND(I566="Rename",J566=""),"type the new name",IF(AND(L566&lt;&gt;"",L566&lt;&gt;"(decide)",COUNTIF($L$2:$L$1680,L566)&gt;1),"SAME FINAL NAME AS ANOTHER ROW","")))</f>
      </c>
      <c r="N566" s="6">
        <v>0</v>
      </c>
      <c r="O566" s="6" t="s">
        <v>2</v>
      </c>
    </row>
    <row r="567" spans="1:15" x14ac:dyDescent="0.25">
      <c r="A567">
        <v>566</v>
      </c>
      <c r="B567" t="s">
        <v>353</v>
      </c>
      <c r="C567" t="s">
        <v>799</v>
      </c>
      <c r="D567" t="s">
        <v>805</v>
      </c>
      <c r="E567" t="s">
        <v>292</v>
      </c>
      <c r="F567" t="s">
        <v>2</v>
      </c>
      <c r="G567" t="s">
        <v>38</v>
      </c>
      <c r="H567" t="s">
        <v>39</v>
      </c>
      <c r="I567" s="5" t="s">
        <v>294</v>
      </c>
      <c r="J567" s="5" t="s">
        <v>2</v>
      </c>
      <c r="K567" s="5" t="s">
        <v>2</v>
      </c>
      <c r="L567" s="6">
        <f>IF(I567="Cut","",IF(I567="Your call","(decide)",IF(I567="Rename",J567,IF(I567="Keep",IF(D567="",E567,D567),IF(E567="(unchanged)",D567,E567)))))</f>
      </c>
      <c r="M567" s="6">
        <f>IF(AND(I567="Cut",N567&gt;0,K567=""),"USED: say what replaces it (Note)",IF(AND(I567="Rename",J567=""),"type the new name",IF(AND(L567&lt;&gt;"",L567&lt;&gt;"(decide)",COUNTIF($L$2:$L$1680,L567)&gt;1),"SAME FINAL NAME AS ANOTHER ROW","")))</f>
      </c>
      <c r="N567" s="6">
        <v>0</v>
      </c>
      <c r="O567" s="6" t="s">
        <v>2</v>
      </c>
    </row>
    <row r="568" spans="1:15" x14ac:dyDescent="0.25">
      <c r="A568">
        <v>567</v>
      </c>
      <c r="B568" t="s">
        <v>353</v>
      </c>
      <c r="C568" t="s">
        <v>799</v>
      </c>
      <c r="D568" t="s">
        <v>806</v>
      </c>
      <c r="E568" t="s">
        <v>292</v>
      </c>
      <c r="F568" t="s">
        <v>2</v>
      </c>
      <c r="G568" t="s">
        <v>38</v>
      </c>
      <c r="H568" t="s">
        <v>39</v>
      </c>
      <c r="I568" s="5" t="s">
        <v>294</v>
      </c>
      <c r="J568" s="5" t="s">
        <v>2</v>
      </c>
      <c r="K568" s="5" t="s">
        <v>2</v>
      </c>
      <c r="L568" s="6">
        <f>IF(I568="Cut","",IF(I568="Your call","(decide)",IF(I568="Rename",J568,IF(I568="Keep",IF(D568="",E568,D568),IF(E568="(unchanged)",D568,E568)))))</f>
      </c>
      <c r="M568" s="6">
        <f>IF(AND(I568="Cut",N568&gt;0,K568=""),"USED: say what replaces it (Note)",IF(AND(I568="Rename",J568=""),"type the new name",IF(AND(L568&lt;&gt;"",L568&lt;&gt;"(decide)",COUNTIF($L$2:$L$1680,L568)&gt;1),"SAME FINAL NAME AS ANOTHER ROW","")))</f>
      </c>
      <c r="N568" s="6">
        <v>0</v>
      </c>
      <c r="O568" s="6" t="s">
        <v>2</v>
      </c>
    </row>
    <row r="569" spans="1:15" x14ac:dyDescent="0.25">
      <c r="A569">
        <v>568</v>
      </c>
      <c r="B569" t="s">
        <v>353</v>
      </c>
      <c r="C569" t="s">
        <v>799</v>
      </c>
      <c r="D569" t="s">
        <v>807</v>
      </c>
      <c r="E569" t="s">
        <v>292</v>
      </c>
      <c r="F569" t="s">
        <v>2</v>
      </c>
      <c r="G569" t="s">
        <v>38</v>
      </c>
      <c r="H569" t="s">
        <v>39</v>
      </c>
      <c r="I569" s="5" t="s">
        <v>294</v>
      </c>
      <c r="J569" s="5" t="s">
        <v>2</v>
      </c>
      <c r="K569" s="5" t="s">
        <v>2</v>
      </c>
      <c r="L569" s="6">
        <f>IF(I569="Cut","",IF(I569="Your call","(decide)",IF(I569="Rename",J569,IF(I569="Keep",IF(D569="",E569,D569),IF(E569="(unchanged)",D569,E569)))))</f>
      </c>
      <c r="M569" s="6">
        <f>IF(AND(I569="Cut",N569&gt;0,K569=""),"USED: say what replaces it (Note)",IF(AND(I569="Rename",J569=""),"type the new name",IF(AND(L569&lt;&gt;"",L569&lt;&gt;"(decide)",COUNTIF($L$2:$L$1680,L569)&gt;1),"SAME FINAL NAME AS ANOTHER ROW","")))</f>
      </c>
      <c r="N569" s="6">
        <v>0</v>
      </c>
      <c r="O569" s="6" t="s">
        <v>2</v>
      </c>
    </row>
    <row r="570" spans="1:15" x14ac:dyDescent="0.25">
      <c r="A570">
        <v>569</v>
      </c>
      <c r="B570" t="s">
        <v>353</v>
      </c>
      <c r="C570" t="s">
        <v>799</v>
      </c>
      <c r="D570" t="s">
        <v>808</v>
      </c>
      <c r="E570" t="s">
        <v>292</v>
      </c>
      <c r="F570" t="s">
        <v>2</v>
      </c>
      <c r="G570" t="s">
        <v>38</v>
      </c>
      <c r="H570" t="s">
        <v>39</v>
      </c>
      <c r="I570" s="5" t="s">
        <v>294</v>
      </c>
      <c r="J570" s="5" t="s">
        <v>2</v>
      </c>
      <c r="K570" s="5" t="s">
        <v>2</v>
      </c>
      <c r="L570" s="6">
        <f>IF(I570="Cut","",IF(I570="Your call","(decide)",IF(I570="Rename",J570,IF(I570="Keep",IF(D570="",E570,D570),IF(E570="(unchanged)",D570,E570)))))</f>
      </c>
      <c r="M570" s="6">
        <f>IF(AND(I570="Cut",N570&gt;0,K570=""),"USED: say what replaces it (Note)",IF(AND(I570="Rename",J570=""),"type the new name",IF(AND(L570&lt;&gt;"",L570&lt;&gt;"(decide)",COUNTIF($L$2:$L$1680,L570)&gt;1),"SAME FINAL NAME AS ANOTHER ROW","")))</f>
      </c>
      <c r="N570" s="6">
        <v>0</v>
      </c>
      <c r="O570" s="6" t="s">
        <v>2</v>
      </c>
    </row>
    <row r="571" spans="1:15" x14ac:dyDescent="0.25">
      <c r="A571">
        <v>570</v>
      </c>
      <c r="B571" t="s">
        <v>353</v>
      </c>
      <c r="C571" t="s">
        <v>809</v>
      </c>
      <c r="D571" t="s">
        <v>810</v>
      </c>
      <c r="E571" t="s">
        <v>292</v>
      </c>
      <c r="F571" t="s">
        <v>2</v>
      </c>
      <c r="G571" t="s">
        <v>38</v>
      </c>
      <c r="H571" t="s">
        <v>39</v>
      </c>
      <c r="I571" s="5" t="s">
        <v>294</v>
      </c>
      <c r="J571" s="5" t="s">
        <v>2</v>
      </c>
      <c r="K571" s="5" t="s">
        <v>2</v>
      </c>
      <c r="L571" s="6">
        <f>IF(I571="Cut","",IF(I571="Your call","(decide)",IF(I571="Rename",J571,IF(I571="Keep",IF(D571="",E571,D571),IF(E571="(unchanged)",D571,E571)))))</f>
      </c>
      <c r="M571" s="6">
        <f>IF(AND(I571="Cut",N571&gt;0,K571=""),"USED: say what replaces it (Note)",IF(AND(I571="Rename",J571=""),"type the new name",IF(AND(L571&lt;&gt;"",L571&lt;&gt;"(decide)",COUNTIF($L$2:$L$1680,L571)&gt;1),"SAME FINAL NAME AS ANOTHER ROW","")))</f>
      </c>
      <c r="N571" s="6">
        <v>0</v>
      </c>
      <c r="O571" s="6" t="s">
        <v>2</v>
      </c>
    </row>
    <row r="572" spans="1:15" x14ac:dyDescent="0.25">
      <c r="A572">
        <v>571</v>
      </c>
      <c r="B572" t="s">
        <v>353</v>
      </c>
      <c r="C572" t="s">
        <v>809</v>
      </c>
      <c r="D572" t="s">
        <v>811</v>
      </c>
      <c r="E572" t="s">
        <v>292</v>
      </c>
      <c r="F572" t="s">
        <v>2</v>
      </c>
      <c r="G572" t="s">
        <v>38</v>
      </c>
      <c r="H572" t="s">
        <v>39</v>
      </c>
      <c r="I572" s="5" t="s">
        <v>294</v>
      </c>
      <c r="J572" s="5" t="s">
        <v>2</v>
      </c>
      <c r="K572" s="5" t="s">
        <v>2</v>
      </c>
      <c r="L572" s="6">
        <f>IF(I572="Cut","",IF(I572="Your call","(decide)",IF(I572="Rename",J572,IF(I572="Keep",IF(D572="",E572,D572),IF(E572="(unchanged)",D572,E572)))))</f>
      </c>
      <c r="M572" s="6">
        <f>IF(AND(I572="Cut",N572&gt;0,K572=""),"USED: say what replaces it (Note)",IF(AND(I572="Rename",J572=""),"type the new name",IF(AND(L572&lt;&gt;"",L572&lt;&gt;"(decide)",COUNTIF($L$2:$L$1680,L572)&gt;1),"SAME FINAL NAME AS ANOTHER ROW","")))</f>
      </c>
      <c r="N572" s="6">
        <v>0</v>
      </c>
      <c r="O572" s="6" t="s">
        <v>2</v>
      </c>
    </row>
    <row r="573" spans="1:15" x14ac:dyDescent="0.25">
      <c r="A573">
        <v>572</v>
      </c>
      <c r="B573" t="s">
        <v>353</v>
      </c>
      <c r="C573" t="s">
        <v>809</v>
      </c>
      <c r="D573" t="s">
        <v>812</v>
      </c>
      <c r="E573" t="s">
        <v>292</v>
      </c>
      <c r="F573" t="s">
        <v>2</v>
      </c>
      <c r="G573" t="s">
        <v>38</v>
      </c>
      <c r="H573" t="s">
        <v>39</v>
      </c>
      <c r="I573" s="5" t="s">
        <v>294</v>
      </c>
      <c r="J573" s="5" t="s">
        <v>2</v>
      </c>
      <c r="K573" s="5" t="s">
        <v>2</v>
      </c>
      <c r="L573" s="6">
        <f>IF(I573="Cut","",IF(I573="Your call","(decide)",IF(I573="Rename",J573,IF(I573="Keep",IF(D573="",E573,D573),IF(E573="(unchanged)",D573,E573)))))</f>
      </c>
      <c r="M573" s="6">
        <f>IF(AND(I573="Cut",N573&gt;0,K573=""),"USED: say what replaces it (Note)",IF(AND(I573="Rename",J573=""),"type the new name",IF(AND(L573&lt;&gt;"",L573&lt;&gt;"(decide)",COUNTIF($L$2:$L$1680,L573)&gt;1),"SAME FINAL NAME AS ANOTHER ROW","")))</f>
      </c>
      <c r="N573" s="6">
        <v>0</v>
      </c>
      <c r="O573" s="6" t="s">
        <v>2</v>
      </c>
    </row>
    <row r="574" spans="1:15" x14ac:dyDescent="0.25">
      <c r="A574">
        <v>573</v>
      </c>
      <c r="B574" t="s">
        <v>353</v>
      </c>
      <c r="C574" t="s">
        <v>809</v>
      </c>
      <c r="D574" t="s">
        <v>813</v>
      </c>
      <c r="E574" t="s">
        <v>292</v>
      </c>
      <c r="F574" t="s">
        <v>2</v>
      </c>
      <c r="G574" t="s">
        <v>38</v>
      </c>
      <c r="H574" t="s">
        <v>39</v>
      </c>
      <c r="I574" s="5" t="s">
        <v>294</v>
      </c>
      <c r="J574" s="5" t="s">
        <v>2</v>
      </c>
      <c r="K574" s="5" t="s">
        <v>2</v>
      </c>
      <c r="L574" s="6">
        <f>IF(I574="Cut","",IF(I574="Your call","(decide)",IF(I574="Rename",J574,IF(I574="Keep",IF(D574="",E574,D574),IF(E574="(unchanged)",D574,E574)))))</f>
      </c>
      <c r="M574" s="6">
        <f>IF(AND(I574="Cut",N574&gt;0,K574=""),"USED: say what replaces it (Note)",IF(AND(I574="Rename",J574=""),"type the new name",IF(AND(L574&lt;&gt;"",L574&lt;&gt;"(decide)",COUNTIF($L$2:$L$1680,L574)&gt;1),"SAME FINAL NAME AS ANOTHER ROW","")))</f>
      </c>
      <c r="N574" s="6">
        <v>0</v>
      </c>
      <c r="O574" s="6" t="s">
        <v>2</v>
      </c>
    </row>
    <row r="575" spans="1:15" x14ac:dyDescent="0.25">
      <c r="A575">
        <v>574</v>
      </c>
      <c r="B575" t="s">
        <v>353</v>
      </c>
      <c r="C575" t="s">
        <v>809</v>
      </c>
      <c r="D575" t="s">
        <v>814</v>
      </c>
      <c r="E575" t="s">
        <v>292</v>
      </c>
      <c r="F575" t="s">
        <v>2</v>
      </c>
      <c r="G575" t="s">
        <v>38</v>
      </c>
      <c r="H575" t="s">
        <v>39</v>
      </c>
      <c r="I575" s="5" t="s">
        <v>294</v>
      </c>
      <c r="J575" s="5" t="s">
        <v>2</v>
      </c>
      <c r="K575" s="5" t="s">
        <v>2</v>
      </c>
      <c r="L575" s="6">
        <f>IF(I575="Cut","",IF(I575="Your call","(decide)",IF(I575="Rename",J575,IF(I575="Keep",IF(D575="",E575,D575),IF(E575="(unchanged)",D575,E575)))))</f>
      </c>
      <c r="M575" s="6">
        <f>IF(AND(I575="Cut",N575&gt;0,K575=""),"USED: say what replaces it (Note)",IF(AND(I575="Rename",J575=""),"type the new name",IF(AND(L575&lt;&gt;"",L575&lt;&gt;"(decide)",COUNTIF($L$2:$L$1680,L575)&gt;1),"SAME FINAL NAME AS ANOTHER ROW","")))</f>
      </c>
      <c r="N575" s="6">
        <v>0</v>
      </c>
      <c r="O575" s="6" t="s">
        <v>2</v>
      </c>
    </row>
    <row r="576" spans="1:15" x14ac:dyDescent="0.25">
      <c r="A576">
        <v>575</v>
      </c>
      <c r="B576" t="s">
        <v>353</v>
      </c>
      <c r="C576" t="s">
        <v>809</v>
      </c>
      <c r="D576" t="s">
        <v>815</v>
      </c>
      <c r="E576" t="s">
        <v>292</v>
      </c>
      <c r="F576" t="s">
        <v>2</v>
      </c>
      <c r="G576" t="s">
        <v>38</v>
      </c>
      <c r="H576" t="s">
        <v>39</v>
      </c>
      <c r="I576" s="5" t="s">
        <v>294</v>
      </c>
      <c r="J576" s="5" t="s">
        <v>2</v>
      </c>
      <c r="K576" s="5" t="s">
        <v>2</v>
      </c>
      <c r="L576" s="6">
        <f>IF(I576="Cut","",IF(I576="Your call","(decide)",IF(I576="Rename",J576,IF(I576="Keep",IF(D576="",E576,D576),IF(E576="(unchanged)",D576,E576)))))</f>
      </c>
      <c r="M576" s="6">
        <f>IF(AND(I576="Cut",N576&gt;0,K576=""),"USED: say what replaces it (Note)",IF(AND(I576="Rename",J576=""),"type the new name",IF(AND(L576&lt;&gt;"",L576&lt;&gt;"(decide)",COUNTIF($L$2:$L$1680,L576)&gt;1),"SAME FINAL NAME AS ANOTHER ROW","")))</f>
      </c>
      <c r="N576" s="6">
        <v>0</v>
      </c>
      <c r="O576" s="6" t="s">
        <v>2</v>
      </c>
    </row>
    <row r="577" spans="1:15" x14ac:dyDescent="0.25">
      <c r="A577">
        <v>576</v>
      </c>
      <c r="B577" t="s">
        <v>353</v>
      </c>
      <c r="C577" t="s">
        <v>809</v>
      </c>
      <c r="D577" t="s">
        <v>816</v>
      </c>
      <c r="E577" t="s">
        <v>292</v>
      </c>
      <c r="F577" t="s">
        <v>2</v>
      </c>
      <c r="G577" t="s">
        <v>38</v>
      </c>
      <c r="H577" t="s">
        <v>39</v>
      </c>
      <c r="I577" s="5" t="s">
        <v>294</v>
      </c>
      <c r="J577" s="5" t="s">
        <v>2</v>
      </c>
      <c r="K577" s="5" t="s">
        <v>2</v>
      </c>
      <c r="L577" s="6">
        <f>IF(I577="Cut","",IF(I577="Your call","(decide)",IF(I577="Rename",J577,IF(I577="Keep",IF(D577="",E577,D577),IF(E577="(unchanged)",D577,E577)))))</f>
      </c>
      <c r="M577" s="6">
        <f>IF(AND(I577="Cut",N577&gt;0,K577=""),"USED: say what replaces it (Note)",IF(AND(I577="Rename",J577=""),"type the new name",IF(AND(L577&lt;&gt;"",L577&lt;&gt;"(decide)",COUNTIF($L$2:$L$1680,L577)&gt;1),"SAME FINAL NAME AS ANOTHER ROW","")))</f>
      </c>
      <c r="N577" s="6">
        <v>0</v>
      </c>
      <c r="O577" s="6" t="s">
        <v>2</v>
      </c>
    </row>
    <row r="578" spans="1:15" x14ac:dyDescent="0.25">
      <c r="A578">
        <v>577</v>
      </c>
      <c r="B578" t="s">
        <v>353</v>
      </c>
      <c r="C578" t="s">
        <v>809</v>
      </c>
      <c r="D578" t="s">
        <v>817</v>
      </c>
      <c r="E578" t="s">
        <v>292</v>
      </c>
      <c r="F578" t="s">
        <v>2</v>
      </c>
      <c r="G578" t="s">
        <v>38</v>
      </c>
      <c r="H578" t="s">
        <v>39</v>
      </c>
      <c r="I578" s="5" t="s">
        <v>294</v>
      </c>
      <c r="J578" s="5" t="s">
        <v>2</v>
      </c>
      <c r="K578" s="5" t="s">
        <v>2</v>
      </c>
      <c r="L578" s="6">
        <f>IF(I578="Cut","",IF(I578="Your call","(decide)",IF(I578="Rename",J578,IF(I578="Keep",IF(D578="",E578,D578),IF(E578="(unchanged)",D578,E578)))))</f>
      </c>
      <c r="M578" s="6">
        <f>IF(AND(I578="Cut",N578&gt;0,K578=""),"USED: say what replaces it (Note)",IF(AND(I578="Rename",J578=""),"type the new name",IF(AND(L578&lt;&gt;"",L578&lt;&gt;"(decide)",COUNTIF($L$2:$L$1680,L578)&gt;1),"SAME FINAL NAME AS ANOTHER ROW","")))</f>
      </c>
      <c r="N578" s="6">
        <v>0</v>
      </c>
      <c r="O578" s="6" t="s">
        <v>2</v>
      </c>
    </row>
    <row r="579" spans="1:15" x14ac:dyDescent="0.25">
      <c r="A579">
        <v>578</v>
      </c>
      <c r="B579" t="s">
        <v>353</v>
      </c>
      <c r="C579" t="s">
        <v>809</v>
      </c>
      <c r="D579" t="s">
        <v>818</v>
      </c>
      <c r="E579" t="s">
        <v>292</v>
      </c>
      <c r="F579" t="s">
        <v>2</v>
      </c>
      <c r="G579" t="s">
        <v>38</v>
      </c>
      <c r="H579" t="s">
        <v>39</v>
      </c>
      <c r="I579" s="5" t="s">
        <v>294</v>
      </c>
      <c r="J579" s="5" t="s">
        <v>2</v>
      </c>
      <c r="K579" s="5" t="s">
        <v>2</v>
      </c>
      <c r="L579" s="6">
        <f>IF(I579="Cut","",IF(I579="Your call","(decide)",IF(I579="Rename",J579,IF(I579="Keep",IF(D579="",E579,D579),IF(E579="(unchanged)",D579,E579)))))</f>
      </c>
      <c r="M579" s="6">
        <f>IF(AND(I579="Cut",N579&gt;0,K579=""),"USED: say what replaces it (Note)",IF(AND(I579="Rename",J579=""),"type the new name",IF(AND(L579&lt;&gt;"",L579&lt;&gt;"(decide)",COUNTIF($L$2:$L$1680,L579)&gt;1),"SAME FINAL NAME AS ANOTHER ROW","")))</f>
      </c>
      <c r="N579" s="6">
        <v>0</v>
      </c>
      <c r="O579" s="6" t="s">
        <v>2</v>
      </c>
    </row>
    <row r="580" spans="1:15" x14ac:dyDescent="0.25">
      <c r="A580">
        <v>579</v>
      </c>
      <c r="B580" t="s">
        <v>353</v>
      </c>
      <c r="C580" t="s">
        <v>819</v>
      </c>
      <c r="D580" t="s">
        <v>820</v>
      </c>
      <c r="E580" t="s">
        <v>292</v>
      </c>
      <c r="F580" t="s">
        <v>2</v>
      </c>
      <c r="G580" t="s">
        <v>38</v>
      </c>
      <c r="H580" t="s">
        <v>39</v>
      </c>
      <c r="I580" s="5" t="s">
        <v>294</v>
      </c>
      <c r="J580" s="5" t="s">
        <v>2</v>
      </c>
      <c r="K580" s="5" t="s">
        <v>2</v>
      </c>
      <c r="L580" s="6">
        <f>IF(I580="Cut","",IF(I580="Your call","(decide)",IF(I580="Rename",J580,IF(I580="Keep",IF(D580="",E580,D580),IF(E580="(unchanged)",D580,E580)))))</f>
      </c>
      <c r="M580" s="6">
        <f>IF(AND(I580="Cut",N580&gt;0,K580=""),"USED: say what replaces it (Note)",IF(AND(I580="Rename",J580=""),"type the new name",IF(AND(L580&lt;&gt;"",L580&lt;&gt;"(decide)",COUNTIF($L$2:$L$1680,L580)&gt;1),"SAME FINAL NAME AS ANOTHER ROW","")))</f>
      </c>
      <c r="N580" s="6">
        <v>0</v>
      </c>
      <c r="O580" s="6" t="s">
        <v>2</v>
      </c>
    </row>
    <row r="581" spans="1:15" x14ac:dyDescent="0.25">
      <c r="A581">
        <v>580</v>
      </c>
      <c r="B581" t="s">
        <v>353</v>
      </c>
      <c r="C581" t="s">
        <v>819</v>
      </c>
      <c r="D581" t="s">
        <v>821</v>
      </c>
      <c r="E581" t="s">
        <v>292</v>
      </c>
      <c r="F581" t="s">
        <v>2</v>
      </c>
      <c r="G581" t="s">
        <v>38</v>
      </c>
      <c r="H581" t="s">
        <v>39</v>
      </c>
      <c r="I581" s="5" t="s">
        <v>294</v>
      </c>
      <c r="J581" s="5" t="s">
        <v>2</v>
      </c>
      <c r="K581" s="5" t="s">
        <v>2</v>
      </c>
      <c r="L581" s="6">
        <f>IF(I581="Cut","",IF(I581="Your call","(decide)",IF(I581="Rename",J581,IF(I581="Keep",IF(D581="",E581,D581),IF(E581="(unchanged)",D581,E581)))))</f>
      </c>
      <c r="M581" s="6">
        <f>IF(AND(I581="Cut",N581&gt;0,K581=""),"USED: say what replaces it (Note)",IF(AND(I581="Rename",J581=""),"type the new name",IF(AND(L581&lt;&gt;"",L581&lt;&gt;"(decide)",COUNTIF($L$2:$L$1680,L581)&gt;1),"SAME FINAL NAME AS ANOTHER ROW","")))</f>
      </c>
      <c r="N581" s="6">
        <v>0</v>
      </c>
      <c r="O581" s="6" t="s">
        <v>2</v>
      </c>
    </row>
    <row r="582" spans="1:15" x14ac:dyDescent="0.25">
      <c r="A582">
        <v>581</v>
      </c>
      <c r="B582" t="s">
        <v>353</v>
      </c>
      <c r="C582" t="s">
        <v>819</v>
      </c>
      <c r="D582" t="s">
        <v>822</v>
      </c>
      <c r="E582" t="s">
        <v>292</v>
      </c>
      <c r="F582" t="s">
        <v>2</v>
      </c>
      <c r="G582" t="s">
        <v>38</v>
      </c>
      <c r="H582" t="s">
        <v>39</v>
      </c>
      <c r="I582" s="5" t="s">
        <v>294</v>
      </c>
      <c r="J582" s="5" t="s">
        <v>2</v>
      </c>
      <c r="K582" s="5" t="s">
        <v>2</v>
      </c>
      <c r="L582" s="6">
        <f>IF(I582="Cut","",IF(I582="Your call","(decide)",IF(I582="Rename",J582,IF(I582="Keep",IF(D582="",E582,D582),IF(E582="(unchanged)",D582,E582)))))</f>
      </c>
      <c r="M582" s="6">
        <f>IF(AND(I582="Cut",N582&gt;0,K582=""),"USED: say what replaces it (Note)",IF(AND(I582="Rename",J582=""),"type the new name",IF(AND(L582&lt;&gt;"",L582&lt;&gt;"(decide)",COUNTIF($L$2:$L$1680,L582)&gt;1),"SAME FINAL NAME AS ANOTHER ROW","")))</f>
      </c>
      <c r="N582" s="6">
        <v>0</v>
      </c>
      <c r="O582" s="6" t="s">
        <v>2</v>
      </c>
    </row>
    <row r="583" spans="1:15" x14ac:dyDescent="0.25">
      <c r="A583">
        <v>582</v>
      </c>
      <c r="B583" t="s">
        <v>353</v>
      </c>
      <c r="C583" t="s">
        <v>819</v>
      </c>
      <c r="D583" t="s">
        <v>823</v>
      </c>
      <c r="E583" t="s">
        <v>292</v>
      </c>
      <c r="F583" t="s">
        <v>2</v>
      </c>
      <c r="G583" t="s">
        <v>38</v>
      </c>
      <c r="H583" t="s">
        <v>39</v>
      </c>
      <c r="I583" s="5" t="s">
        <v>294</v>
      </c>
      <c r="J583" s="5" t="s">
        <v>2</v>
      </c>
      <c r="K583" s="5" t="s">
        <v>2</v>
      </c>
      <c r="L583" s="6">
        <f>IF(I583="Cut","",IF(I583="Your call","(decide)",IF(I583="Rename",J583,IF(I583="Keep",IF(D583="",E583,D583),IF(E583="(unchanged)",D583,E583)))))</f>
      </c>
      <c r="M583" s="6">
        <f>IF(AND(I583="Cut",N583&gt;0,K583=""),"USED: say what replaces it (Note)",IF(AND(I583="Rename",J583=""),"type the new name",IF(AND(L583&lt;&gt;"",L583&lt;&gt;"(decide)",COUNTIF($L$2:$L$1680,L583)&gt;1),"SAME FINAL NAME AS ANOTHER ROW","")))</f>
      </c>
      <c r="N583" s="6">
        <v>0</v>
      </c>
      <c r="O583" s="6" t="s">
        <v>2</v>
      </c>
    </row>
    <row r="584" spans="1:15" x14ac:dyDescent="0.25">
      <c r="A584">
        <v>583</v>
      </c>
      <c r="B584" t="s">
        <v>353</v>
      </c>
      <c r="C584" t="s">
        <v>819</v>
      </c>
      <c r="D584" t="s">
        <v>824</v>
      </c>
      <c r="E584" t="s">
        <v>292</v>
      </c>
      <c r="F584" t="s">
        <v>2</v>
      </c>
      <c r="G584" t="s">
        <v>38</v>
      </c>
      <c r="H584" t="s">
        <v>39</v>
      </c>
      <c r="I584" s="5" t="s">
        <v>294</v>
      </c>
      <c r="J584" s="5" t="s">
        <v>2</v>
      </c>
      <c r="K584" s="5" t="s">
        <v>2</v>
      </c>
      <c r="L584" s="6">
        <f>IF(I584="Cut","",IF(I584="Your call","(decide)",IF(I584="Rename",J584,IF(I584="Keep",IF(D584="",E584,D584),IF(E584="(unchanged)",D584,E584)))))</f>
      </c>
      <c r="M584" s="6">
        <f>IF(AND(I584="Cut",N584&gt;0,K584=""),"USED: say what replaces it (Note)",IF(AND(I584="Rename",J584=""),"type the new name",IF(AND(L584&lt;&gt;"",L584&lt;&gt;"(decide)",COUNTIF($L$2:$L$1680,L584)&gt;1),"SAME FINAL NAME AS ANOTHER ROW","")))</f>
      </c>
      <c r="N584" s="6">
        <v>0</v>
      </c>
      <c r="O584" s="6" t="s">
        <v>2</v>
      </c>
    </row>
    <row r="585" spans="1:15" x14ac:dyDescent="0.25">
      <c r="A585">
        <v>584</v>
      </c>
      <c r="B585" t="s">
        <v>353</v>
      </c>
      <c r="C585" t="s">
        <v>819</v>
      </c>
      <c r="D585" t="s">
        <v>825</v>
      </c>
      <c r="E585" t="s">
        <v>292</v>
      </c>
      <c r="F585" t="s">
        <v>2</v>
      </c>
      <c r="G585" t="s">
        <v>38</v>
      </c>
      <c r="H585" t="s">
        <v>39</v>
      </c>
      <c r="I585" s="5" t="s">
        <v>294</v>
      </c>
      <c r="J585" s="5" t="s">
        <v>2</v>
      </c>
      <c r="K585" s="5" t="s">
        <v>2</v>
      </c>
      <c r="L585" s="6">
        <f>IF(I585="Cut","",IF(I585="Your call","(decide)",IF(I585="Rename",J585,IF(I585="Keep",IF(D585="",E585,D585),IF(E585="(unchanged)",D585,E585)))))</f>
      </c>
      <c r="M585" s="6">
        <f>IF(AND(I585="Cut",N585&gt;0,K585=""),"USED: say what replaces it (Note)",IF(AND(I585="Rename",J585=""),"type the new name",IF(AND(L585&lt;&gt;"",L585&lt;&gt;"(decide)",COUNTIF($L$2:$L$1680,L585)&gt;1),"SAME FINAL NAME AS ANOTHER ROW","")))</f>
      </c>
      <c r="N585" s="6">
        <v>0</v>
      </c>
      <c r="O585" s="6" t="s">
        <v>2</v>
      </c>
    </row>
    <row r="586" spans="1:15" x14ac:dyDescent="0.25">
      <c r="A586">
        <v>585</v>
      </c>
      <c r="B586" t="s">
        <v>353</v>
      </c>
      <c r="C586" t="s">
        <v>819</v>
      </c>
      <c r="D586" t="s">
        <v>826</v>
      </c>
      <c r="E586" t="s">
        <v>292</v>
      </c>
      <c r="F586" t="s">
        <v>2</v>
      </c>
      <c r="G586" t="s">
        <v>38</v>
      </c>
      <c r="H586" t="s">
        <v>39</v>
      </c>
      <c r="I586" s="5" t="s">
        <v>294</v>
      </c>
      <c r="J586" s="5" t="s">
        <v>2</v>
      </c>
      <c r="K586" s="5" t="s">
        <v>2</v>
      </c>
      <c r="L586" s="6">
        <f>IF(I586="Cut","",IF(I586="Your call","(decide)",IF(I586="Rename",J586,IF(I586="Keep",IF(D586="",E586,D586),IF(E586="(unchanged)",D586,E586)))))</f>
      </c>
      <c r="M586" s="6">
        <f>IF(AND(I586="Cut",N586&gt;0,K586=""),"USED: say what replaces it (Note)",IF(AND(I586="Rename",J586=""),"type the new name",IF(AND(L586&lt;&gt;"",L586&lt;&gt;"(decide)",COUNTIF($L$2:$L$1680,L586)&gt;1),"SAME FINAL NAME AS ANOTHER ROW","")))</f>
      </c>
      <c r="N586" s="6">
        <v>0</v>
      </c>
      <c r="O586" s="6" t="s">
        <v>2</v>
      </c>
    </row>
    <row r="587" spans="1:15" x14ac:dyDescent="0.25">
      <c r="A587">
        <v>586</v>
      </c>
      <c r="B587" t="s">
        <v>353</v>
      </c>
      <c r="C587" t="s">
        <v>819</v>
      </c>
      <c r="D587" t="s">
        <v>827</v>
      </c>
      <c r="E587" t="s">
        <v>292</v>
      </c>
      <c r="F587" t="s">
        <v>2</v>
      </c>
      <c r="G587" t="s">
        <v>38</v>
      </c>
      <c r="H587" t="s">
        <v>39</v>
      </c>
      <c r="I587" s="5" t="s">
        <v>294</v>
      </c>
      <c r="J587" s="5" t="s">
        <v>2</v>
      </c>
      <c r="K587" s="5" t="s">
        <v>2</v>
      </c>
      <c r="L587" s="6">
        <f>IF(I587="Cut","",IF(I587="Your call","(decide)",IF(I587="Rename",J587,IF(I587="Keep",IF(D587="",E587,D587),IF(E587="(unchanged)",D587,E587)))))</f>
      </c>
      <c r="M587" s="6">
        <f>IF(AND(I587="Cut",N587&gt;0,K587=""),"USED: say what replaces it (Note)",IF(AND(I587="Rename",J587=""),"type the new name",IF(AND(L587&lt;&gt;"",L587&lt;&gt;"(decide)",COUNTIF($L$2:$L$1680,L587)&gt;1),"SAME FINAL NAME AS ANOTHER ROW","")))</f>
      </c>
      <c r="N587" s="6">
        <v>0</v>
      </c>
      <c r="O587" s="6" t="s">
        <v>2</v>
      </c>
    </row>
    <row r="588" spans="1:15" x14ac:dyDescent="0.25">
      <c r="A588">
        <v>587</v>
      </c>
      <c r="B588" t="s">
        <v>353</v>
      </c>
      <c r="C588" t="s">
        <v>819</v>
      </c>
      <c r="D588" t="s">
        <v>828</v>
      </c>
      <c r="E588" t="s">
        <v>292</v>
      </c>
      <c r="F588" t="s">
        <v>2</v>
      </c>
      <c r="G588" t="s">
        <v>38</v>
      </c>
      <c r="H588" t="s">
        <v>39</v>
      </c>
      <c r="I588" s="5" t="s">
        <v>294</v>
      </c>
      <c r="J588" s="5" t="s">
        <v>2</v>
      </c>
      <c r="K588" s="5" t="s">
        <v>2</v>
      </c>
      <c r="L588" s="6">
        <f>IF(I588="Cut","",IF(I588="Your call","(decide)",IF(I588="Rename",J588,IF(I588="Keep",IF(D588="",E588,D588),IF(E588="(unchanged)",D588,E588)))))</f>
      </c>
      <c r="M588" s="6">
        <f>IF(AND(I588="Cut",N588&gt;0,K588=""),"USED: say what replaces it (Note)",IF(AND(I588="Rename",J588=""),"type the new name",IF(AND(L588&lt;&gt;"",L588&lt;&gt;"(decide)",COUNTIF($L$2:$L$1680,L588)&gt;1),"SAME FINAL NAME AS ANOTHER ROW","")))</f>
      </c>
      <c r="N588" s="6">
        <v>0</v>
      </c>
      <c r="O588" s="6" t="s">
        <v>2</v>
      </c>
    </row>
    <row r="589" spans="1:15" x14ac:dyDescent="0.25">
      <c r="A589">
        <v>588</v>
      </c>
      <c r="B589" t="s">
        <v>353</v>
      </c>
      <c r="C589" t="s">
        <v>829</v>
      </c>
      <c r="D589" t="s">
        <v>830</v>
      </c>
      <c r="E589" t="s">
        <v>292</v>
      </c>
      <c r="F589" t="s">
        <v>2</v>
      </c>
      <c r="G589" t="s">
        <v>38</v>
      </c>
      <c r="H589" t="s">
        <v>39</v>
      </c>
      <c r="I589" s="5" t="s">
        <v>294</v>
      </c>
      <c r="J589" s="5" t="s">
        <v>2</v>
      </c>
      <c r="K589" s="5" t="s">
        <v>2</v>
      </c>
      <c r="L589" s="6">
        <f>IF(I589="Cut","",IF(I589="Your call","(decide)",IF(I589="Rename",J589,IF(I589="Keep",IF(D589="",E589,D589),IF(E589="(unchanged)",D589,E589)))))</f>
      </c>
      <c r="M589" s="6">
        <f>IF(AND(I589="Cut",N589&gt;0,K589=""),"USED: say what replaces it (Note)",IF(AND(I589="Rename",J589=""),"type the new name",IF(AND(L589&lt;&gt;"",L589&lt;&gt;"(decide)",COUNTIF($L$2:$L$1680,L589)&gt;1),"SAME FINAL NAME AS ANOTHER ROW","")))</f>
      </c>
      <c r="N589" s="6">
        <v>0</v>
      </c>
      <c r="O589" s="6" t="s">
        <v>2</v>
      </c>
    </row>
    <row r="590" spans="1:15" x14ac:dyDescent="0.25">
      <c r="A590">
        <v>589</v>
      </c>
      <c r="B590" t="s">
        <v>353</v>
      </c>
      <c r="C590" t="s">
        <v>829</v>
      </c>
      <c r="D590" t="s">
        <v>831</v>
      </c>
      <c r="E590" t="s">
        <v>292</v>
      </c>
      <c r="F590" t="s">
        <v>2</v>
      </c>
      <c r="G590" t="s">
        <v>38</v>
      </c>
      <c r="H590" t="s">
        <v>39</v>
      </c>
      <c r="I590" s="5" t="s">
        <v>294</v>
      </c>
      <c r="J590" s="5" t="s">
        <v>2</v>
      </c>
      <c r="K590" s="5" t="s">
        <v>2</v>
      </c>
      <c r="L590" s="6">
        <f>IF(I590="Cut","",IF(I590="Your call","(decide)",IF(I590="Rename",J590,IF(I590="Keep",IF(D590="",E590,D590),IF(E590="(unchanged)",D590,E590)))))</f>
      </c>
      <c r="M590" s="6">
        <f>IF(AND(I590="Cut",N590&gt;0,K590=""),"USED: say what replaces it (Note)",IF(AND(I590="Rename",J590=""),"type the new name",IF(AND(L590&lt;&gt;"",L590&lt;&gt;"(decide)",COUNTIF($L$2:$L$1680,L590)&gt;1),"SAME FINAL NAME AS ANOTHER ROW","")))</f>
      </c>
      <c r="N590" s="6">
        <v>0</v>
      </c>
      <c r="O590" s="6" t="s">
        <v>2</v>
      </c>
    </row>
    <row r="591" spans="1:15" x14ac:dyDescent="0.25">
      <c r="A591">
        <v>590</v>
      </c>
      <c r="B591" t="s">
        <v>353</v>
      </c>
      <c r="C591" t="s">
        <v>829</v>
      </c>
      <c r="D591" t="s">
        <v>832</v>
      </c>
      <c r="E591" t="s">
        <v>292</v>
      </c>
      <c r="F591" t="s">
        <v>2</v>
      </c>
      <c r="G591" t="s">
        <v>38</v>
      </c>
      <c r="H591" t="s">
        <v>39</v>
      </c>
      <c r="I591" s="5" t="s">
        <v>294</v>
      </c>
      <c r="J591" s="5" t="s">
        <v>2</v>
      </c>
      <c r="K591" s="5" t="s">
        <v>2</v>
      </c>
      <c r="L591" s="6">
        <f>IF(I591="Cut","",IF(I591="Your call","(decide)",IF(I591="Rename",J591,IF(I591="Keep",IF(D591="",E591,D591),IF(E591="(unchanged)",D591,E591)))))</f>
      </c>
      <c r="M591" s="6">
        <f>IF(AND(I591="Cut",N591&gt;0,K591=""),"USED: say what replaces it (Note)",IF(AND(I591="Rename",J591=""),"type the new name",IF(AND(L591&lt;&gt;"",L591&lt;&gt;"(decide)",COUNTIF($L$2:$L$1680,L591)&gt;1),"SAME FINAL NAME AS ANOTHER ROW","")))</f>
      </c>
      <c r="N591" s="6">
        <v>0</v>
      </c>
      <c r="O591" s="6" t="s">
        <v>2</v>
      </c>
    </row>
    <row r="592" spans="1:15" x14ac:dyDescent="0.25">
      <c r="A592">
        <v>591</v>
      </c>
      <c r="B592" t="s">
        <v>353</v>
      </c>
      <c r="C592" t="s">
        <v>829</v>
      </c>
      <c r="D592" t="s">
        <v>833</v>
      </c>
      <c r="E592" t="s">
        <v>292</v>
      </c>
      <c r="F592" t="s">
        <v>2</v>
      </c>
      <c r="G592" t="s">
        <v>38</v>
      </c>
      <c r="H592" t="s">
        <v>39</v>
      </c>
      <c r="I592" s="5" t="s">
        <v>294</v>
      </c>
      <c r="J592" s="5" t="s">
        <v>2</v>
      </c>
      <c r="K592" s="5" t="s">
        <v>2</v>
      </c>
      <c r="L592" s="6">
        <f>IF(I592="Cut","",IF(I592="Your call","(decide)",IF(I592="Rename",J592,IF(I592="Keep",IF(D592="",E592,D592),IF(E592="(unchanged)",D592,E592)))))</f>
      </c>
      <c r="M592" s="6">
        <f>IF(AND(I592="Cut",N592&gt;0,K592=""),"USED: say what replaces it (Note)",IF(AND(I592="Rename",J592=""),"type the new name",IF(AND(L592&lt;&gt;"",L592&lt;&gt;"(decide)",COUNTIF($L$2:$L$1680,L592)&gt;1),"SAME FINAL NAME AS ANOTHER ROW","")))</f>
      </c>
      <c r="N592" s="6">
        <v>0</v>
      </c>
      <c r="O592" s="6" t="s">
        <v>2</v>
      </c>
    </row>
    <row r="593" spans="1:15" x14ac:dyDescent="0.25">
      <c r="A593">
        <v>592</v>
      </c>
      <c r="B593" t="s">
        <v>353</v>
      </c>
      <c r="C593" t="s">
        <v>829</v>
      </c>
      <c r="D593" t="s">
        <v>834</v>
      </c>
      <c r="E593" t="s">
        <v>292</v>
      </c>
      <c r="F593" t="s">
        <v>2</v>
      </c>
      <c r="G593" t="s">
        <v>38</v>
      </c>
      <c r="H593" t="s">
        <v>39</v>
      </c>
      <c r="I593" s="5" t="s">
        <v>294</v>
      </c>
      <c r="J593" s="5" t="s">
        <v>2</v>
      </c>
      <c r="K593" s="5" t="s">
        <v>2</v>
      </c>
      <c r="L593" s="6">
        <f>IF(I593="Cut","",IF(I593="Your call","(decide)",IF(I593="Rename",J593,IF(I593="Keep",IF(D593="",E593,D593),IF(E593="(unchanged)",D593,E593)))))</f>
      </c>
      <c r="M593" s="6">
        <f>IF(AND(I593="Cut",N593&gt;0,K593=""),"USED: say what replaces it (Note)",IF(AND(I593="Rename",J593=""),"type the new name",IF(AND(L593&lt;&gt;"",L593&lt;&gt;"(decide)",COUNTIF($L$2:$L$1680,L593)&gt;1),"SAME FINAL NAME AS ANOTHER ROW","")))</f>
      </c>
      <c r="N593" s="6">
        <v>0</v>
      </c>
      <c r="O593" s="6" t="s">
        <v>2</v>
      </c>
    </row>
    <row r="594" spans="1:15" x14ac:dyDescent="0.25">
      <c r="A594">
        <v>593</v>
      </c>
      <c r="B594" t="s">
        <v>353</v>
      </c>
      <c r="C594" t="s">
        <v>829</v>
      </c>
      <c r="D594" t="s">
        <v>835</v>
      </c>
      <c r="E594" t="s">
        <v>292</v>
      </c>
      <c r="F594" t="s">
        <v>2</v>
      </c>
      <c r="G594" t="s">
        <v>38</v>
      </c>
      <c r="H594" t="s">
        <v>39</v>
      </c>
      <c r="I594" s="5" t="s">
        <v>294</v>
      </c>
      <c r="J594" s="5" t="s">
        <v>2</v>
      </c>
      <c r="K594" s="5" t="s">
        <v>2</v>
      </c>
      <c r="L594" s="6">
        <f>IF(I594="Cut","",IF(I594="Your call","(decide)",IF(I594="Rename",J594,IF(I594="Keep",IF(D594="",E594,D594),IF(E594="(unchanged)",D594,E594)))))</f>
      </c>
      <c r="M594" s="6">
        <f>IF(AND(I594="Cut",N594&gt;0,K594=""),"USED: say what replaces it (Note)",IF(AND(I594="Rename",J594=""),"type the new name",IF(AND(L594&lt;&gt;"",L594&lt;&gt;"(decide)",COUNTIF($L$2:$L$1680,L594)&gt;1),"SAME FINAL NAME AS ANOTHER ROW","")))</f>
      </c>
      <c r="N594" s="6">
        <v>0</v>
      </c>
      <c r="O594" s="6" t="s">
        <v>2</v>
      </c>
    </row>
    <row r="595" spans="1:15" x14ac:dyDescent="0.25">
      <c r="A595">
        <v>594</v>
      </c>
      <c r="B595" t="s">
        <v>353</v>
      </c>
      <c r="C595" t="s">
        <v>829</v>
      </c>
      <c r="D595" t="s">
        <v>836</v>
      </c>
      <c r="E595" t="s">
        <v>292</v>
      </c>
      <c r="F595" t="s">
        <v>2</v>
      </c>
      <c r="G595" t="s">
        <v>38</v>
      </c>
      <c r="H595" t="s">
        <v>39</v>
      </c>
      <c r="I595" s="5" t="s">
        <v>294</v>
      </c>
      <c r="J595" s="5" t="s">
        <v>2</v>
      </c>
      <c r="K595" s="5" t="s">
        <v>2</v>
      </c>
      <c r="L595" s="6">
        <f>IF(I595="Cut","",IF(I595="Your call","(decide)",IF(I595="Rename",J595,IF(I595="Keep",IF(D595="",E595,D595),IF(E595="(unchanged)",D595,E595)))))</f>
      </c>
      <c r="M595" s="6">
        <f>IF(AND(I595="Cut",N595&gt;0,K595=""),"USED: say what replaces it (Note)",IF(AND(I595="Rename",J595=""),"type the new name",IF(AND(L595&lt;&gt;"",L595&lt;&gt;"(decide)",COUNTIF($L$2:$L$1680,L595)&gt;1),"SAME FINAL NAME AS ANOTHER ROW","")))</f>
      </c>
      <c r="N595" s="6">
        <v>0</v>
      </c>
      <c r="O595" s="6" t="s">
        <v>2</v>
      </c>
    </row>
    <row r="596" spans="1:15" x14ac:dyDescent="0.25">
      <c r="A596">
        <v>595</v>
      </c>
      <c r="B596" t="s">
        <v>353</v>
      </c>
      <c r="C596" t="s">
        <v>829</v>
      </c>
      <c r="D596" t="s">
        <v>837</v>
      </c>
      <c r="E596" t="s">
        <v>292</v>
      </c>
      <c r="F596" t="s">
        <v>2</v>
      </c>
      <c r="G596" t="s">
        <v>38</v>
      </c>
      <c r="H596" t="s">
        <v>39</v>
      </c>
      <c r="I596" s="5" t="s">
        <v>294</v>
      </c>
      <c r="J596" s="5" t="s">
        <v>2</v>
      </c>
      <c r="K596" s="5" t="s">
        <v>2</v>
      </c>
      <c r="L596" s="6">
        <f>IF(I596="Cut","",IF(I596="Your call","(decide)",IF(I596="Rename",J596,IF(I596="Keep",IF(D596="",E596,D596),IF(E596="(unchanged)",D596,E596)))))</f>
      </c>
      <c r="M596" s="6">
        <f>IF(AND(I596="Cut",N596&gt;0,K596=""),"USED: say what replaces it (Note)",IF(AND(I596="Rename",J596=""),"type the new name",IF(AND(L596&lt;&gt;"",L596&lt;&gt;"(decide)",COUNTIF($L$2:$L$1680,L596)&gt;1),"SAME FINAL NAME AS ANOTHER ROW","")))</f>
      </c>
      <c r="N596" s="6">
        <v>0</v>
      </c>
      <c r="O596" s="6" t="s">
        <v>2</v>
      </c>
    </row>
    <row r="597" spans="1:15" x14ac:dyDescent="0.25">
      <c r="A597">
        <v>596</v>
      </c>
      <c r="B597" t="s">
        <v>353</v>
      </c>
      <c r="C597" t="s">
        <v>829</v>
      </c>
      <c r="D597" t="s">
        <v>838</v>
      </c>
      <c r="E597" t="s">
        <v>292</v>
      </c>
      <c r="F597" t="s">
        <v>2</v>
      </c>
      <c r="G597" t="s">
        <v>38</v>
      </c>
      <c r="H597" t="s">
        <v>39</v>
      </c>
      <c r="I597" s="5" t="s">
        <v>294</v>
      </c>
      <c r="J597" s="5" t="s">
        <v>2</v>
      </c>
      <c r="K597" s="5" t="s">
        <v>2</v>
      </c>
      <c r="L597" s="6">
        <f>IF(I597="Cut","",IF(I597="Your call","(decide)",IF(I597="Rename",J597,IF(I597="Keep",IF(D597="",E597,D597),IF(E597="(unchanged)",D597,E597)))))</f>
      </c>
      <c r="M597" s="6">
        <f>IF(AND(I597="Cut",N597&gt;0,K597=""),"USED: say what replaces it (Note)",IF(AND(I597="Rename",J597=""),"type the new name",IF(AND(L597&lt;&gt;"",L597&lt;&gt;"(decide)",COUNTIF($L$2:$L$1680,L597)&gt;1),"SAME FINAL NAME AS ANOTHER ROW","")))</f>
      </c>
      <c r="N597" s="6">
        <v>0</v>
      </c>
      <c r="O597" s="6" t="s">
        <v>2</v>
      </c>
    </row>
    <row r="598" spans="1:15" x14ac:dyDescent="0.25">
      <c r="A598">
        <v>597</v>
      </c>
      <c r="B598" t="s">
        <v>353</v>
      </c>
      <c r="C598" t="s">
        <v>839</v>
      </c>
      <c r="D598" t="s">
        <v>840</v>
      </c>
      <c r="E598" t="s">
        <v>292</v>
      </c>
      <c r="F598" t="s">
        <v>2</v>
      </c>
      <c r="G598" t="s">
        <v>38</v>
      </c>
      <c r="H598" t="s">
        <v>39</v>
      </c>
      <c r="I598" s="5" t="s">
        <v>294</v>
      </c>
      <c r="J598" s="5" t="s">
        <v>2</v>
      </c>
      <c r="K598" s="5" t="s">
        <v>2</v>
      </c>
      <c r="L598" s="6">
        <f>IF(I598="Cut","",IF(I598="Your call","(decide)",IF(I598="Rename",J598,IF(I598="Keep",IF(D598="",E598,D598),IF(E598="(unchanged)",D598,E598)))))</f>
      </c>
      <c r="M598" s="6">
        <f>IF(AND(I598="Cut",N598&gt;0,K598=""),"USED: say what replaces it (Note)",IF(AND(I598="Rename",J598=""),"type the new name",IF(AND(L598&lt;&gt;"",L598&lt;&gt;"(decide)",COUNTIF($L$2:$L$1680,L598)&gt;1),"SAME FINAL NAME AS ANOTHER ROW","")))</f>
      </c>
      <c r="N598" s="6">
        <v>0</v>
      </c>
      <c r="O598" s="6" t="s">
        <v>2</v>
      </c>
    </row>
    <row r="599" spans="1:15" x14ac:dyDescent="0.25">
      <c r="A599">
        <v>598</v>
      </c>
      <c r="B599" t="s">
        <v>353</v>
      </c>
      <c r="C599" t="s">
        <v>839</v>
      </c>
      <c r="D599" t="s">
        <v>841</v>
      </c>
      <c r="E599" t="s">
        <v>292</v>
      </c>
      <c r="F599" t="s">
        <v>2</v>
      </c>
      <c r="G599" t="s">
        <v>38</v>
      </c>
      <c r="H599" t="s">
        <v>39</v>
      </c>
      <c r="I599" s="5" t="s">
        <v>294</v>
      </c>
      <c r="J599" s="5" t="s">
        <v>2</v>
      </c>
      <c r="K599" s="5" t="s">
        <v>2</v>
      </c>
      <c r="L599" s="6">
        <f>IF(I599="Cut","",IF(I599="Your call","(decide)",IF(I599="Rename",J599,IF(I599="Keep",IF(D599="",E599,D599),IF(E599="(unchanged)",D599,E599)))))</f>
      </c>
      <c r="M599" s="6">
        <f>IF(AND(I599="Cut",N599&gt;0,K599=""),"USED: say what replaces it (Note)",IF(AND(I599="Rename",J599=""),"type the new name",IF(AND(L599&lt;&gt;"",L599&lt;&gt;"(decide)",COUNTIF($L$2:$L$1680,L599)&gt;1),"SAME FINAL NAME AS ANOTHER ROW","")))</f>
      </c>
      <c r="N599" s="6">
        <v>0</v>
      </c>
      <c r="O599" s="6" t="s">
        <v>2</v>
      </c>
    </row>
    <row r="600" spans="1:15" x14ac:dyDescent="0.25">
      <c r="A600">
        <v>599</v>
      </c>
      <c r="B600" t="s">
        <v>353</v>
      </c>
      <c r="C600" t="s">
        <v>839</v>
      </c>
      <c r="D600" t="s">
        <v>842</v>
      </c>
      <c r="E600" t="s">
        <v>292</v>
      </c>
      <c r="F600" t="s">
        <v>2</v>
      </c>
      <c r="G600" t="s">
        <v>38</v>
      </c>
      <c r="H600" t="s">
        <v>39</v>
      </c>
      <c r="I600" s="5" t="s">
        <v>294</v>
      </c>
      <c r="J600" s="5" t="s">
        <v>2</v>
      </c>
      <c r="K600" s="5" t="s">
        <v>2</v>
      </c>
      <c r="L600" s="6">
        <f>IF(I600="Cut","",IF(I600="Your call","(decide)",IF(I600="Rename",J600,IF(I600="Keep",IF(D600="",E600,D600),IF(E600="(unchanged)",D600,E600)))))</f>
      </c>
      <c r="M600" s="6">
        <f>IF(AND(I600="Cut",N600&gt;0,K600=""),"USED: say what replaces it (Note)",IF(AND(I600="Rename",J600=""),"type the new name",IF(AND(L600&lt;&gt;"",L600&lt;&gt;"(decide)",COUNTIF($L$2:$L$1680,L600)&gt;1),"SAME FINAL NAME AS ANOTHER ROW","")))</f>
      </c>
      <c r="N600" s="6">
        <v>0</v>
      </c>
      <c r="O600" s="6" t="s">
        <v>2</v>
      </c>
    </row>
    <row r="601" spans="1:15" x14ac:dyDescent="0.25">
      <c r="A601">
        <v>600</v>
      </c>
      <c r="B601" t="s">
        <v>353</v>
      </c>
      <c r="C601" t="s">
        <v>839</v>
      </c>
      <c r="D601" t="s">
        <v>843</v>
      </c>
      <c r="E601" t="s">
        <v>292</v>
      </c>
      <c r="F601" t="s">
        <v>2</v>
      </c>
      <c r="G601" t="s">
        <v>38</v>
      </c>
      <c r="H601" t="s">
        <v>39</v>
      </c>
      <c r="I601" s="5" t="s">
        <v>294</v>
      </c>
      <c r="J601" s="5" t="s">
        <v>2</v>
      </c>
      <c r="K601" s="5" t="s">
        <v>2</v>
      </c>
      <c r="L601" s="6">
        <f>IF(I601="Cut","",IF(I601="Your call","(decide)",IF(I601="Rename",J601,IF(I601="Keep",IF(D601="",E601,D601),IF(E601="(unchanged)",D601,E601)))))</f>
      </c>
      <c r="M601" s="6">
        <f>IF(AND(I601="Cut",N601&gt;0,K601=""),"USED: say what replaces it (Note)",IF(AND(I601="Rename",J601=""),"type the new name",IF(AND(L601&lt;&gt;"",L601&lt;&gt;"(decide)",COUNTIF($L$2:$L$1680,L601)&gt;1),"SAME FINAL NAME AS ANOTHER ROW","")))</f>
      </c>
      <c r="N601" s="6">
        <v>0</v>
      </c>
      <c r="O601" s="6" t="s">
        <v>2</v>
      </c>
    </row>
    <row r="602" spans="1:15" x14ac:dyDescent="0.25">
      <c r="A602">
        <v>601</v>
      </c>
      <c r="B602" t="s">
        <v>353</v>
      </c>
      <c r="C602" t="s">
        <v>839</v>
      </c>
      <c r="D602" t="s">
        <v>844</v>
      </c>
      <c r="E602" t="s">
        <v>292</v>
      </c>
      <c r="F602" t="s">
        <v>2</v>
      </c>
      <c r="G602" t="s">
        <v>38</v>
      </c>
      <c r="H602" t="s">
        <v>39</v>
      </c>
      <c r="I602" s="5" t="s">
        <v>294</v>
      </c>
      <c r="J602" s="5" t="s">
        <v>2</v>
      </c>
      <c r="K602" s="5" t="s">
        <v>2</v>
      </c>
      <c r="L602" s="6">
        <f>IF(I602="Cut","",IF(I602="Your call","(decide)",IF(I602="Rename",J602,IF(I602="Keep",IF(D602="",E602,D602),IF(E602="(unchanged)",D602,E602)))))</f>
      </c>
      <c r="M602" s="6">
        <f>IF(AND(I602="Cut",N602&gt;0,K602=""),"USED: say what replaces it (Note)",IF(AND(I602="Rename",J602=""),"type the new name",IF(AND(L602&lt;&gt;"",L602&lt;&gt;"(decide)",COUNTIF($L$2:$L$1680,L602)&gt;1),"SAME FINAL NAME AS ANOTHER ROW","")))</f>
      </c>
      <c r="N602" s="6">
        <v>0</v>
      </c>
      <c r="O602" s="6" t="s">
        <v>2</v>
      </c>
    </row>
    <row r="603" spans="1:15" x14ac:dyDescent="0.25">
      <c r="A603">
        <v>602</v>
      </c>
      <c r="B603" t="s">
        <v>353</v>
      </c>
      <c r="C603" t="s">
        <v>839</v>
      </c>
      <c r="D603" t="s">
        <v>845</v>
      </c>
      <c r="E603" t="s">
        <v>292</v>
      </c>
      <c r="F603" t="s">
        <v>2</v>
      </c>
      <c r="G603" t="s">
        <v>38</v>
      </c>
      <c r="H603" t="s">
        <v>39</v>
      </c>
      <c r="I603" s="5" t="s">
        <v>294</v>
      </c>
      <c r="J603" s="5" t="s">
        <v>2</v>
      </c>
      <c r="K603" s="5" t="s">
        <v>2</v>
      </c>
      <c r="L603" s="6">
        <f>IF(I603="Cut","",IF(I603="Your call","(decide)",IF(I603="Rename",J603,IF(I603="Keep",IF(D603="",E603,D603),IF(E603="(unchanged)",D603,E603)))))</f>
      </c>
      <c r="M603" s="6">
        <f>IF(AND(I603="Cut",N603&gt;0,K603=""),"USED: say what replaces it (Note)",IF(AND(I603="Rename",J603=""),"type the new name",IF(AND(L603&lt;&gt;"",L603&lt;&gt;"(decide)",COUNTIF($L$2:$L$1680,L603)&gt;1),"SAME FINAL NAME AS ANOTHER ROW","")))</f>
      </c>
      <c r="N603" s="6">
        <v>0</v>
      </c>
      <c r="O603" s="6" t="s">
        <v>2</v>
      </c>
    </row>
    <row r="604" spans="1:15" x14ac:dyDescent="0.25">
      <c r="A604">
        <v>603</v>
      </c>
      <c r="B604" t="s">
        <v>353</v>
      </c>
      <c r="C604" t="s">
        <v>839</v>
      </c>
      <c r="D604" t="s">
        <v>846</v>
      </c>
      <c r="E604" t="s">
        <v>292</v>
      </c>
      <c r="F604" t="s">
        <v>2</v>
      </c>
      <c r="G604" t="s">
        <v>38</v>
      </c>
      <c r="H604" t="s">
        <v>39</v>
      </c>
      <c r="I604" s="5" t="s">
        <v>294</v>
      </c>
      <c r="J604" s="5" t="s">
        <v>2</v>
      </c>
      <c r="K604" s="5" t="s">
        <v>2</v>
      </c>
      <c r="L604" s="6">
        <f>IF(I604="Cut","",IF(I604="Your call","(decide)",IF(I604="Rename",J604,IF(I604="Keep",IF(D604="",E604,D604),IF(E604="(unchanged)",D604,E604)))))</f>
      </c>
      <c r="M604" s="6">
        <f>IF(AND(I604="Cut",N604&gt;0,K604=""),"USED: say what replaces it (Note)",IF(AND(I604="Rename",J604=""),"type the new name",IF(AND(L604&lt;&gt;"",L604&lt;&gt;"(decide)",COUNTIF($L$2:$L$1680,L604)&gt;1),"SAME FINAL NAME AS ANOTHER ROW","")))</f>
      </c>
      <c r="N604" s="6">
        <v>0</v>
      </c>
      <c r="O604" s="6" t="s">
        <v>2</v>
      </c>
    </row>
    <row r="605" spans="1:15" x14ac:dyDescent="0.25">
      <c r="A605">
        <v>604</v>
      </c>
      <c r="B605" t="s">
        <v>353</v>
      </c>
      <c r="C605" t="s">
        <v>839</v>
      </c>
      <c r="D605" t="s">
        <v>847</v>
      </c>
      <c r="E605" t="s">
        <v>292</v>
      </c>
      <c r="F605" t="s">
        <v>2</v>
      </c>
      <c r="G605" t="s">
        <v>38</v>
      </c>
      <c r="H605" t="s">
        <v>39</v>
      </c>
      <c r="I605" s="5" t="s">
        <v>294</v>
      </c>
      <c r="J605" s="5" t="s">
        <v>2</v>
      </c>
      <c r="K605" s="5" t="s">
        <v>2</v>
      </c>
      <c r="L605" s="6">
        <f>IF(I605="Cut","",IF(I605="Your call","(decide)",IF(I605="Rename",J605,IF(I605="Keep",IF(D605="",E605,D605),IF(E605="(unchanged)",D605,E605)))))</f>
      </c>
      <c r="M605" s="6">
        <f>IF(AND(I605="Cut",N605&gt;0,K605=""),"USED: say what replaces it (Note)",IF(AND(I605="Rename",J605=""),"type the new name",IF(AND(L605&lt;&gt;"",L605&lt;&gt;"(decide)",COUNTIF($L$2:$L$1680,L605)&gt;1),"SAME FINAL NAME AS ANOTHER ROW","")))</f>
      </c>
      <c r="N605" s="6">
        <v>0</v>
      </c>
      <c r="O605" s="6" t="s">
        <v>2</v>
      </c>
    </row>
    <row r="606" spans="1:15" x14ac:dyDescent="0.25">
      <c r="A606">
        <v>605</v>
      </c>
      <c r="B606" t="s">
        <v>353</v>
      </c>
      <c r="C606" t="s">
        <v>839</v>
      </c>
      <c r="D606" t="s">
        <v>848</v>
      </c>
      <c r="E606" t="s">
        <v>292</v>
      </c>
      <c r="F606" t="s">
        <v>2</v>
      </c>
      <c r="G606" t="s">
        <v>38</v>
      </c>
      <c r="H606" t="s">
        <v>39</v>
      </c>
      <c r="I606" s="5" t="s">
        <v>294</v>
      </c>
      <c r="J606" s="5" t="s">
        <v>2</v>
      </c>
      <c r="K606" s="5" t="s">
        <v>2</v>
      </c>
      <c r="L606" s="6">
        <f>IF(I606="Cut","",IF(I606="Your call","(decide)",IF(I606="Rename",J606,IF(I606="Keep",IF(D606="",E606,D606),IF(E606="(unchanged)",D606,E606)))))</f>
      </c>
      <c r="M606" s="6">
        <f>IF(AND(I606="Cut",N606&gt;0,K606=""),"USED: say what replaces it (Note)",IF(AND(I606="Rename",J606=""),"type the new name",IF(AND(L606&lt;&gt;"",L606&lt;&gt;"(decide)",COUNTIF($L$2:$L$1680,L606)&gt;1),"SAME FINAL NAME AS ANOTHER ROW","")))</f>
      </c>
      <c r="N606" s="6">
        <v>0</v>
      </c>
      <c r="O606" s="6" t="s">
        <v>2</v>
      </c>
    </row>
    <row r="607" spans="1:15" x14ac:dyDescent="0.25">
      <c r="A607">
        <v>606</v>
      </c>
      <c r="B607" t="s">
        <v>353</v>
      </c>
      <c r="C607" t="s">
        <v>849</v>
      </c>
      <c r="D607" t="s">
        <v>850</v>
      </c>
      <c r="E607" t="s">
        <v>292</v>
      </c>
      <c r="F607" t="s">
        <v>2</v>
      </c>
      <c r="G607" t="s">
        <v>38</v>
      </c>
      <c r="H607" t="s">
        <v>39</v>
      </c>
      <c r="I607" s="5" t="s">
        <v>294</v>
      </c>
      <c r="J607" s="5" t="s">
        <v>2</v>
      </c>
      <c r="K607" s="5" t="s">
        <v>2</v>
      </c>
      <c r="L607" s="6">
        <f>IF(I607="Cut","",IF(I607="Your call","(decide)",IF(I607="Rename",J607,IF(I607="Keep",IF(D607="",E607,D607),IF(E607="(unchanged)",D607,E607)))))</f>
      </c>
      <c r="M607" s="6">
        <f>IF(AND(I607="Cut",N607&gt;0,K607=""),"USED: say what replaces it (Note)",IF(AND(I607="Rename",J607=""),"type the new name",IF(AND(L607&lt;&gt;"",L607&lt;&gt;"(decide)",COUNTIF($L$2:$L$1680,L607)&gt;1),"SAME FINAL NAME AS ANOTHER ROW","")))</f>
      </c>
      <c r="N607" s="6">
        <v>0</v>
      </c>
      <c r="O607" s="6" t="s">
        <v>2</v>
      </c>
    </row>
    <row r="608" spans="1:15" x14ac:dyDescent="0.25">
      <c r="A608">
        <v>607</v>
      </c>
      <c r="B608" t="s">
        <v>353</v>
      </c>
      <c r="C608" t="s">
        <v>849</v>
      </c>
      <c r="D608" t="s">
        <v>851</v>
      </c>
      <c r="E608" t="s">
        <v>292</v>
      </c>
      <c r="F608" t="s">
        <v>2</v>
      </c>
      <c r="G608" t="s">
        <v>38</v>
      </c>
      <c r="H608" t="s">
        <v>39</v>
      </c>
      <c r="I608" s="5" t="s">
        <v>294</v>
      </c>
      <c r="J608" s="5" t="s">
        <v>2</v>
      </c>
      <c r="K608" s="5" t="s">
        <v>2</v>
      </c>
      <c r="L608" s="6">
        <f>IF(I608="Cut","",IF(I608="Your call","(decide)",IF(I608="Rename",J608,IF(I608="Keep",IF(D608="",E608,D608),IF(E608="(unchanged)",D608,E608)))))</f>
      </c>
      <c r="M608" s="6">
        <f>IF(AND(I608="Cut",N608&gt;0,K608=""),"USED: say what replaces it (Note)",IF(AND(I608="Rename",J608=""),"type the new name",IF(AND(L608&lt;&gt;"",L608&lt;&gt;"(decide)",COUNTIF($L$2:$L$1680,L608)&gt;1),"SAME FINAL NAME AS ANOTHER ROW","")))</f>
      </c>
      <c r="N608" s="6">
        <v>0</v>
      </c>
      <c r="O608" s="6" t="s">
        <v>2</v>
      </c>
    </row>
    <row r="609" spans="1:15" x14ac:dyDescent="0.25">
      <c r="A609">
        <v>608</v>
      </c>
      <c r="B609" t="s">
        <v>353</v>
      </c>
      <c r="C609" t="s">
        <v>849</v>
      </c>
      <c r="D609" t="s">
        <v>852</v>
      </c>
      <c r="E609" t="s">
        <v>292</v>
      </c>
      <c r="F609" t="s">
        <v>2</v>
      </c>
      <c r="G609" t="s">
        <v>38</v>
      </c>
      <c r="H609" t="s">
        <v>39</v>
      </c>
      <c r="I609" s="5" t="s">
        <v>294</v>
      </c>
      <c r="J609" s="5" t="s">
        <v>2</v>
      </c>
      <c r="K609" s="5" t="s">
        <v>2</v>
      </c>
      <c r="L609" s="6">
        <f>IF(I609="Cut","",IF(I609="Your call","(decide)",IF(I609="Rename",J609,IF(I609="Keep",IF(D609="",E609,D609),IF(E609="(unchanged)",D609,E609)))))</f>
      </c>
      <c r="M609" s="6">
        <f>IF(AND(I609="Cut",N609&gt;0,K609=""),"USED: say what replaces it (Note)",IF(AND(I609="Rename",J609=""),"type the new name",IF(AND(L609&lt;&gt;"",L609&lt;&gt;"(decide)",COUNTIF($L$2:$L$1680,L609)&gt;1),"SAME FINAL NAME AS ANOTHER ROW","")))</f>
      </c>
      <c r="N609" s="6">
        <v>0</v>
      </c>
      <c r="O609" s="6" t="s">
        <v>2</v>
      </c>
    </row>
    <row r="610" spans="1:15" x14ac:dyDescent="0.25">
      <c r="A610">
        <v>609</v>
      </c>
      <c r="B610" t="s">
        <v>353</v>
      </c>
      <c r="C610" t="s">
        <v>849</v>
      </c>
      <c r="D610" t="s">
        <v>853</v>
      </c>
      <c r="E610" t="s">
        <v>292</v>
      </c>
      <c r="F610" t="s">
        <v>2</v>
      </c>
      <c r="G610" t="s">
        <v>38</v>
      </c>
      <c r="H610" t="s">
        <v>39</v>
      </c>
      <c r="I610" s="5" t="s">
        <v>294</v>
      </c>
      <c r="J610" s="5" t="s">
        <v>2</v>
      </c>
      <c r="K610" s="5" t="s">
        <v>2</v>
      </c>
      <c r="L610" s="6">
        <f>IF(I610="Cut","",IF(I610="Your call","(decide)",IF(I610="Rename",J610,IF(I610="Keep",IF(D610="",E610,D610),IF(E610="(unchanged)",D610,E610)))))</f>
      </c>
      <c r="M610" s="6">
        <f>IF(AND(I610="Cut",N610&gt;0,K610=""),"USED: say what replaces it (Note)",IF(AND(I610="Rename",J610=""),"type the new name",IF(AND(L610&lt;&gt;"",L610&lt;&gt;"(decide)",COUNTIF($L$2:$L$1680,L610)&gt;1),"SAME FINAL NAME AS ANOTHER ROW","")))</f>
      </c>
      <c r="N610" s="6">
        <v>0</v>
      </c>
      <c r="O610" s="6" t="s">
        <v>2</v>
      </c>
    </row>
    <row r="611" spans="1:15" x14ac:dyDescent="0.25">
      <c r="A611">
        <v>610</v>
      </c>
      <c r="B611" t="s">
        <v>353</v>
      </c>
      <c r="C611" t="s">
        <v>849</v>
      </c>
      <c r="D611" t="s">
        <v>854</v>
      </c>
      <c r="E611" t="s">
        <v>292</v>
      </c>
      <c r="F611" t="s">
        <v>2</v>
      </c>
      <c r="G611" t="s">
        <v>38</v>
      </c>
      <c r="H611" t="s">
        <v>39</v>
      </c>
      <c r="I611" s="5" t="s">
        <v>294</v>
      </c>
      <c r="J611" s="5" t="s">
        <v>2</v>
      </c>
      <c r="K611" s="5" t="s">
        <v>2</v>
      </c>
      <c r="L611" s="6">
        <f>IF(I611="Cut","",IF(I611="Your call","(decide)",IF(I611="Rename",J611,IF(I611="Keep",IF(D611="",E611,D611),IF(E611="(unchanged)",D611,E611)))))</f>
      </c>
      <c r="M611" s="6">
        <f>IF(AND(I611="Cut",N611&gt;0,K611=""),"USED: say what replaces it (Note)",IF(AND(I611="Rename",J611=""),"type the new name",IF(AND(L611&lt;&gt;"",L611&lt;&gt;"(decide)",COUNTIF($L$2:$L$1680,L611)&gt;1),"SAME FINAL NAME AS ANOTHER ROW","")))</f>
      </c>
      <c r="N611" s="6">
        <v>0</v>
      </c>
      <c r="O611" s="6" t="s">
        <v>2</v>
      </c>
    </row>
    <row r="612" spans="1:15" x14ac:dyDescent="0.25">
      <c r="A612">
        <v>611</v>
      </c>
      <c r="B612" t="s">
        <v>353</v>
      </c>
      <c r="C612" t="s">
        <v>849</v>
      </c>
      <c r="D612" t="s">
        <v>855</v>
      </c>
      <c r="E612" t="s">
        <v>292</v>
      </c>
      <c r="F612" t="s">
        <v>2</v>
      </c>
      <c r="G612" t="s">
        <v>38</v>
      </c>
      <c r="H612" t="s">
        <v>39</v>
      </c>
      <c r="I612" s="5" t="s">
        <v>294</v>
      </c>
      <c r="J612" s="5" t="s">
        <v>2</v>
      </c>
      <c r="K612" s="5" t="s">
        <v>2</v>
      </c>
      <c r="L612" s="6">
        <f>IF(I612="Cut","",IF(I612="Your call","(decide)",IF(I612="Rename",J612,IF(I612="Keep",IF(D612="",E612,D612),IF(E612="(unchanged)",D612,E612)))))</f>
      </c>
      <c r="M612" s="6">
        <f>IF(AND(I612="Cut",N612&gt;0,K612=""),"USED: say what replaces it (Note)",IF(AND(I612="Rename",J612=""),"type the new name",IF(AND(L612&lt;&gt;"",L612&lt;&gt;"(decide)",COUNTIF($L$2:$L$1680,L612)&gt;1),"SAME FINAL NAME AS ANOTHER ROW","")))</f>
      </c>
      <c r="N612" s="6">
        <v>0</v>
      </c>
      <c r="O612" s="6" t="s">
        <v>2</v>
      </c>
    </row>
    <row r="613" spans="1:15" x14ac:dyDescent="0.25">
      <c r="A613">
        <v>612</v>
      </c>
      <c r="B613" t="s">
        <v>353</v>
      </c>
      <c r="C613" t="s">
        <v>849</v>
      </c>
      <c r="D613" t="s">
        <v>856</v>
      </c>
      <c r="E613" t="s">
        <v>292</v>
      </c>
      <c r="F613" t="s">
        <v>2</v>
      </c>
      <c r="G613" t="s">
        <v>38</v>
      </c>
      <c r="H613" t="s">
        <v>39</v>
      </c>
      <c r="I613" s="5" t="s">
        <v>294</v>
      </c>
      <c r="J613" s="5" t="s">
        <v>2</v>
      </c>
      <c r="K613" s="5" t="s">
        <v>2</v>
      </c>
      <c r="L613" s="6">
        <f>IF(I613="Cut","",IF(I613="Your call","(decide)",IF(I613="Rename",J613,IF(I613="Keep",IF(D613="",E613,D613),IF(E613="(unchanged)",D613,E613)))))</f>
      </c>
      <c r="M613" s="6">
        <f>IF(AND(I613="Cut",N613&gt;0,K613=""),"USED: say what replaces it (Note)",IF(AND(I613="Rename",J613=""),"type the new name",IF(AND(L613&lt;&gt;"",L613&lt;&gt;"(decide)",COUNTIF($L$2:$L$1680,L613)&gt;1),"SAME FINAL NAME AS ANOTHER ROW","")))</f>
      </c>
      <c r="N613" s="6">
        <v>0</v>
      </c>
      <c r="O613" s="6" t="s">
        <v>2</v>
      </c>
    </row>
    <row r="614" spans="1:15" x14ac:dyDescent="0.25">
      <c r="A614">
        <v>613</v>
      </c>
      <c r="B614" t="s">
        <v>353</v>
      </c>
      <c r="C614" t="s">
        <v>849</v>
      </c>
      <c r="D614" t="s">
        <v>857</v>
      </c>
      <c r="E614" t="s">
        <v>292</v>
      </c>
      <c r="F614" t="s">
        <v>2</v>
      </c>
      <c r="G614" t="s">
        <v>38</v>
      </c>
      <c r="H614" t="s">
        <v>39</v>
      </c>
      <c r="I614" s="5" t="s">
        <v>294</v>
      </c>
      <c r="J614" s="5" t="s">
        <v>2</v>
      </c>
      <c r="K614" s="5" t="s">
        <v>2</v>
      </c>
      <c r="L614" s="6">
        <f>IF(I614="Cut","",IF(I614="Your call","(decide)",IF(I614="Rename",J614,IF(I614="Keep",IF(D614="",E614,D614),IF(E614="(unchanged)",D614,E614)))))</f>
      </c>
      <c r="M614" s="6">
        <f>IF(AND(I614="Cut",N614&gt;0,K614=""),"USED: say what replaces it (Note)",IF(AND(I614="Rename",J614=""),"type the new name",IF(AND(L614&lt;&gt;"",L614&lt;&gt;"(decide)",COUNTIF($L$2:$L$1680,L614)&gt;1),"SAME FINAL NAME AS ANOTHER ROW","")))</f>
      </c>
      <c r="N614" s="6">
        <v>0</v>
      </c>
      <c r="O614" s="6" t="s">
        <v>2</v>
      </c>
    </row>
    <row r="615" spans="1:15" x14ac:dyDescent="0.25">
      <c r="A615">
        <v>614</v>
      </c>
      <c r="B615" t="s">
        <v>353</v>
      </c>
      <c r="C615" t="s">
        <v>849</v>
      </c>
      <c r="D615" t="s">
        <v>858</v>
      </c>
      <c r="E615" t="s">
        <v>292</v>
      </c>
      <c r="F615" t="s">
        <v>2</v>
      </c>
      <c r="G615" t="s">
        <v>38</v>
      </c>
      <c r="H615" t="s">
        <v>39</v>
      </c>
      <c r="I615" s="5" t="s">
        <v>294</v>
      </c>
      <c r="J615" s="5" t="s">
        <v>2</v>
      </c>
      <c r="K615" s="5" t="s">
        <v>2</v>
      </c>
      <c r="L615" s="6">
        <f>IF(I615="Cut","",IF(I615="Your call","(decide)",IF(I615="Rename",J615,IF(I615="Keep",IF(D615="",E615,D615),IF(E615="(unchanged)",D615,E615)))))</f>
      </c>
      <c r="M615" s="6">
        <f>IF(AND(I615="Cut",N615&gt;0,K615=""),"USED: say what replaces it (Note)",IF(AND(I615="Rename",J615=""),"type the new name",IF(AND(L615&lt;&gt;"",L615&lt;&gt;"(decide)",COUNTIF($L$2:$L$1680,L615)&gt;1),"SAME FINAL NAME AS ANOTHER ROW","")))</f>
      </c>
      <c r="N615" s="6">
        <v>0</v>
      </c>
      <c r="O615" s="6" t="s">
        <v>2</v>
      </c>
    </row>
    <row r="616" spans="1:15" x14ac:dyDescent="0.25">
      <c r="A616">
        <v>615</v>
      </c>
      <c r="B616" t="s">
        <v>353</v>
      </c>
      <c r="C616" t="s">
        <v>859</v>
      </c>
      <c r="D616" t="s">
        <v>860</v>
      </c>
      <c r="E616" t="s">
        <v>292</v>
      </c>
      <c r="F616" t="s">
        <v>2</v>
      </c>
      <c r="G616" t="s">
        <v>38</v>
      </c>
      <c r="H616" t="s">
        <v>39</v>
      </c>
      <c r="I616" s="5" t="s">
        <v>294</v>
      </c>
      <c r="J616" s="5" t="s">
        <v>2</v>
      </c>
      <c r="K616" s="5" t="s">
        <v>2</v>
      </c>
      <c r="L616" s="6">
        <f>IF(I616="Cut","",IF(I616="Your call","(decide)",IF(I616="Rename",J616,IF(I616="Keep",IF(D616="",E616,D616),IF(E616="(unchanged)",D616,E616)))))</f>
      </c>
      <c r="M616" s="6">
        <f>IF(AND(I616="Cut",N616&gt;0,K616=""),"USED: say what replaces it (Note)",IF(AND(I616="Rename",J616=""),"type the new name",IF(AND(L616&lt;&gt;"",L616&lt;&gt;"(decide)",COUNTIF($L$2:$L$1680,L616)&gt;1),"SAME FINAL NAME AS ANOTHER ROW","")))</f>
      </c>
      <c r="N616" s="6">
        <v>0</v>
      </c>
      <c r="O616" s="6" t="s">
        <v>2</v>
      </c>
    </row>
    <row r="617" spans="1:15" x14ac:dyDescent="0.25">
      <c r="A617">
        <v>616</v>
      </c>
      <c r="B617" t="s">
        <v>353</v>
      </c>
      <c r="C617" t="s">
        <v>859</v>
      </c>
      <c r="D617" t="s">
        <v>861</v>
      </c>
      <c r="E617" t="s">
        <v>292</v>
      </c>
      <c r="F617" t="s">
        <v>2</v>
      </c>
      <c r="G617" t="s">
        <v>38</v>
      </c>
      <c r="H617" t="s">
        <v>39</v>
      </c>
      <c r="I617" s="5" t="s">
        <v>294</v>
      </c>
      <c r="J617" s="5" t="s">
        <v>2</v>
      </c>
      <c r="K617" s="5" t="s">
        <v>2</v>
      </c>
      <c r="L617" s="6">
        <f>IF(I617="Cut","",IF(I617="Your call","(decide)",IF(I617="Rename",J617,IF(I617="Keep",IF(D617="",E617,D617),IF(E617="(unchanged)",D617,E617)))))</f>
      </c>
      <c r="M617" s="6">
        <f>IF(AND(I617="Cut",N617&gt;0,K617=""),"USED: say what replaces it (Note)",IF(AND(I617="Rename",J617=""),"type the new name",IF(AND(L617&lt;&gt;"",L617&lt;&gt;"(decide)",COUNTIF($L$2:$L$1680,L617)&gt;1),"SAME FINAL NAME AS ANOTHER ROW","")))</f>
      </c>
      <c r="N617" s="6">
        <v>0</v>
      </c>
      <c r="O617" s="6" t="s">
        <v>2</v>
      </c>
    </row>
    <row r="618" spans="1:15" x14ac:dyDescent="0.25">
      <c r="A618">
        <v>617</v>
      </c>
      <c r="B618" t="s">
        <v>353</v>
      </c>
      <c r="C618" t="s">
        <v>859</v>
      </c>
      <c r="D618" t="s">
        <v>862</v>
      </c>
      <c r="E618" t="s">
        <v>292</v>
      </c>
      <c r="F618" t="s">
        <v>2</v>
      </c>
      <c r="G618" t="s">
        <v>38</v>
      </c>
      <c r="H618" t="s">
        <v>39</v>
      </c>
      <c r="I618" s="5" t="s">
        <v>294</v>
      </c>
      <c r="J618" s="5" t="s">
        <v>2</v>
      </c>
      <c r="K618" s="5" t="s">
        <v>2</v>
      </c>
      <c r="L618" s="6">
        <f>IF(I618="Cut","",IF(I618="Your call","(decide)",IF(I618="Rename",J618,IF(I618="Keep",IF(D618="",E618,D618),IF(E618="(unchanged)",D618,E618)))))</f>
      </c>
      <c r="M618" s="6">
        <f>IF(AND(I618="Cut",N618&gt;0,K618=""),"USED: say what replaces it (Note)",IF(AND(I618="Rename",J618=""),"type the new name",IF(AND(L618&lt;&gt;"",L618&lt;&gt;"(decide)",COUNTIF($L$2:$L$1680,L618)&gt;1),"SAME FINAL NAME AS ANOTHER ROW","")))</f>
      </c>
      <c r="N618" s="6">
        <v>0</v>
      </c>
      <c r="O618" s="6" t="s">
        <v>2</v>
      </c>
    </row>
    <row r="619" spans="1:15" x14ac:dyDescent="0.25">
      <c r="A619">
        <v>618</v>
      </c>
      <c r="B619" t="s">
        <v>353</v>
      </c>
      <c r="C619" t="s">
        <v>859</v>
      </c>
      <c r="D619" t="s">
        <v>863</v>
      </c>
      <c r="E619" t="s">
        <v>292</v>
      </c>
      <c r="F619" t="s">
        <v>2</v>
      </c>
      <c r="G619" t="s">
        <v>38</v>
      </c>
      <c r="H619" t="s">
        <v>39</v>
      </c>
      <c r="I619" s="5" t="s">
        <v>294</v>
      </c>
      <c r="J619" s="5" t="s">
        <v>2</v>
      </c>
      <c r="K619" s="5" t="s">
        <v>2</v>
      </c>
      <c r="L619" s="6">
        <f>IF(I619="Cut","",IF(I619="Your call","(decide)",IF(I619="Rename",J619,IF(I619="Keep",IF(D619="",E619,D619),IF(E619="(unchanged)",D619,E619)))))</f>
      </c>
      <c r="M619" s="6">
        <f>IF(AND(I619="Cut",N619&gt;0,K619=""),"USED: say what replaces it (Note)",IF(AND(I619="Rename",J619=""),"type the new name",IF(AND(L619&lt;&gt;"",L619&lt;&gt;"(decide)",COUNTIF($L$2:$L$1680,L619)&gt;1),"SAME FINAL NAME AS ANOTHER ROW","")))</f>
      </c>
      <c r="N619" s="6">
        <v>0</v>
      </c>
      <c r="O619" s="6" t="s">
        <v>2</v>
      </c>
    </row>
    <row r="620" spans="1:15" x14ac:dyDescent="0.25">
      <c r="A620">
        <v>619</v>
      </c>
      <c r="B620" t="s">
        <v>353</v>
      </c>
      <c r="C620" t="s">
        <v>859</v>
      </c>
      <c r="D620" t="s">
        <v>864</v>
      </c>
      <c r="E620" t="s">
        <v>292</v>
      </c>
      <c r="F620" t="s">
        <v>2</v>
      </c>
      <c r="G620" t="s">
        <v>38</v>
      </c>
      <c r="H620" t="s">
        <v>39</v>
      </c>
      <c r="I620" s="5" t="s">
        <v>294</v>
      </c>
      <c r="J620" s="5" t="s">
        <v>2</v>
      </c>
      <c r="K620" s="5" t="s">
        <v>2</v>
      </c>
      <c r="L620" s="6">
        <f>IF(I620="Cut","",IF(I620="Your call","(decide)",IF(I620="Rename",J620,IF(I620="Keep",IF(D620="",E620,D620),IF(E620="(unchanged)",D620,E620)))))</f>
      </c>
      <c r="M620" s="6">
        <f>IF(AND(I620="Cut",N620&gt;0,K620=""),"USED: say what replaces it (Note)",IF(AND(I620="Rename",J620=""),"type the new name",IF(AND(L620&lt;&gt;"",L620&lt;&gt;"(decide)",COUNTIF($L$2:$L$1680,L620)&gt;1),"SAME FINAL NAME AS ANOTHER ROW","")))</f>
      </c>
      <c r="N620" s="6">
        <v>0</v>
      </c>
      <c r="O620" s="6" t="s">
        <v>2</v>
      </c>
    </row>
    <row r="621" spans="1:15" x14ac:dyDescent="0.25">
      <c r="A621">
        <v>620</v>
      </c>
      <c r="B621" t="s">
        <v>353</v>
      </c>
      <c r="C621" t="s">
        <v>859</v>
      </c>
      <c r="D621" t="s">
        <v>865</v>
      </c>
      <c r="E621" t="s">
        <v>292</v>
      </c>
      <c r="F621" t="s">
        <v>2</v>
      </c>
      <c r="G621" t="s">
        <v>38</v>
      </c>
      <c r="H621" t="s">
        <v>39</v>
      </c>
      <c r="I621" s="5" t="s">
        <v>294</v>
      </c>
      <c r="J621" s="5" t="s">
        <v>2</v>
      </c>
      <c r="K621" s="5" t="s">
        <v>2</v>
      </c>
      <c r="L621" s="6">
        <f>IF(I621="Cut","",IF(I621="Your call","(decide)",IF(I621="Rename",J621,IF(I621="Keep",IF(D621="",E621,D621),IF(E621="(unchanged)",D621,E621)))))</f>
      </c>
      <c r="M621" s="6">
        <f>IF(AND(I621="Cut",N621&gt;0,K621=""),"USED: say what replaces it (Note)",IF(AND(I621="Rename",J621=""),"type the new name",IF(AND(L621&lt;&gt;"",L621&lt;&gt;"(decide)",COUNTIF($L$2:$L$1680,L621)&gt;1),"SAME FINAL NAME AS ANOTHER ROW","")))</f>
      </c>
      <c r="N621" s="6">
        <v>0</v>
      </c>
      <c r="O621" s="6" t="s">
        <v>2</v>
      </c>
    </row>
    <row r="622" spans="1:15" x14ac:dyDescent="0.25">
      <c r="A622">
        <v>621</v>
      </c>
      <c r="B622" t="s">
        <v>353</v>
      </c>
      <c r="C622" t="s">
        <v>859</v>
      </c>
      <c r="D622" t="s">
        <v>866</v>
      </c>
      <c r="E622" t="s">
        <v>292</v>
      </c>
      <c r="F622" t="s">
        <v>2</v>
      </c>
      <c r="G622" t="s">
        <v>38</v>
      </c>
      <c r="H622" t="s">
        <v>39</v>
      </c>
      <c r="I622" s="5" t="s">
        <v>294</v>
      </c>
      <c r="J622" s="5" t="s">
        <v>2</v>
      </c>
      <c r="K622" s="5" t="s">
        <v>2</v>
      </c>
      <c r="L622" s="6">
        <f>IF(I622="Cut","",IF(I622="Your call","(decide)",IF(I622="Rename",J622,IF(I622="Keep",IF(D622="",E622,D622),IF(E622="(unchanged)",D622,E622)))))</f>
      </c>
      <c r="M622" s="6">
        <f>IF(AND(I622="Cut",N622&gt;0,K622=""),"USED: say what replaces it (Note)",IF(AND(I622="Rename",J622=""),"type the new name",IF(AND(L622&lt;&gt;"",L622&lt;&gt;"(decide)",COUNTIF($L$2:$L$1680,L622)&gt;1),"SAME FINAL NAME AS ANOTHER ROW","")))</f>
      </c>
      <c r="N622" s="6">
        <v>0</v>
      </c>
      <c r="O622" s="6" t="s">
        <v>2</v>
      </c>
    </row>
    <row r="623" spans="1:15" x14ac:dyDescent="0.25">
      <c r="A623">
        <v>622</v>
      </c>
      <c r="B623" t="s">
        <v>353</v>
      </c>
      <c r="C623" t="s">
        <v>859</v>
      </c>
      <c r="D623" t="s">
        <v>867</v>
      </c>
      <c r="E623" t="s">
        <v>292</v>
      </c>
      <c r="F623" t="s">
        <v>2</v>
      </c>
      <c r="G623" t="s">
        <v>38</v>
      </c>
      <c r="H623" t="s">
        <v>39</v>
      </c>
      <c r="I623" s="5" t="s">
        <v>294</v>
      </c>
      <c r="J623" s="5" t="s">
        <v>2</v>
      </c>
      <c r="K623" s="5" t="s">
        <v>2</v>
      </c>
      <c r="L623" s="6">
        <f>IF(I623="Cut","",IF(I623="Your call","(decide)",IF(I623="Rename",J623,IF(I623="Keep",IF(D623="",E623,D623),IF(E623="(unchanged)",D623,E623)))))</f>
      </c>
      <c r="M623" s="6">
        <f>IF(AND(I623="Cut",N623&gt;0,K623=""),"USED: say what replaces it (Note)",IF(AND(I623="Rename",J623=""),"type the new name",IF(AND(L623&lt;&gt;"",L623&lt;&gt;"(decide)",COUNTIF($L$2:$L$1680,L623)&gt;1),"SAME FINAL NAME AS ANOTHER ROW","")))</f>
      </c>
      <c r="N623" s="6">
        <v>0</v>
      </c>
      <c r="O623" s="6" t="s">
        <v>2</v>
      </c>
    </row>
    <row r="624" spans="1:15" x14ac:dyDescent="0.25">
      <c r="A624">
        <v>623</v>
      </c>
      <c r="B624" t="s">
        <v>353</v>
      </c>
      <c r="C624" t="s">
        <v>859</v>
      </c>
      <c r="D624" t="s">
        <v>868</v>
      </c>
      <c r="E624" t="s">
        <v>292</v>
      </c>
      <c r="F624" t="s">
        <v>2</v>
      </c>
      <c r="G624" t="s">
        <v>38</v>
      </c>
      <c r="H624" t="s">
        <v>39</v>
      </c>
      <c r="I624" s="5" t="s">
        <v>294</v>
      </c>
      <c r="J624" s="5" t="s">
        <v>2</v>
      </c>
      <c r="K624" s="5" t="s">
        <v>2</v>
      </c>
      <c r="L624" s="6">
        <f>IF(I624="Cut","",IF(I624="Your call","(decide)",IF(I624="Rename",J624,IF(I624="Keep",IF(D624="",E624,D624),IF(E624="(unchanged)",D624,E624)))))</f>
      </c>
      <c r="M624" s="6">
        <f>IF(AND(I624="Cut",N624&gt;0,K624=""),"USED: say what replaces it (Note)",IF(AND(I624="Rename",J624=""),"type the new name",IF(AND(L624&lt;&gt;"",L624&lt;&gt;"(decide)",COUNTIF($L$2:$L$1680,L624)&gt;1),"SAME FINAL NAME AS ANOTHER ROW","")))</f>
      </c>
      <c r="N624" s="6">
        <v>0</v>
      </c>
      <c r="O624" s="6" t="s">
        <v>2</v>
      </c>
    </row>
    <row r="625" spans="1:15" x14ac:dyDescent="0.25">
      <c r="A625">
        <v>624</v>
      </c>
      <c r="B625" t="s">
        <v>353</v>
      </c>
      <c r="C625" t="s">
        <v>869</v>
      </c>
      <c r="D625" t="s">
        <v>870</v>
      </c>
      <c r="E625" t="s">
        <v>292</v>
      </c>
      <c r="F625" t="s">
        <v>2</v>
      </c>
      <c r="G625" t="s">
        <v>38</v>
      </c>
      <c r="H625" t="s">
        <v>39</v>
      </c>
      <c r="I625" s="5" t="s">
        <v>294</v>
      </c>
      <c r="J625" s="5" t="s">
        <v>2</v>
      </c>
      <c r="K625" s="5" t="s">
        <v>2</v>
      </c>
      <c r="L625" s="6">
        <f>IF(I625="Cut","",IF(I625="Your call","(decide)",IF(I625="Rename",J625,IF(I625="Keep",IF(D625="",E625,D625),IF(E625="(unchanged)",D625,E625)))))</f>
      </c>
      <c r="M625" s="6">
        <f>IF(AND(I625="Cut",N625&gt;0,K625=""),"USED: say what replaces it (Note)",IF(AND(I625="Rename",J625=""),"type the new name",IF(AND(L625&lt;&gt;"",L625&lt;&gt;"(decide)",COUNTIF($L$2:$L$1680,L625)&gt;1),"SAME FINAL NAME AS ANOTHER ROW","")))</f>
      </c>
      <c r="N625" s="6">
        <v>0</v>
      </c>
      <c r="O625" s="6" t="s">
        <v>2</v>
      </c>
    </row>
    <row r="626" spans="1:15" x14ac:dyDescent="0.25">
      <c r="A626">
        <v>625</v>
      </c>
      <c r="B626" t="s">
        <v>353</v>
      </c>
      <c r="C626" t="s">
        <v>869</v>
      </c>
      <c r="D626" t="s">
        <v>871</v>
      </c>
      <c r="E626" t="s">
        <v>292</v>
      </c>
      <c r="F626" t="s">
        <v>2</v>
      </c>
      <c r="G626" t="s">
        <v>38</v>
      </c>
      <c r="H626" t="s">
        <v>39</v>
      </c>
      <c r="I626" s="5" t="s">
        <v>294</v>
      </c>
      <c r="J626" s="5" t="s">
        <v>2</v>
      </c>
      <c r="K626" s="5" t="s">
        <v>2</v>
      </c>
      <c r="L626" s="6">
        <f>IF(I626="Cut","",IF(I626="Your call","(decide)",IF(I626="Rename",J626,IF(I626="Keep",IF(D626="",E626,D626),IF(E626="(unchanged)",D626,E626)))))</f>
      </c>
      <c r="M626" s="6">
        <f>IF(AND(I626="Cut",N626&gt;0,K626=""),"USED: say what replaces it (Note)",IF(AND(I626="Rename",J626=""),"type the new name",IF(AND(L626&lt;&gt;"",L626&lt;&gt;"(decide)",COUNTIF($L$2:$L$1680,L626)&gt;1),"SAME FINAL NAME AS ANOTHER ROW","")))</f>
      </c>
      <c r="N626" s="6">
        <v>0</v>
      </c>
      <c r="O626" s="6" t="s">
        <v>2</v>
      </c>
    </row>
    <row r="627" spans="1:15" x14ac:dyDescent="0.25">
      <c r="A627">
        <v>626</v>
      </c>
      <c r="B627" t="s">
        <v>353</v>
      </c>
      <c r="C627" t="s">
        <v>869</v>
      </c>
      <c r="D627" t="s">
        <v>872</v>
      </c>
      <c r="E627" t="s">
        <v>292</v>
      </c>
      <c r="F627" t="s">
        <v>2</v>
      </c>
      <c r="G627" t="s">
        <v>38</v>
      </c>
      <c r="H627" t="s">
        <v>39</v>
      </c>
      <c r="I627" s="5" t="s">
        <v>294</v>
      </c>
      <c r="J627" s="5" t="s">
        <v>2</v>
      </c>
      <c r="K627" s="5" t="s">
        <v>2</v>
      </c>
      <c r="L627" s="6">
        <f>IF(I627="Cut","",IF(I627="Your call","(decide)",IF(I627="Rename",J627,IF(I627="Keep",IF(D627="",E627,D627),IF(E627="(unchanged)",D627,E627)))))</f>
      </c>
      <c r="M627" s="6">
        <f>IF(AND(I627="Cut",N627&gt;0,K627=""),"USED: say what replaces it (Note)",IF(AND(I627="Rename",J627=""),"type the new name",IF(AND(L627&lt;&gt;"",L627&lt;&gt;"(decide)",COUNTIF($L$2:$L$1680,L627)&gt;1),"SAME FINAL NAME AS ANOTHER ROW","")))</f>
      </c>
      <c r="N627" s="6">
        <v>0</v>
      </c>
      <c r="O627" s="6" t="s">
        <v>2</v>
      </c>
    </row>
    <row r="628" spans="1:15" x14ac:dyDescent="0.25">
      <c r="A628">
        <v>627</v>
      </c>
      <c r="B628" t="s">
        <v>353</v>
      </c>
      <c r="C628" t="s">
        <v>869</v>
      </c>
      <c r="D628" t="s">
        <v>873</v>
      </c>
      <c r="E628" t="s">
        <v>292</v>
      </c>
      <c r="F628" t="s">
        <v>2</v>
      </c>
      <c r="G628" t="s">
        <v>38</v>
      </c>
      <c r="H628" t="s">
        <v>39</v>
      </c>
      <c r="I628" s="5" t="s">
        <v>294</v>
      </c>
      <c r="J628" s="5" t="s">
        <v>2</v>
      </c>
      <c r="K628" s="5" t="s">
        <v>2</v>
      </c>
      <c r="L628" s="6">
        <f>IF(I628="Cut","",IF(I628="Your call","(decide)",IF(I628="Rename",J628,IF(I628="Keep",IF(D628="",E628,D628),IF(E628="(unchanged)",D628,E628)))))</f>
      </c>
      <c r="M628" s="6">
        <f>IF(AND(I628="Cut",N628&gt;0,K628=""),"USED: say what replaces it (Note)",IF(AND(I628="Rename",J628=""),"type the new name",IF(AND(L628&lt;&gt;"",L628&lt;&gt;"(decide)",COUNTIF($L$2:$L$1680,L628)&gt;1),"SAME FINAL NAME AS ANOTHER ROW","")))</f>
      </c>
      <c r="N628" s="6">
        <v>0</v>
      </c>
      <c r="O628" s="6" t="s">
        <v>2</v>
      </c>
    </row>
    <row r="629" spans="1:15" x14ac:dyDescent="0.25">
      <c r="A629">
        <v>628</v>
      </c>
      <c r="B629" t="s">
        <v>353</v>
      </c>
      <c r="C629" t="s">
        <v>869</v>
      </c>
      <c r="D629" t="s">
        <v>874</v>
      </c>
      <c r="E629" t="s">
        <v>292</v>
      </c>
      <c r="F629" t="s">
        <v>2</v>
      </c>
      <c r="G629" t="s">
        <v>38</v>
      </c>
      <c r="H629" t="s">
        <v>39</v>
      </c>
      <c r="I629" s="5" t="s">
        <v>294</v>
      </c>
      <c r="J629" s="5" t="s">
        <v>2</v>
      </c>
      <c r="K629" s="5" t="s">
        <v>2</v>
      </c>
      <c r="L629" s="6">
        <f>IF(I629="Cut","",IF(I629="Your call","(decide)",IF(I629="Rename",J629,IF(I629="Keep",IF(D629="",E629,D629),IF(E629="(unchanged)",D629,E629)))))</f>
      </c>
      <c r="M629" s="6">
        <f>IF(AND(I629="Cut",N629&gt;0,K629=""),"USED: say what replaces it (Note)",IF(AND(I629="Rename",J629=""),"type the new name",IF(AND(L629&lt;&gt;"",L629&lt;&gt;"(decide)",COUNTIF($L$2:$L$1680,L629)&gt;1),"SAME FINAL NAME AS ANOTHER ROW","")))</f>
      </c>
      <c r="N629" s="6">
        <v>0</v>
      </c>
      <c r="O629" s="6" t="s">
        <v>2</v>
      </c>
    </row>
    <row r="630" spans="1:15" x14ac:dyDescent="0.25">
      <c r="A630">
        <v>629</v>
      </c>
      <c r="B630" t="s">
        <v>353</v>
      </c>
      <c r="C630" t="s">
        <v>869</v>
      </c>
      <c r="D630" t="s">
        <v>875</v>
      </c>
      <c r="E630" t="s">
        <v>292</v>
      </c>
      <c r="F630" t="s">
        <v>2</v>
      </c>
      <c r="G630" t="s">
        <v>38</v>
      </c>
      <c r="H630" t="s">
        <v>39</v>
      </c>
      <c r="I630" s="5" t="s">
        <v>294</v>
      </c>
      <c r="J630" s="5" t="s">
        <v>2</v>
      </c>
      <c r="K630" s="5" t="s">
        <v>2</v>
      </c>
      <c r="L630" s="6">
        <f>IF(I630="Cut","",IF(I630="Your call","(decide)",IF(I630="Rename",J630,IF(I630="Keep",IF(D630="",E630,D630),IF(E630="(unchanged)",D630,E630)))))</f>
      </c>
      <c r="M630" s="6">
        <f>IF(AND(I630="Cut",N630&gt;0,K630=""),"USED: say what replaces it (Note)",IF(AND(I630="Rename",J630=""),"type the new name",IF(AND(L630&lt;&gt;"",L630&lt;&gt;"(decide)",COUNTIF($L$2:$L$1680,L630)&gt;1),"SAME FINAL NAME AS ANOTHER ROW","")))</f>
      </c>
      <c r="N630" s="6">
        <v>0</v>
      </c>
      <c r="O630" s="6" t="s">
        <v>2</v>
      </c>
    </row>
    <row r="631" spans="1:15" x14ac:dyDescent="0.25">
      <c r="A631">
        <v>630</v>
      </c>
      <c r="B631" t="s">
        <v>353</v>
      </c>
      <c r="C631" t="s">
        <v>869</v>
      </c>
      <c r="D631" t="s">
        <v>876</v>
      </c>
      <c r="E631" t="s">
        <v>292</v>
      </c>
      <c r="F631" t="s">
        <v>2</v>
      </c>
      <c r="G631" t="s">
        <v>38</v>
      </c>
      <c r="H631" t="s">
        <v>39</v>
      </c>
      <c r="I631" s="5" t="s">
        <v>294</v>
      </c>
      <c r="J631" s="5" t="s">
        <v>2</v>
      </c>
      <c r="K631" s="5" t="s">
        <v>2</v>
      </c>
      <c r="L631" s="6">
        <f>IF(I631="Cut","",IF(I631="Your call","(decide)",IF(I631="Rename",J631,IF(I631="Keep",IF(D631="",E631,D631),IF(E631="(unchanged)",D631,E631)))))</f>
      </c>
      <c r="M631" s="6">
        <f>IF(AND(I631="Cut",N631&gt;0,K631=""),"USED: say what replaces it (Note)",IF(AND(I631="Rename",J631=""),"type the new name",IF(AND(L631&lt;&gt;"",L631&lt;&gt;"(decide)",COUNTIF($L$2:$L$1680,L631)&gt;1),"SAME FINAL NAME AS ANOTHER ROW","")))</f>
      </c>
      <c r="N631" s="6">
        <v>0</v>
      </c>
      <c r="O631" s="6" t="s">
        <v>2</v>
      </c>
    </row>
    <row r="632" spans="1:15" x14ac:dyDescent="0.25">
      <c r="A632">
        <v>631</v>
      </c>
      <c r="B632" t="s">
        <v>353</v>
      </c>
      <c r="C632" t="s">
        <v>869</v>
      </c>
      <c r="D632" t="s">
        <v>877</v>
      </c>
      <c r="E632" t="s">
        <v>292</v>
      </c>
      <c r="F632" t="s">
        <v>2</v>
      </c>
      <c r="G632" t="s">
        <v>38</v>
      </c>
      <c r="H632" t="s">
        <v>39</v>
      </c>
      <c r="I632" s="5" t="s">
        <v>294</v>
      </c>
      <c r="J632" s="5" t="s">
        <v>2</v>
      </c>
      <c r="K632" s="5" t="s">
        <v>2</v>
      </c>
      <c r="L632" s="6">
        <f>IF(I632="Cut","",IF(I632="Your call","(decide)",IF(I632="Rename",J632,IF(I632="Keep",IF(D632="",E632,D632),IF(E632="(unchanged)",D632,E632)))))</f>
      </c>
      <c r="M632" s="6">
        <f>IF(AND(I632="Cut",N632&gt;0,K632=""),"USED: say what replaces it (Note)",IF(AND(I632="Rename",J632=""),"type the new name",IF(AND(L632&lt;&gt;"",L632&lt;&gt;"(decide)",COUNTIF($L$2:$L$1680,L632)&gt;1),"SAME FINAL NAME AS ANOTHER ROW","")))</f>
      </c>
      <c r="N632" s="6">
        <v>0</v>
      </c>
      <c r="O632" s="6" t="s">
        <v>2</v>
      </c>
    </row>
    <row r="633" spans="1:15" x14ac:dyDescent="0.25">
      <c r="A633">
        <v>632</v>
      </c>
      <c r="B633" t="s">
        <v>353</v>
      </c>
      <c r="C633" t="s">
        <v>869</v>
      </c>
      <c r="D633" t="s">
        <v>878</v>
      </c>
      <c r="E633" t="s">
        <v>292</v>
      </c>
      <c r="F633" t="s">
        <v>2</v>
      </c>
      <c r="G633" t="s">
        <v>38</v>
      </c>
      <c r="H633" t="s">
        <v>39</v>
      </c>
      <c r="I633" s="5" t="s">
        <v>294</v>
      </c>
      <c r="J633" s="5" t="s">
        <v>2</v>
      </c>
      <c r="K633" s="5" t="s">
        <v>2</v>
      </c>
      <c r="L633" s="6">
        <f>IF(I633="Cut","",IF(I633="Your call","(decide)",IF(I633="Rename",J633,IF(I633="Keep",IF(D633="",E633,D633),IF(E633="(unchanged)",D633,E633)))))</f>
      </c>
      <c r="M633" s="6">
        <f>IF(AND(I633="Cut",N633&gt;0,K633=""),"USED: say what replaces it (Note)",IF(AND(I633="Rename",J633=""),"type the new name",IF(AND(L633&lt;&gt;"",L633&lt;&gt;"(decide)",COUNTIF($L$2:$L$1680,L633)&gt;1),"SAME FINAL NAME AS ANOTHER ROW","")))</f>
      </c>
      <c r="N633" s="6">
        <v>0</v>
      </c>
      <c r="O633" s="6" t="s">
        <v>2</v>
      </c>
    </row>
    <row r="634" spans="1:15" x14ac:dyDescent="0.25">
      <c r="A634">
        <v>633</v>
      </c>
      <c r="B634" t="s">
        <v>353</v>
      </c>
      <c r="C634" t="s">
        <v>879</v>
      </c>
      <c r="D634" t="s">
        <v>880</v>
      </c>
      <c r="E634" t="s">
        <v>292</v>
      </c>
      <c r="F634" t="s">
        <v>2</v>
      </c>
      <c r="G634" t="s">
        <v>38</v>
      </c>
      <c r="H634" t="s">
        <v>39</v>
      </c>
      <c r="I634" s="5" t="s">
        <v>294</v>
      </c>
      <c r="J634" s="5" t="s">
        <v>2</v>
      </c>
      <c r="K634" s="5" t="s">
        <v>2</v>
      </c>
      <c r="L634" s="6">
        <f>IF(I634="Cut","",IF(I634="Your call","(decide)",IF(I634="Rename",J634,IF(I634="Keep",IF(D634="",E634,D634),IF(E634="(unchanged)",D634,E634)))))</f>
      </c>
      <c r="M634" s="6">
        <f>IF(AND(I634="Cut",N634&gt;0,K634=""),"USED: say what replaces it (Note)",IF(AND(I634="Rename",J634=""),"type the new name",IF(AND(L634&lt;&gt;"",L634&lt;&gt;"(decide)",COUNTIF($L$2:$L$1680,L634)&gt;1),"SAME FINAL NAME AS ANOTHER ROW","")))</f>
      </c>
      <c r="N634" s="6">
        <v>0</v>
      </c>
      <c r="O634" s="6" t="s">
        <v>2</v>
      </c>
    </row>
    <row r="635" spans="1:15" x14ac:dyDescent="0.25">
      <c r="A635">
        <v>634</v>
      </c>
      <c r="B635" t="s">
        <v>353</v>
      </c>
      <c r="C635" t="s">
        <v>879</v>
      </c>
      <c r="D635" t="s">
        <v>881</v>
      </c>
      <c r="E635" t="s">
        <v>292</v>
      </c>
      <c r="F635" t="s">
        <v>2</v>
      </c>
      <c r="G635" t="s">
        <v>38</v>
      </c>
      <c r="H635" t="s">
        <v>39</v>
      </c>
      <c r="I635" s="5" t="s">
        <v>294</v>
      </c>
      <c r="J635" s="5" t="s">
        <v>2</v>
      </c>
      <c r="K635" s="5" t="s">
        <v>2</v>
      </c>
      <c r="L635" s="6">
        <f>IF(I635="Cut","",IF(I635="Your call","(decide)",IF(I635="Rename",J635,IF(I635="Keep",IF(D635="",E635,D635),IF(E635="(unchanged)",D635,E635)))))</f>
      </c>
      <c r="M635" s="6">
        <f>IF(AND(I635="Cut",N635&gt;0,K635=""),"USED: say what replaces it (Note)",IF(AND(I635="Rename",J635=""),"type the new name",IF(AND(L635&lt;&gt;"",L635&lt;&gt;"(decide)",COUNTIF($L$2:$L$1680,L635)&gt;1),"SAME FINAL NAME AS ANOTHER ROW","")))</f>
      </c>
      <c r="N635" s="6">
        <v>0</v>
      </c>
      <c r="O635" s="6" t="s">
        <v>2</v>
      </c>
    </row>
    <row r="636" spans="1:15" x14ac:dyDescent="0.25">
      <c r="A636">
        <v>635</v>
      </c>
      <c r="B636" t="s">
        <v>353</v>
      </c>
      <c r="C636" t="s">
        <v>879</v>
      </c>
      <c r="D636" t="s">
        <v>882</v>
      </c>
      <c r="E636" t="s">
        <v>292</v>
      </c>
      <c r="F636" t="s">
        <v>2</v>
      </c>
      <c r="G636" t="s">
        <v>38</v>
      </c>
      <c r="H636" t="s">
        <v>39</v>
      </c>
      <c r="I636" s="5" t="s">
        <v>294</v>
      </c>
      <c r="J636" s="5" t="s">
        <v>2</v>
      </c>
      <c r="K636" s="5" t="s">
        <v>2</v>
      </c>
      <c r="L636" s="6">
        <f>IF(I636="Cut","",IF(I636="Your call","(decide)",IF(I636="Rename",J636,IF(I636="Keep",IF(D636="",E636,D636),IF(E636="(unchanged)",D636,E636)))))</f>
      </c>
      <c r="M636" s="6">
        <f>IF(AND(I636="Cut",N636&gt;0,K636=""),"USED: say what replaces it (Note)",IF(AND(I636="Rename",J636=""),"type the new name",IF(AND(L636&lt;&gt;"",L636&lt;&gt;"(decide)",COUNTIF($L$2:$L$1680,L636)&gt;1),"SAME FINAL NAME AS ANOTHER ROW","")))</f>
      </c>
      <c r="N636" s="6">
        <v>0</v>
      </c>
      <c r="O636" s="6" t="s">
        <v>2</v>
      </c>
    </row>
    <row r="637" spans="1:15" x14ac:dyDescent="0.25">
      <c r="A637">
        <v>636</v>
      </c>
      <c r="B637" t="s">
        <v>353</v>
      </c>
      <c r="C637" t="s">
        <v>879</v>
      </c>
      <c r="D637" t="s">
        <v>883</v>
      </c>
      <c r="E637" t="s">
        <v>292</v>
      </c>
      <c r="F637" t="s">
        <v>2</v>
      </c>
      <c r="G637" t="s">
        <v>38</v>
      </c>
      <c r="H637" t="s">
        <v>39</v>
      </c>
      <c r="I637" s="5" t="s">
        <v>294</v>
      </c>
      <c r="J637" s="5" t="s">
        <v>2</v>
      </c>
      <c r="K637" s="5" t="s">
        <v>2</v>
      </c>
      <c r="L637" s="6">
        <f>IF(I637="Cut","",IF(I637="Your call","(decide)",IF(I637="Rename",J637,IF(I637="Keep",IF(D637="",E637,D637),IF(E637="(unchanged)",D637,E637)))))</f>
      </c>
      <c r="M637" s="6">
        <f>IF(AND(I637="Cut",N637&gt;0,K637=""),"USED: say what replaces it (Note)",IF(AND(I637="Rename",J637=""),"type the new name",IF(AND(L637&lt;&gt;"",L637&lt;&gt;"(decide)",COUNTIF($L$2:$L$1680,L637)&gt;1),"SAME FINAL NAME AS ANOTHER ROW","")))</f>
      </c>
      <c r="N637" s="6">
        <v>0</v>
      </c>
      <c r="O637" s="6" t="s">
        <v>2</v>
      </c>
    </row>
    <row r="638" spans="1:15" x14ac:dyDescent="0.25">
      <c r="A638">
        <v>637</v>
      </c>
      <c r="B638" t="s">
        <v>353</v>
      </c>
      <c r="C638" t="s">
        <v>879</v>
      </c>
      <c r="D638" t="s">
        <v>884</v>
      </c>
      <c r="E638" t="s">
        <v>292</v>
      </c>
      <c r="F638" t="s">
        <v>2</v>
      </c>
      <c r="G638" t="s">
        <v>38</v>
      </c>
      <c r="H638" t="s">
        <v>39</v>
      </c>
      <c r="I638" s="5" t="s">
        <v>294</v>
      </c>
      <c r="J638" s="5" t="s">
        <v>2</v>
      </c>
      <c r="K638" s="5" t="s">
        <v>2</v>
      </c>
      <c r="L638" s="6">
        <f>IF(I638="Cut","",IF(I638="Your call","(decide)",IF(I638="Rename",J638,IF(I638="Keep",IF(D638="",E638,D638),IF(E638="(unchanged)",D638,E638)))))</f>
      </c>
      <c r="M638" s="6">
        <f>IF(AND(I638="Cut",N638&gt;0,K638=""),"USED: say what replaces it (Note)",IF(AND(I638="Rename",J638=""),"type the new name",IF(AND(L638&lt;&gt;"",L638&lt;&gt;"(decide)",COUNTIF($L$2:$L$1680,L638)&gt;1),"SAME FINAL NAME AS ANOTHER ROW","")))</f>
      </c>
      <c r="N638" s="6">
        <v>0</v>
      </c>
      <c r="O638" s="6" t="s">
        <v>2</v>
      </c>
    </row>
    <row r="639" spans="1:15" x14ac:dyDescent="0.25">
      <c r="A639">
        <v>638</v>
      </c>
      <c r="B639" t="s">
        <v>353</v>
      </c>
      <c r="C639" t="s">
        <v>879</v>
      </c>
      <c r="D639" t="s">
        <v>885</v>
      </c>
      <c r="E639" t="s">
        <v>292</v>
      </c>
      <c r="F639" t="s">
        <v>2</v>
      </c>
      <c r="G639" t="s">
        <v>38</v>
      </c>
      <c r="H639" t="s">
        <v>39</v>
      </c>
      <c r="I639" s="5" t="s">
        <v>294</v>
      </c>
      <c r="J639" s="5" t="s">
        <v>2</v>
      </c>
      <c r="K639" s="5" t="s">
        <v>2</v>
      </c>
      <c r="L639" s="6">
        <f>IF(I639="Cut","",IF(I639="Your call","(decide)",IF(I639="Rename",J639,IF(I639="Keep",IF(D639="",E639,D639),IF(E639="(unchanged)",D639,E639)))))</f>
      </c>
      <c r="M639" s="6">
        <f>IF(AND(I639="Cut",N639&gt;0,K639=""),"USED: say what replaces it (Note)",IF(AND(I639="Rename",J639=""),"type the new name",IF(AND(L639&lt;&gt;"",L639&lt;&gt;"(decide)",COUNTIF($L$2:$L$1680,L639)&gt;1),"SAME FINAL NAME AS ANOTHER ROW","")))</f>
      </c>
      <c r="N639" s="6">
        <v>0</v>
      </c>
      <c r="O639" s="6" t="s">
        <v>2</v>
      </c>
    </row>
    <row r="640" spans="1:15" x14ac:dyDescent="0.25">
      <c r="A640">
        <v>639</v>
      </c>
      <c r="B640" t="s">
        <v>353</v>
      </c>
      <c r="C640" t="s">
        <v>879</v>
      </c>
      <c r="D640" t="s">
        <v>886</v>
      </c>
      <c r="E640" t="s">
        <v>292</v>
      </c>
      <c r="F640" t="s">
        <v>2</v>
      </c>
      <c r="G640" t="s">
        <v>38</v>
      </c>
      <c r="H640" t="s">
        <v>39</v>
      </c>
      <c r="I640" s="5" t="s">
        <v>294</v>
      </c>
      <c r="J640" s="5" t="s">
        <v>2</v>
      </c>
      <c r="K640" s="5" t="s">
        <v>2</v>
      </c>
      <c r="L640" s="6">
        <f>IF(I640="Cut","",IF(I640="Your call","(decide)",IF(I640="Rename",J640,IF(I640="Keep",IF(D640="",E640,D640),IF(E640="(unchanged)",D640,E640)))))</f>
      </c>
      <c r="M640" s="6">
        <f>IF(AND(I640="Cut",N640&gt;0,K640=""),"USED: say what replaces it (Note)",IF(AND(I640="Rename",J640=""),"type the new name",IF(AND(L640&lt;&gt;"",L640&lt;&gt;"(decide)",COUNTIF($L$2:$L$1680,L640)&gt;1),"SAME FINAL NAME AS ANOTHER ROW","")))</f>
      </c>
      <c r="N640" s="6">
        <v>0</v>
      </c>
      <c r="O640" s="6" t="s">
        <v>2</v>
      </c>
    </row>
    <row r="641" spans="1:15" x14ac:dyDescent="0.25">
      <c r="A641">
        <v>640</v>
      </c>
      <c r="B641" t="s">
        <v>353</v>
      </c>
      <c r="C641" t="s">
        <v>879</v>
      </c>
      <c r="D641" t="s">
        <v>887</v>
      </c>
      <c r="E641" t="s">
        <v>292</v>
      </c>
      <c r="F641" t="s">
        <v>2</v>
      </c>
      <c r="G641" t="s">
        <v>38</v>
      </c>
      <c r="H641" t="s">
        <v>39</v>
      </c>
      <c r="I641" s="5" t="s">
        <v>294</v>
      </c>
      <c r="J641" s="5" t="s">
        <v>2</v>
      </c>
      <c r="K641" s="5" t="s">
        <v>2</v>
      </c>
      <c r="L641" s="6">
        <f>IF(I641="Cut","",IF(I641="Your call","(decide)",IF(I641="Rename",J641,IF(I641="Keep",IF(D641="",E641,D641),IF(E641="(unchanged)",D641,E641)))))</f>
      </c>
      <c r="M641" s="6">
        <f>IF(AND(I641="Cut",N641&gt;0,K641=""),"USED: say what replaces it (Note)",IF(AND(I641="Rename",J641=""),"type the new name",IF(AND(L641&lt;&gt;"",L641&lt;&gt;"(decide)",COUNTIF($L$2:$L$1680,L641)&gt;1),"SAME FINAL NAME AS ANOTHER ROW","")))</f>
      </c>
      <c r="N641" s="6">
        <v>0</v>
      </c>
      <c r="O641" s="6" t="s">
        <v>2</v>
      </c>
    </row>
    <row r="642" spans="1:15" x14ac:dyDescent="0.25">
      <c r="A642">
        <v>641</v>
      </c>
      <c r="B642" t="s">
        <v>353</v>
      </c>
      <c r="C642" t="s">
        <v>879</v>
      </c>
      <c r="D642" t="s">
        <v>888</v>
      </c>
      <c r="E642" t="s">
        <v>292</v>
      </c>
      <c r="F642" t="s">
        <v>2</v>
      </c>
      <c r="G642" t="s">
        <v>38</v>
      </c>
      <c r="H642" t="s">
        <v>39</v>
      </c>
      <c r="I642" s="5" t="s">
        <v>294</v>
      </c>
      <c r="J642" s="5" t="s">
        <v>2</v>
      </c>
      <c r="K642" s="5" t="s">
        <v>2</v>
      </c>
      <c r="L642" s="6">
        <f>IF(I642="Cut","",IF(I642="Your call","(decide)",IF(I642="Rename",J642,IF(I642="Keep",IF(D642="",E642,D642),IF(E642="(unchanged)",D642,E642)))))</f>
      </c>
      <c r="M642" s="6">
        <f>IF(AND(I642="Cut",N642&gt;0,K642=""),"USED: say what replaces it (Note)",IF(AND(I642="Rename",J642=""),"type the new name",IF(AND(L642&lt;&gt;"",L642&lt;&gt;"(decide)",COUNTIF($L$2:$L$1680,L642)&gt;1),"SAME FINAL NAME AS ANOTHER ROW","")))</f>
      </c>
      <c r="N642" s="6">
        <v>0</v>
      </c>
      <c r="O642" s="6" t="s">
        <v>2</v>
      </c>
    </row>
    <row r="643" spans="1:15" x14ac:dyDescent="0.25">
      <c r="A643">
        <v>642</v>
      </c>
      <c r="B643" t="s">
        <v>353</v>
      </c>
      <c r="C643" t="s">
        <v>889</v>
      </c>
      <c r="D643" t="s">
        <v>890</v>
      </c>
      <c r="E643" t="s">
        <v>292</v>
      </c>
      <c r="F643" t="s">
        <v>2</v>
      </c>
      <c r="G643" t="s">
        <v>38</v>
      </c>
      <c r="H643" t="s">
        <v>39</v>
      </c>
      <c r="I643" s="5" t="s">
        <v>294</v>
      </c>
      <c r="J643" s="5" t="s">
        <v>2</v>
      </c>
      <c r="K643" s="5" t="s">
        <v>2</v>
      </c>
      <c r="L643" s="6">
        <f>IF(I643="Cut","",IF(I643="Your call","(decide)",IF(I643="Rename",J643,IF(I643="Keep",IF(D643="",E643,D643),IF(E643="(unchanged)",D643,E643)))))</f>
      </c>
      <c r="M643" s="6">
        <f>IF(AND(I643="Cut",N643&gt;0,K643=""),"USED: say what replaces it (Note)",IF(AND(I643="Rename",J643=""),"type the new name",IF(AND(L643&lt;&gt;"",L643&lt;&gt;"(decide)",COUNTIF($L$2:$L$1680,L643)&gt;1),"SAME FINAL NAME AS ANOTHER ROW","")))</f>
      </c>
      <c r="N643" s="6">
        <v>0</v>
      </c>
      <c r="O643" s="6" t="s">
        <v>2</v>
      </c>
    </row>
    <row r="644" spans="1:15" x14ac:dyDescent="0.25">
      <c r="A644">
        <v>643</v>
      </c>
      <c r="B644" t="s">
        <v>353</v>
      </c>
      <c r="C644" t="s">
        <v>889</v>
      </c>
      <c r="D644" t="s">
        <v>891</v>
      </c>
      <c r="E644" t="s">
        <v>292</v>
      </c>
      <c r="F644" t="s">
        <v>2</v>
      </c>
      <c r="G644" t="s">
        <v>38</v>
      </c>
      <c r="H644" t="s">
        <v>39</v>
      </c>
      <c r="I644" s="5" t="s">
        <v>294</v>
      </c>
      <c r="J644" s="5" t="s">
        <v>2</v>
      </c>
      <c r="K644" s="5" t="s">
        <v>2</v>
      </c>
      <c r="L644" s="6">
        <f>IF(I644="Cut","",IF(I644="Your call","(decide)",IF(I644="Rename",J644,IF(I644="Keep",IF(D644="",E644,D644),IF(E644="(unchanged)",D644,E644)))))</f>
      </c>
      <c r="M644" s="6">
        <f>IF(AND(I644="Cut",N644&gt;0,K644=""),"USED: say what replaces it (Note)",IF(AND(I644="Rename",J644=""),"type the new name",IF(AND(L644&lt;&gt;"",L644&lt;&gt;"(decide)",COUNTIF($L$2:$L$1680,L644)&gt;1),"SAME FINAL NAME AS ANOTHER ROW","")))</f>
      </c>
      <c r="N644" s="6">
        <v>0</v>
      </c>
      <c r="O644" s="6" t="s">
        <v>2</v>
      </c>
    </row>
    <row r="645" spans="1:15" x14ac:dyDescent="0.25">
      <c r="A645">
        <v>644</v>
      </c>
      <c r="B645" t="s">
        <v>353</v>
      </c>
      <c r="C645" t="s">
        <v>889</v>
      </c>
      <c r="D645" t="s">
        <v>892</v>
      </c>
      <c r="E645" t="s">
        <v>292</v>
      </c>
      <c r="F645" t="s">
        <v>2</v>
      </c>
      <c r="G645" t="s">
        <v>38</v>
      </c>
      <c r="H645" t="s">
        <v>39</v>
      </c>
      <c r="I645" s="5" t="s">
        <v>294</v>
      </c>
      <c r="J645" s="5" t="s">
        <v>2</v>
      </c>
      <c r="K645" s="5" t="s">
        <v>2</v>
      </c>
      <c r="L645" s="6">
        <f>IF(I645="Cut","",IF(I645="Your call","(decide)",IF(I645="Rename",J645,IF(I645="Keep",IF(D645="",E645,D645),IF(E645="(unchanged)",D645,E645)))))</f>
      </c>
      <c r="M645" s="6">
        <f>IF(AND(I645="Cut",N645&gt;0,K645=""),"USED: say what replaces it (Note)",IF(AND(I645="Rename",J645=""),"type the new name",IF(AND(L645&lt;&gt;"",L645&lt;&gt;"(decide)",COUNTIF($L$2:$L$1680,L645)&gt;1),"SAME FINAL NAME AS ANOTHER ROW","")))</f>
      </c>
      <c r="N645" s="6">
        <v>0</v>
      </c>
      <c r="O645" s="6" t="s">
        <v>2</v>
      </c>
    </row>
    <row r="646" spans="1:15" x14ac:dyDescent="0.25">
      <c r="A646">
        <v>645</v>
      </c>
      <c r="B646" t="s">
        <v>353</v>
      </c>
      <c r="C646" t="s">
        <v>889</v>
      </c>
      <c r="D646" t="s">
        <v>893</v>
      </c>
      <c r="E646" t="s">
        <v>292</v>
      </c>
      <c r="F646" t="s">
        <v>2</v>
      </c>
      <c r="G646" t="s">
        <v>38</v>
      </c>
      <c r="H646" t="s">
        <v>39</v>
      </c>
      <c r="I646" s="5" t="s">
        <v>294</v>
      </c>
      <c r="J646" s="5" t="s">
        <v>2</v>
      </c>
      <c r="K646" s="5" t="s">
        <v>2</v>
      </c>
      <c r="L646" s="6">
        <f>IF(I646="Cut","",IF(I646="Your call","(decide)",IF(I646="Rename",J646,IF(I646="Keep",IF(D646="",E646,D646),IF(E646="(unchanged)",D646,E646)))))</f>
      </c>
      <c r="M646" s="6">
        <f>IF(AND(I646="Cut",N646&gt;0,K646=""),"USED: say what replaces it (Note)",IF(AND(I646="Rename",J646=""),"type the new name",IF(AND(L646&lt;&gt;"",L646&lt;&gt;"(decide)",COUNTIF($L$2:$L$1680,L646)&gt;1),"SAME FINAL NAME AS ANOTHER ROW","")))</f>
      </c>
      <c r="N646" s="6">
        <v>0</v>
      </c>
      <c r="O646" s="6" t="s">
        <v>2</v>
      </c>
    </row>
    <row r="647" spans="1:15" x14ac:dyDescent="0.25">
      <c r="A647">
        <v>646</v>
      </c>
      <c r="B647" t="s">
        <v>353</v>
      </c>
      <c r="C647" t="s">
        <v>889</v>
      </c>
      <c r="D647" t="s">
        <v>894</v>
      </c>
      <c r="E647" t="s">
        <v>292</v>
      </c>
      <c r="F647" t="s">
        <v>2</v>
      </c>
      <c r="G647" t="s">
        <v>38</v>
      </c>
      <c r="H647" t="s">
        <v>39</v>
      </c>
      <c r="I647" s="5" t="s">
        <v>294</v>
      </c>
      <c r="J647" s="5" t="s">
        <v>2</v>
      </c>
      <c r="K647" s="5" t="s">
        <v>2</v>
      </c>
      <c r="L647" s="6">
        <f>IF(I647="Cut","",IF(I647="Your call","(decide)",IF(I647="Rename",J647,IF(I647="Keep",IF(D647="",E647,D647),IF(E647="(unchanged)",D647,E647)))))</f>
      </c>
      <c r="M647" s="6">
        <f>IF(AND(I647="Cut",N647&gt;0,K647=""),"USED: say what replaces it (Note)",IF(AND(I647="Rename",J647=""),"type the new name",IF(AND(L647&lt;&gt;"",L647&lt;&gt;"(decide)",COUNTIF($L$2:$L$1680,L647)&gt;1),"SAME FINAL NAME AS ANOTHER ROW","")))</f>
      </c>
      <c r="N647" s="6">
        <v>0</v>
      </c>
      <c r="O647" s="6" t="s">
        <v>2</v>
      </c>
    </row>
    <row r="648" spans="1:15" x14ac:dyDescent="0.25">
      <c r="A648">
        <v>647</v>
      </c>
      <c r="B648" t="s">
        <v>353</v>
      </c>
      <c r="C648" t="s">
        <v>889</v>
      </c>
      <c r="D648" t="s">
        <v>895</v>
      </c>
      <c r="E648" t="s">
        <v>292</v>
      </c>
      <c r="F648" t="s">
        <v>2</v>
      </c>
      <c r="G648" t="s">
        <v>38</v>
      </c>
      <c r="H648" t="s">
        <v>39</v>
      </c>
      <c r="I648" s="5" t="s">
        <v>294</v>
      </c>
      <c r="J648" s="5" t="s">
        <v>2</v>
      </c>
      <c r="K648" s="5" t="s">
        <v>2</v>
      </c>
      <c r="L648" s="6">
        <f>IF(I648="Cut","",IF(I648="Your call","(decide)",IF(I648="Rename",J648,IF(I648="Keep",IF(D648="",E648,D648),IF(E648="(unchanged)",D648,E648)))))</f>
      </c>
      <c r="M648" s="6">
        <f>IF(AND(I648="Cut",N648&gt;0,K648=""),"USED: say what replaces it (Note)",IF(AND(I648="Rename",J648=""),"type the new name",IF(AND(L648&lt;&gt;"",L648&lt;&gt;"(decide)",COUNTIF($L$2:$L$1680,L648)&gt;1),"SAME FINAL NAME AS ANOTHER ROW","")))</f>
      </c>
      <c r="N648" s="6">
        <v>0</v>
      </c>
      <c r="O648" s="6" t="s">
        <v>2</v>
      </c>
    </row>
    <row r="649" spans="1:15" x14ac:dyDescent="0.25">
      <c r="A649">
        <v>648</v>
      </c>
      <c r="B649" t="s">
        <v>353</v>
      </c>
      <c r="C649" t="s">
        <v>889</v>
      </c>
      <c r="D649" t="s">
        <v>896</v>
      </c>
      <c r="E649" t="s">
        <v>292</v>
      </c>
      <c r="F649" t="s">
        <v>2</v>
      </c>
      <c r="G649" t="s">
        <v>38</v>
      </c>
      <c r="H649" t="s">
        <v>39</v>
      </c>
      <c r="I649" s="5" t="s">
        <v>294</v>
      </c>
      <c r="J649" s="5" t="s">
        <v>2</v>
      </c>
      <c r="K649" s="5" t="s">
        <v>2</v>
      </c>
      <c r="L649" s="6">
        <f>IF(I649="Cut","",IF(I649="Your call","(decide)",IF(I649="Rename",J649,IF(I649="Keep",IF(D649="",E649,D649),IF(E649="(unchanged)",D649,E649)))))</f>
      </c>
      <c r="M649" s="6">
        <f>IF(AND(I649="Cut",N649&gt;0,K649=""),"USED: say what replaces it (Note)",IF(AND(I649="Rename",J649=""),"type the new name",IF(AND(L649&lt;&gt;"",L649&lt;&gt;"(decide)",COUNTIF($L$2:$L$1680,L649)&gt;1),"SAME FINAL NAME AS ANOTHER ROW","")))</f>
      </c>
      <c r="N649" s="6">
        <v>0</v>
      </c>
      <c r="O649" s="6" t="s">
        <v>2</v>
      </c>
    </row>
    <row r="650" spans="1:15" x14ac:dyDescent="0.25">
      <c r="A650">
        <v>649</v>
      </c>
      <c r="B650" t="s">
        <v>353</v>
      </c>
      <c r="C650" t="s">
        <v>889</v>
      </c>
      <c r="D650" t="s">
        <v>897</v>
      </c>
      <c r="E650" t="s">
        <v>292</v>
      </c>
      <c r="F650" t="s">
        <v>2</v>
      </c>
      <c r="G650" t="s">
        <v>38</v>
      </c>
      <c r="H650" t="s">
        <v>39</v>
      </c>
      <c r="I650" s="5" t="s">
        <v>294</v>
      </c>
      <c r="J650" s="5" t="s">
        <v>2</v>
      </c>
      <c r="K650" s="5" t="s">
        <v>2</v>
      </c>
      <c r="L650" s="6">
        <f>IF(I650="Cut","",IF(I650="Your call","(decide)",IF(I650="Rename",J650,IF(I650="Keep",IF(D650="",E650,D650),IF(E650="(unchanged)",D650,E650)))))</f>
      </c>
      <c r="M650" s="6">
        <f>IF(AND(I650="Cut",N650&gt;0,K650=""),"USED: say what replaces it (Note)",IF(AND(I650="Rename",J650=""),"type the new name",IF(AND(L650&lt;&gt;"",L650&lt;&gt;"(decide)",COUNTIF($L$2:$L$1680,L650)&gt;1),"SAME FINAL NAME AS ANOTHER ROW","")))</f>
      </c>
      <c r="N650" s="6">
        <v>0</v>
      </c>
      <c r="O650" s="6" t="s">
        <v>2</v>
      </c>
    </row>
    <row r="651" spans="1:15" x14ac:dyDescent="0.25">
      <c r="A651">
        <v>650</v>
      </c>
      <c r="B651" t="s">
        <v>353</v>
      </c>
      <c r="C651" t="s">
        <v>889</v>
      </c>
      <c r="D651" t="s">
        <v>898</v>
      </c>
      <c r="E651" t="s">
        <v>292</v>
      </c>
      <c r="F651" t="s">
        <v>2</v>
      </c>
      <c r="G651" t="s">
        <v>38</v>
      </c>
      <c r="H651" t="s">
        <v>39</v>
      </c>
      <c r="I651" s="5" t="s">
        <v>294</v>
      </c>
      <c r="J651" s="5" t="s">
        <v>2</v>
      </c>
      <c r="K651" s="5" t="s">
        <v>2</v>
      </c>
      <c r="L651" s="6">
        <f>IF(I651="Cut","",IF(I651="Your call","(decide)",IF(I651="Rename",J651,IF(I651="Keep",IF(D651="",E651,D651),IF(E651="(unchanged)",D651,E651)))))</f>
      </c>
      <c r="M651" s="6">
        <f>IF(AND(I651="Cut",N651&gt;0,K651=""),"USED: say what replaces it (Note)",IF(AND(I651="Rename",J651=""),"type the new name",IF(AND(L651&lt;&gt;"",L651&lt;&gt;"(decide)",COUNTIF($L$2:$L$1680,L651)&gt;1),"SAME FINAL NAME AS ANOTHER ROW","")))</f>
      </c>
      <c r="N651" s="6">
        <v>0</v>
      </c>
      <c r="O651" s="6" t="s">
        <v>2</v>
      </c>
    </row>
    <row r="652" spans="1:15" x14ac:dyDescent="0.25">
      <c r="A652">
        <v>651</v>
      </c>
      <c r="B652" t="s">
        <v>353</v>
      </c>
      <c r="C652" t="s">
        <v>899</v>
      </c>
      <c r="D652" t="s">
        <v>900</v>
      </c>
      <c r="E652" t="s">
        <v>292</v>
      </c>
      <c r="F652" t="s">
        <v>2</v>
      </c>
      <c r="G652" t="s">
        <v>38</v>
      </c>
      <c r="H652" t="s">
        <v>39</v>
      </c>
      <c r="I652" s="5" t="s">
        <v>294</v>
      </c>
      <c r="J652" s="5" t="s">
        <v>2</v>
      </c>
      <c r="K652" s="5" t="s">
        <v>2</v>
      </c>
      <c r="L652" s="6">
        <f>IF(I652="Cut","",IF(I652="Your call","(decide)",IF(I652="Rename",J652,IF(I652="Keep",IF(D652="",E652,D652),IF(E652="(unchanged)",D652,E652)))))</f>
      </c>
      <c r="M652" s="6">
        <f>IF(AND(I652="Cut",N652&gt;0,K652=""),"USED: say what replaces it (Note)",IF(AND(I652="Rename",J652=""),"type the new name",IF(AND(L652&lt;&gt;"",L652&lt;&gt;"(decide)",COUNTIF($L$2:$L$1680,L652)&gt;1),"SAME FINAL NAME AS ANOTHER ROW","")))</f>
      </c>
      <c r="N652" s="6">
        <v>0</v>
      </c>
      <c r="O652" s="6" t="s">
        <v>2</v>
      </c>
    </row>
    <row r="653" spans="1:15" x14ac:dyDescent="0.25">
      <c r="A653">
        <v>652</v>
      </c>
      <c r="B653" t="s">
        <v>353</v>
      </c>
      <c r="C653" t="s">
        <v>899</v>
      </c>
      <c r="D653" t="s">
        <v>901</v>
      </c>
      <c r="E653" t="s">
        <v>292</v>
      </c>
      <c r="F653" t="s">
        <v>2</v>
      </c>
      <c r="G653" t="s">
        <v>38</v>
      </c>
      <c r="H653" t="s">
        <v>39</v>
      </c>
      <c r="I653" s="5" t="s">
        <v>294</v>
      </c>
      <c r="J653" s="5" t="s">
        <v>2</v>
      </c>
      <c r="K653" s="5" t="s">
        <v>2</v>
      </c>
      <c r="L653" s="6">
        <f>IF(I653="Cut","",IF(I653="Your call","(decide)",IF(I653="Rename",J653,IF(I653="Keep",IF(D653="",E653,D653),IF(E653="(unchanged)",D653,E653)))))</f>
      </c>
      <c r="M653" s="6">
        <f>IF(AND(I653="Cut",N653&gt;0,K653=""),"USED: say what replaces it (Note)",IF(AND(I653="Rename",J653=""),"type the new name",IF(AND(L653&lt;&gt;"",L653&lt;&gt;"(decide)",COUNTIF($L$2:$L$1680,L653)&gt;1),"SAME FINAL NAME AS ANOTHER ROW","")))</f>
      </c>
      <c r="N653" s="6">
        <v>0</v>
      </c>
      <c r="O653" s="6" t="s">
        <v>2</v>
      </c>
    </row>
    <row r="654" spans="1:15" x14ac:dyDescent="0.25">
      <c r="A654">
        <v>653</v>
      </c>
      <c r="B654" t="s">
        <v>353</v>
      </c>
      <c r="C654" t="s">
        <v>899</v>
      </c>
      <c r="D654" t="s">
        <v>902</v>
      </c>
      <c r="E654" t="s">
        <v>292</v>
      </c>
      <c r="F654" t="s">
        <v>2</v>
      </c>
      <c r="G654" t="s">
        <v>38</v>
      </c>
      <c r="H654" t="s">
        <v>39</v>
      </c>
      <c r="I654" s="5" t="s">
        <v>294</v>
      </c>
      <c r="J654" s="5" t="s">
        <v>2</v>
      </c>
      <c r="K654" s="5" t="s">
        <v>2</v>
      </c>
      <c r="L654" s="6">
        <f>IF(I654="Cut","",IF(I654="Your call","(decide)",IF(I654="Rename",J654,IF(I654="Keep",IF(D654="",E654,D654),IF(E654="(unchanged)",D654,E654)))))</f>
      </c>
      <c r="M654" s="6">
        <f>IF(AND(I654="Cut",N654&gt;0,K654=""),"USED: say what replaces it (Note)",IF(AND(I654="Rename",J654=""),"type the new name",IF(AND(L654&lt;&gt;"",L654&lt;&gt;"(decide)",COUNTIF($L$2:$L$1680,L654)&gt;1),"SAME FINAL NAME AS ANOTHER ROW","")))</f>
      </c>
      <c r="N654" s="6">
        <v>0</v>
      </c>
      <c r="O654" s="6" t="s">
        <v>2</v>
      </c>
    </row>
    <row r="655" spans="1:15" x14ac:dyDescent="0.25">
      <c r="A655">
        <v>654</v>
      </c>
      <c r="B655" t="s">
        <v>353</v>
      </c>
      <c r="C655" t="s">
        <v>899</v>
      </c>
      <c r="D655" t="s">
        <v>903</v>
      </c>
      <c r="E655" t="s">
        <v>292</v>
      </c>
      <c r="F655" t="s">
        <v>2</v>
      </c>
      <c r="G655" t="s">
        <v>38</v>
      </c>
      <c r="H655" t="s">
        <v>39</v>
      </c>
      <c r="I655" s="5" t="s">
        <v>294</v>
      </c>
      <c r="J655" s="5" t="s">
        <v>2</v>
      </c>
      <c r="K655" s="5" t="s">
        <v>2</v>
      </c>
      <c r="L655" s="6">
        <f>IF(I655="Cut","",IF(I655="Your call","(decide)",IF(I655="Rename",J655,IF(I655="Keep",IF(D655="",E655,D655),IF(E655="(unchanged)",D655,E655)))))</f>
      </c>
      <c r="M655" s="6">
        <f>IF(AND(I655="Cut",N655&gt;0,K655=""),"USED: say what replaces it (Note)",IF(AND(I655="Rename",J655=""),"type the new name",IF(AND(L655&lt;&gt;"",L655&lt;&gt;"(decide)",COUNTIF($L$2:$L$1680,L655)&gt;1),"SAME FINAL NAME AS ANOTHER ROW","")))</f>
      </c>
      <c r="N655" s="6">
        <v>0</v>
      </c>
      <c r="O655" s="6" t="s">
        <v>2</v>
      </c>
    </row>
    <row r="656" spans="1:15" x14ac:dyDescent="0.25">
      <c r="A656">
        <v>655</v>
      </c>
      <c r="B656" t="s">
        <v>353</v>
      </c>
      <c r="C656" t="s">
        <v>899</v>
      </c>
      <c r="D656" t="s">
        <v>904</v>
      </c>
      <c r="E656" t="s">
        <v>292</v>
      </c>
      <c r="F656" t="s">
        <v>2</v>
      </c>
      <c r="G656" t="s">
        <v>38</v>
      </c>
      <c r="H656" t="s">
        <v>39</v>
      </c>
      <c r="I656" s="5" t="s">
        <v>294</v>
      </c>
      <c r="J656" s="5" t="s">
        <v>2</v>
      </c>
      <c r="K656" s="5" t="s">
        <v>2</v>
      </c>
      <c r="L656" s="6">
        <f>IF(I656="Cut","",IF(I656="Your call","(decide)",IF(I656="Rename",J656,IF(I656="Keep",IF(D656="",E656,D656),IF(E656="(unchanged)",D656,E656)))))</f>
      </c>
      <c r="M656" s="6">
        <f>IF(AND(I656="Cut",N656&gt;0,K656=""),"USED: say what replaces it (Note)",IF(AND(I656="Rename",J656=""),"type the new name",IF(AND(L656&lt;&gt;"",L656&lt;&gt;"(decide)",COUNTIF($L$2:$L$1680,L656)&gt;1),"SAME FINAL NAME AS ANOTHER ROW","")))</f>
      </c>
      <c r="N656" s="6">
        <v>0</v>
      </c>
      <c r="O656" s="6" t="s">
        <v>2</v>
      </c>
    </row>
    <row r="657" spans="1:15" x14ac:dyDescent="0.25">
      <c r="A657">
        <v>656</v>
      </c>
      <c r="B657" t="s">
        <v>353</v>
      </c>
      <c r="C657" t="s">
        <v>899</v>
      </c>
      <c r="D657" t="s">
        <v>905</v>
      </c>
      <c r="E657" t="s">
        <v>292</v>
      </c>
      <c r="F657" t="s">
        <v>2</v>
      </c>
      <c r="G657" t="s">
        <v>38</v>
      </c>
      <c r="H657" t="s">
        <v>39</v>
      </c>
      <c r="I657" s="5" t="s">
        <v>294</v>
      </c>
      <c r="J657" s="5" t="s">
        <v>2</v>
      </c>
      <c r="K657" s="5" t="s">
        <v>2</v>
      </c>
      <c r="L657" s="6">
        <f>IF(I657="Cut","",IF(I657="Your call","(decide)",IF(I657="Rename",J657,IF(I657="Keep",IF(D657="",E657,D657),IF(E657="(unchanged)",D657,E657)))))</f>
      </c>
      <c r="M657" s="6">
        <f>IF(AND(I657="Cut",N657&gt;0,K657=""),"USED: say what replaces it (Note)",IF(AND(I657="Rename",J657=""),"type the new name",IF(AND(L657&lt;&gt;"",L657&lt;&gt;"(decide)",COUNTIF($L$2:$L$1680,L657)&gt;1),"SAME FINAL NAME AS ANOTHER ROW","")))</f>
      </c>
      <c r="N657" s="6">
        <v>0</v>
      </c>
      <c r="O657" s="6" t="s">
        <v>2</v>
      </c>
    </row>
    <row r="658" spans="1:15" x14ac:dyDescent="0.25">
      <c r="A658">
        <v>657</v>
      </c>
      <c r="B658" t="s">
        <v>353</v>
      </c>
      <c r="C658" t="s">
        <v>899</v>
      </c>
      <c r="D658" t="s">
        <v>906</v>
      </c>
      <c r="E658" t="s">
        <v>292</v>
      </c>
      <c r="F658" t="s">
        <v>2</v>
      </c>
      <c r="G658" t="s">
        <v>38</v>
      </c>
      <c r="H658" t="s">
        <v>39</v>
      </c>
      <c r="I658" s="5" t="s">
        <v>294</v>
      </c>
      <c r="J658" s="5" t="s">
        <v>2</v>
      </c>
      <c r="K658" s="5" t="s">
        <v>2</v>
      </c>
      <c r="L658" s="6">
        <f>IF(I658="Cut","",IF(I658="Your call","(decide)",IF(I658="Rename",J658,IF(I658="Keep",IF(D658="",E658,D658),IF(E658="(unchanged)",D658,E658)))))</f>
      </c>
      <c r="M658" s="6">
        <f>IF(AND(I658="Cut",N658&gt;0,K658=""),"USED: say what replaces it (Note)",IF(AND(I658="Rename",J658=""),"type the new name",IF(AND(L658&lt;&gt;"",L658&lt;&gt;"(decide)",COUNTIF($L$2:$L$1680,L658)&gt;1),"SAME FINAL NAME AS ANOTHER ROW","")))</f>
      </c>
      <c r="N658" s="6">
        <v>0</v>
      </c>
      <c r="O658" s="6" t="s">
        <v>2</v>
      </c>
    </row>
    <row r="659" spans="1:15" x14ac:dyDescent="0.25">
      <c r="A659">
        <v>658</v>
      </c>
      <c r="B659" t="s">
        <v>353</v>
      </c>
      <c r="C659" t="s">
        <v>899</v>
      </c>
      <c r="D659" t="s">
        <v>907</v>
      </c>
      <c r="E659" t="s">
        <v>292</v>
      </c>
      <c r="F659" t="s">
        <v>2</v>
      </c>
      <c r="G659" t="s">
        <v>38</v>
      </c>
      <c r="H659" t="s">
        <v>39</v>
      </c>
      <c r="I659" s="5" t="s">
        <v>294</v>
      </c>
      <c r="J659" s="5" t="s">
        <v>2</v>
      </c>
      <c r="K659" s="5" t="s">
        <v>2</v>
      </c>
      <c r="L659" s="6">
        <f>IF(I659="Cut","",IF(I659="Your call","(decide)",IF(I659="Rename",J659,IF(I659="Keep",IF(D659="",E659,D659),IF(E659="(unchanged)",D659,E659)))))</f>
      </c>
      <c r="M659" s="6">
        <f>IF(AND(I659="Cut",N659&gt;0,K659=""),"USED: say what replaces it (Note)",IF(AND(I659="Rename",J659=""),"type the new name",IF(AND(L659&lt;&gt;"",L659&lt;&gt;"(decide)",COUNTIF($L$2:$L$1680,L659)&gt;1),"SAME FINAL NAME AS ANOTHER ROW","")))</f>
      </c>
      <c r="N659" s="6">
        <v>0</v>
      </c>
      <c r="O659" s="6" t="s">
        <v>2</v>
      </c>
    </row>
    <row r="660" spans="1:15" x14ac:dyDescent="0.25">
      <c r="A660">
        <v>659</v>
      </c>
      <c r="B660" t="s">
        <v>353</v>
      </c>
      <c r="C660" t="s">
        <v>899</v>
      </c>
      <c r="D660" t="s">
        <v>908</v>
      </c>
      <c r="E660" t="s">
        <v>292</v>
      </c>
      <c r="F660" t="s">
        <v>2</v>
      </c>
      <c r="G660" t="s">
        <v>38</v>
      </c>
      <c r="H660" t="s">
        <v>39</v>
      </c>
      <c r="I660" s="5" t="s">
        <v>294</v>
      </c>
      <c r="J660" s="5" t="s">
        <v>2</v>
      </c>
      <c r="K660" s="5" t="s">
        <v>2</v>
      </c>
      <c r="L660" s="6">
        <f>IF(I660="Cut","",IF(I660="Your call","(decide)",IF(I660="Rename",J660,IF(I660="Keep",IF(D660="",E660,D660),IF(E660="(unchanged)",D660,E660)))))</f>
      </c>
      <c r="M660" s="6">
        <f>IF(AND(I660="Cut",N660&gt;0,K660=""),"USED: say what replaces it (Note)",IF(AND(I660="Rename",J660=""),"type the new name",IF(AND(L660&lt;&gt;"",L660&lt;&gt;"(decide)",COUNTIF($L$2:$L$1680,L660)&gt;1),"SAME FINAL NAME AS ANOTHER ROW","")))</f>
      </c>
      <c r="N660" s="6">
        <v>0</v>
      </c>
      <c r="O660" s="6" t="s">
        <v>2</v>
      </c>
    </row>
    <row r="661" spans="1:15" x14ac:dyDescent="0.25">
      <c r="A661">
        <v>660</v>
      </c>
      <c r="B661" t="s">
        <v>353</v>
      </c>
      <c r="C661" t="s">
        <v>909</v>
      </c>
      <c r="D661" t="s">
        <v>910</v>
      </c>
      <c r="E661" t="s">
        <v>292</v>
      </c>
      <c r="F661" t="s">
        <v>2</v>
      </c>
      <c r="G661" t="s">
        <v>38</v>
      </c>
      <c r="H661" t="s">
        <v>39</v>
      </c>
      <c r="I661" s="5" t="s">
        <v>294</v>
      </c>
      <c r="J661" s="5" t="s">
        <v>2</v>
      </c>
      <c r="K661" s="5" t="s">
        <v>2</v>
      </c>
      <c r="L661" s="6">
        <f>IF(I661="Cut","",IF(I661="Your call","(decide)",IF(I661="Rename",J661,IF(I661="Keep",IF(D661="",E661,D661),IF(E661="(unchanged)",D661,E661)))))</f>
      </c>
      <c r="M661" s="6">
        <f>IF(AND(I661="Cut",N661&gt;0,K661=""),"USED: say what replaces it (Note)",IF(AND(I661="Rename",J661=""),"type the new name",IF(AND(L661&lt;&gt;"",L661&lt;&gt;"(decide)",COUNTIF($L$2:$L$1680,L661)&gt;1),"SAME FINAL NAME AS ANOTHER ROW","")))</f>
      </c>
      <c r="N661" s="6">
        <v>0</v>
      </c>
      <c r="O661" s="6" t="s">
        <v>2</v>
      </c>
    </row>
    <row r="662" spans="1:15" x14ac:dyDescent="0.25">
      <c r="A662">
        <v>661</v>
      </c>
      <c r="B662" t="s">
        <v>353</v>
      </c>
      <c r="C662" t="s">
        <v>909</v>
      </c>
      <c r="D662" t="s">
        <v>911</v>
      </c>
      <c r="E662" t="s">
        <v>292</v>
      </c>
      <c r="F662" t="s">
        <v>2</v>
      </c>
      <c r="G662" t="s">
        <v>38</v>
      </c>
      <c r="H662" t="s">
        <v>39</v>
      </c>
      <c r="I662" s="5" t="s">
        <v>294</v>
      </c>
      <c r="J662" s="5" t="s">
        <v>2</v>
      </c>
      <c r="K662" s="5" t="s">
        <v>2</v>
      </c>
      <c r="L662" s="6">
        <f>IF(I662="Cut","",IF(I662="Your call","(decide)",IF(I662="Rename",J662,IF(I662="Keep",IF(D662="",E662,D662),IF(E662="(unchanged)",D662,E662)))))</f>
      </c>
      <c r="M662" s="6">
        <f>IF(AND(I662="Cut",N662&gt;0,K662=""),"USED: say what replaces it (Note)",IF(AND(I662="Rename",J662=""),"type the new name",IF(AND(L662&lt;&gt;"",L662&lt;&gt;"(decide)",COUNTIF($L$2:$L$1680,L662)&gt;1),"SAME FINAL NAME AS ANOTHER ROW","")))</f>
      </c>
      <c r="N662" s="6">
        <v>0</v>
      </c>
      <c r="O662" s="6" t="s">
        <v>2</v>
      </c>
    </row>
    <row r="663" spans="1:15" x14ac:dyDescent="0.25">
      <c r="A663">
        <v>662</v>
      </c>
      <c r="B663" t="s">
        <v>353</v>
      </c>
      <c r="C663" t="s">
        <v>909</v>
      </c>
      <c r="D663" t="s">
        <v>912</v>
      </c>
      <c r="E663" t="s">
        <v>292</v>
      </c>
      <c r="F663" t="s">
        <v>2</v>
      </c>
      <c r="G663" t="s">
        <v>38</v>
      </c>
      <c r="H663" t="s">
        <v>39</v>
      </c>
      <c r="I663" s="5" t="s">
        <v>294</v>
      </c>
      <c r="J663" s="5" t="s">
        <v>2</v>
      </c>
      <c r="K663" s="5" t="s">
        <v>2</v>
      </c>
      <c r="L663" s="6">
        <f>IF(I663="Cut","",IF(I663="Your call","(decide)",IF(I663="Rename",J663,IF(I663="Keep",IF(D663="",E663,D663),IF(E663="(unchanged)",D663,E663)))))</f>
      </c>
      <c r="M663" s="6">
        <f>IF(AND(I663="Cut",N663&gt;0,K663=""),"USED: say what replaces it (Note)",IF(AND(I663="Rename",J663=""),"type the new name",IF(AND(L663&lt;&gt;"",L663&lt;&gt;"(decide)",COUNTIF($L$2:$L$1680,L663)&gt;1),"SAME FINAL NAME AS ANOTHER ROW","")))</f>
      </c>
      <c r="N663" s="6">
        <v>0</v>
      </c>
      <c r="O663" s="6" t="s">
        <v>2</v>
      </c>
    </row>
    <row r="664" spans="1:15" x14ac:dyDescent="0.25">
      <c r="A664">
        <v>663</v>
      </c>
      <c r="B664" t="s">
        <v>353</v>
      </c>
      <c r="C664" t="s">
        <v>909</v>
      </c>
      <c r="D664" t="s">
        <v>913</v>
      </c>
      <c r="E664" t="s">
        <v>292</v>
      </c>
      <c r="F664" t="s">
        <v>2</v>
      </c>
      <c r="G664" t="s">
        <v>38</v>
      </c>
      <c r="H664" t="s">
        <v>39</v>
      </c>
      <c r="I664" s="5" t="s">
        <v>294</v>
      </c>
      <c r="J664" s="5" t="s">
        <v>2</v>
      </c>
      <c r="K664" s="5" t="s">
        <v>2</v>
      </c>
      <c r="L664" s="6">
        <f>IF(I664="Cut","",IF(I664="Your call","(decide)",IF(I664="Rename",J664,IF(I664="Keep",IF(D664="",E664,D664),IF(E664="(unchanged)",D664,E664)))))</f>
      </c>
      <c r="M664" s="6">
        <f>IF(AND(I664="Cut",N664&gt;0,K664=""),"USED: say what replaces it (Note)",IF(AND(I664="Rename",J664=""),"type the new name",IF(AND(L664&lt;&gt;"",L664&lt;&gt;"(decide)",COUNTIF($L$2:$L$1680,L664)&gt;1),"SAME FINAL NAME AS ANOTHER ROW","")))</f>
      </c>
      <c r="N664" s="6">
        <v>0</v>
      </c>
      <c r="O664" s="6" t="s">
        <v>2</v>
      </c>
    </row>
    <row r="665" spans="1:15" x14ac:dyDescent="0.25">
      <c r="A665">
        <v>664</v>
      </c>
      <c r="B665" t="s">
        <v>353</v>
      </c>
      <c r="C665" t="s">
        <v>909</v>
      </c>
      <c r="D665" t="s">
        <v>914</v>
      </c>
      <c r="E665" t="s">
        <v>292</v>
      </c>
      <c r="F665" t="s">
        <v>2</v>
      </c>
      <c r="G665" t="s">
        <v>38</v>
      </c>
      <c r="H665" t="s">
        <v>39</v>
      </c>
      <c r="I665" s="5" t="s">
        <v>294</v>
      </c>
      <c r="J665" s="5" t="s">
        <v>2</v>
      </c>
      <c r="K665" s="5" t="s">
        <v>2</v>
      </c>
      <c r="L665" s="6">
        <f>IF(I665="Cut","",IF(I665="Your call","(decide)",IF(I665="Rename",J665,IF(I665="Keep",IF(D665="",E665,D665),IF(E665="(unchanged)",D665,E665)))))</f>
      </c>
      <c r="M665" s="6">
        <f>IF(AND(I665="Cut",N665&gt;0,K665=""),"USED: say what replaces it (Note)",IF(AND(I665="Rename",J665=""),"type the new name",IF(AND(L665&lt;&gt;"",L665&lt;&gt;"(decide)",COUNTIF($L$2:$L$1680,L665)&gt;1),"SAME FINAL NAME AS ANOTHER ROW","")))</f>
      </c>
      <c r="N665" s="6">
        <v>0</v>
      </c>
      <c r="O665" s="6" t="s">
        <v>2</v>
      </c>
    </row>
    <row r="666" spans="1:15" x14ac:dyDescent="0.25">
      <c r="A666">
        <v>665</v>
      </c>
      <c r="B666" t="s">
        <v>353</v>
      </c>
      <c r="C666" t="s">
        <v>909</v>
      </c>
      <c r="D666" t="s">
        <v>915</v>
      </c>
      <c r="E666" t="s">
        <v>292</v>
      </c>
      <c r="F666" t="s">
        <v>2</v>
      </c>
      <c r="G666" t="s">
        <v>38</v>
      </c>
      <c r="H666" t="s">
        <v>39</v>
      </c>
      <c r="I666" s="5" t="s">
        <v>294</v>
      </c>
      <c r="J666" s="5" t="s">
        <v>2</v>
      </c>
      <c r="K666" s="5" t="s">
        <v>2</v>
      </c>
      <c r="L666" s="6">
        <f>IF(I666="Cut","",IF(I666="Your call","(decide)",IF(I666="Rename",J666,IF(I666="Keep",IF(D666="",E666,D666),IF(E666="(unchanged)",D666,E666)))))</f>
      </c>
      <c r="M666" s="6">
        <f>IF(AND(I666="Cut",N666&gt;0,K666=""),"USED: say what replaces it (Note)",IF(AND(I666="Rename",J666=""),"type the new name",IF(AND(L666&lt;&gt;"",L666&lt;&gt;"(decide)",COUNTIF($L$2:$L$1680,L666)&gt;1),"SAME FINAL NAME AS ANOTHER ROW","")))</f>
      </c>
      <c r="N666" s="6">
        <v>0</v>
      </c>
      <c r="O666" s="6" t="s">
        <v>2</v>
      </c>
    </row>
    <row r="667" spans="1:15" x14ac:dyDescent="0.25">
      <c r="A667">
        <v>666</v>
      </c>
      <c r="B667" t="s">
        <v>353</v>
      </c>
      <c r="C667" t="s">
        <v>909</v>
      </c>
      <c r="D667" t="s">
        <v>916</v>
      </c>
      <c r="E667" t="s">
        <v>292</v>
      </c>
      <c r="F667" t="s">
        <v>2</v>
      </c>
      <c r="G667" t="s">
        <v>38</v>
      </c>
      <c r="H667" t="s">
        <v>39</v>
      </c>
      <c r="I667" s="5" t="s">
        <v>294</v>
      </c>
      <c r="J667" s="5" t="s">
        <v>2</v>
      </c>
      <c r="K667" s="5" t="s">
        <v>2</v>
      </c>
      <c r="L667" s="6">
        <f>IF(I667="Cut","",IF(I667="Your call","(decide)",IF(I667="Rename",J667,IF(I667="Keep",IF(D667="",E667,D667),IF(E667="(unchanged)",D667,E667)))))</f>
      </c>
      <c r="M667" s="6">
        <f>IF(AND(I667="Cut",N667&gt;0,K667=""),"USED: say what replaces it (Note)",IF(AND(I667="Rename",J667=""),"type the new name",IF(AND(L667&lt;&gt;"",L667&lt;&gt;"(decide)",COUNTIF($L$2:$L$1680,L667)&gt;1),"SAME FINAL NAME AS ANOTHER ROW","")))</f>
      </c>
      <c r="N667" s="6">
        <v>0</v>
      </c>
      <c r="O667" s="6" t="s">
        <v>2</v>
      </c>
    </row>
    <row r="668" spans="1:15" x14ac:dyDescent="0.25">
      <c r="A668">
        <v>667</v>
      </c>
      <c r="B668" t="s">
        <v>353</v>
      </c>
      <c r="C668" t="s">
        <v>909</v>
      </c>
      <c r="D668" t="s">
        <v>917</v>
      </c>
      <c r="E668" t="s">
        <v>292</v>
      </c>
      <c r="F668" t="s">
        <v>2</v>
      </c>
      <c r="G668" t="s">
        <v>38</v>
      </c>
      <c r="H668" t="s">
        <v>39</v>
      </c>
      <c r="I668" s="5" t="s">
        <v>294</v>
      </c>
      <c r="J668" s="5" t="s">
        <v>2</v>
      </c>
      <c r="K668" s="5" t="s">
        <v>2</v>
      </c>
      <c r="L668" s="6">
        <f>IF(I668="Cut","",IF(I668="Your call","(decide)",IF(I668="Rename",J668,IF(I668="Keep",IF(D668="",E668,D668),IF(E668="(unchanged)",D668,E668)))))</f>
      </c>
      <c r="M668" s="6">
        <f>IF(AND(I668="Cut",N668&gt;0,K668=""),"USED: say what replaces it (Note)",IF(AND(I668="Rename",J668=""),"type the new name",IF(AND(L668&lt;&gt;"",L668&lt;&gt;"(decide)",COUNTIF($L$2:$L$1680,L668)&gt;1),"SAME FINAL NAME AS ANOTHER ROW","")))</f>
      </c>
      <c r="N668" s="6">
        <v>0</v>
      </c>
      <c r="O668" s="6" t="s">
        <v>2</v>
      </c>
    </row>
    <row r="669" spans="1:15" x14ac:dyDescent="0.25">
      <c r="A669">
        <v>668</v>
      </c>
      <c r="B669" t="s">
        <v>353</v>
      </c>
      <c r="C669" t="s">
        <v>909</v>
      </c>
      <c r="D669" t="s">
        <v>918</v>
      </c>
      <c r="E669" t="s">
        <v>292</v>
      </c>
      <c r="F669" t="s">
        <v>2</v>
      </c>
      <c r="G669" t="s">
        <v>38</v>
      </c>
      <c r="H669" t="s">
        <v>39</v>
      </c>
      <c r="I669" s="5" t="s">
        <v>294</v>
      </c>
      <c r="J669" s="5" t="s">
        <v>2</v>
      </c>
      <c r="K669" s="5" t="s">
        <v>2</v>
      </c>
      <c r="L669" s="6">
        <f>IF(I669="Cut","",IF(I669="Your call","(decide)",IF(I669="Rename",J669,IF(I669="Keep",IF(D669="",E669,D669),IF(E669="(unchanged)",D669,E669)))))</f>
      </c>
      <c r="M669" s="6">
        <f>IF(AND(I669="Cut",N669&gt;0,K669=""),"USED: say what replaces it (Note)",IF(AND(I669="Rename",J669=""),"type the new name",IF(AND(L669&lt;&gt;"",L669&lt;&gt;"(decide)",COUNTIF($L$2:$L$1680,L669)&gt;1),"SAME FINAL NAME AS ANOTHER ROW","")))</f>
      </c>
      <c r="N669" s="6">
        <v>0</v>
      </c>
      <c r="O669" s="6" t="s">
        <v>2</v>
      </c>
    </row>
    <row r="670" spans="1:15" x14ac:dyDescent="0.25">
      <c r="A670">
        <v>669</v>
      </c>
      <c r="B670" t="s">
        <v>353</v>
      </c>
      <c r="C670" t="s">
        <v>919</v>
      </c>
      <c r="D670" t="s">
        <v>920</v>
      </c>
      <c r="E670" t="s">
        <v>292</v>
      </c>
      <c r="F670" t="s">
        <v>2</v>
      </c>
      <c r="G670" t="s">
        <v>58</v>
      </c>
      <c r="H670" t="s">
        <v>39</v>
      </c>
      <c r="I670" s="5" t="s">
        <v>294</v>
      </c>
      <c r="J670" s="5" t="s">
        <v>2</v>
      </c>
      <c r="K670" s="5" t="s">
        <v>2</v>
      </c>
      <c r="L670" s="6">
        <f>IF(I670="Cut","",IF(I670="Your call","(decide)",IF(I670="Rename",J670,IF(I670="Keep",IF(D670="",E670,D670),IF(E670="(unchanged)",D670,E670)))))</f>
      </c>
      <c r="M670" s="6">
        <f>IF(AND(I670="Cut",N670&gt;0,K670=""),"USED: say what replaces it (Note)",IF(AND(I670="Rename",J670=""),"type the new name",IF(AND(L670&lt;&gt;"",L670&lt;&gt;"(decide)",COUNTIF($L$2:$L$1680,L670)&gt;1),"SAME FINAL NAME AS ANOTHER ROW","")))</f>
      </c>
      <c r="N670" s="6">
        <v>3</v>
      </c>
      <c r="O670" s="6" t="s">
        <v>2</v>
      </c>
    </row>
    <row r="671" spans="1:15" x14ac:dyDescent="0.25">
      <c r="A671">
        <v>670</v>
      </c>
      <c r="B671" t="s">
        <v>353</v>
      </c>
      <c r="C671" t="s">
        <v>919</v>
      </c>
      <c r="D671" t="s">
        <v>921</v>
      </c>
      <c r="E671" t="s">
        <v>292</v>
      </c>
      <c r="F671" t="s">
        <v>2</v>
      </c>
      <c r="G671" t="s">
        <v>151</v>
      </c>
      <c r="H671" t="s">
        <v>39</v>
      </c>
      <c r="I671" s="5" t="s">
        <v>294</v>
      </c>
      <c r="J671" s="5" t="s">
        <v>2</v>
      </c>
      <c r="K671" s="5" t="s">
        <v>2</v>
      </c>
      <c r="L671" s="6">
        <f>IF(I671="Cut","",IF(I671="Your call","(decide)",IF(I671="Rename",J671,IF(I671="Keep",IF(D671="",E671,D671),IF(E671="(unchanged)",D671,E671)))))</f>
      </c>
      <c r="M671" s="6">
        <f>IF(AND(I671="Cut",N671&gt;0,K671=""),"USED: say what replaces it (Note)",IF(AND(I671="Rename",J671=""),"type the new name",IF(AND(L671&lt;&gt;"",L671&lt;&gt;"(decide)",COUNTIF($L$2:$L$1680,L671)&gt;1),"SAME FINAL NAME AS ANOTHER ROW","")))</f>
      </c>
      <c r="N671" s="6">
        <v>5</v>
      </c>
      <c r="O671" s="6" t="s">
        <v>2</v>
      </c>
    </row>
    <row r="672" spans="1:15" x14ac:dyDescent="0.25">
      <c r="A672">
        <v>671</v>
      </c>
      <c r="B672" t="s">
        <v>353</v>
      </c>
      <c r="C672" t="s">
        <v>919</v>
      </c>
      <c r="D672" t="s">
        <v>922</v>
      </c>
      <c r="E672" t="s">
        <v>292</v>
      </c>
      <c r="F672" t="s">
        <v>2</v>
      </c>
      <c r="G672" t="s">
        <v>38</v>
      </c>
      <c r="H672" t="s">
        <v>39</v>
      </c>
      <c r="I672" s="5" t="s">
        <v>294</v>
      </c>
      <c r="J672" s="5" t="s">
        <v>2</v>
      </c>
      <c r="K672" s="5" t="s">
        <v>2</v>
      </c>
      <c r="L672" s="6">
        <f>IF(I672="Cut","",IF(I672="Your call","(decide)",IF(I672="Rename",J672,IF(I672="Keep",IF(D672="",E672,D672),IF(E672="(unchanged)",D672,E672)))))</f>
      </c>
      <c r="M672" s="6">
        <f>IF(AND(I672="Cut",N672&gt;0,K672=""),"USED: say what replaces it (Note)",IF(AND(I672="Rename",J672=""),"type the new name",IF(AND(L672&lt;&gt;"",L672&lt;&gt;"(decide)",COUNTIF($L$2:$L$1680,L672)&gt;1),"SAME FINAL NAME AS ANOTHER ROW","")))</f>
      </c>
      <c r="N672" s="6">
        <v>0</v>
      </c>
      <c r="O672" s="6" t="s">
        <v>2</v>
      </c>
    </row>
    <row r="673" spans="1:15" x14ac:dyDescent="0.25">
      <c r="A673">
        <v>672</v>
      </c>
      <c r="B673" t="s">
        <v>353</v>
      </c>
      <c r="C673" t="s">
        <v>919</v>
      </c>
      <c r="D673" t="s">
        <v>923</v>
      </c>
      <c r="E673" t="s">
        <v>292</v>
      </c>
      <c r="F673" t="s">
        <v>2</v>
      </c>
      <c r="G673" t="s">
        <v>38</v>
      </c>
      <c r="H673" t="s">
        <v>39</v>
      </c>
      <c r="I673" s="5" t="s">
        <v>294</v>
      </c>
      <c r="J673" s="5" t="s">
        <v>2</v>
      </c>
      <c r="K673" s="5" t="s">
        <v>2</v>
      </c>
      <c r="L673" s="6">
        <f>IF(I673="Cut","",IF(I673="Your call","(decide)",IF(I673="Rename",J673,IF(I673="Keep",IF(D673="",E673,D673),IF(E673="(unchanged)",D673,E673)))))</f>
      </c>
      <c r="M673" s="6">
        <f>IF(AND(I673="Cut",N673&gt;0,K673=""),"USED: say what replaces it (Note)",IF(AND(I673="Rename",J673=""),"type the new name",IF(AND(L673&lt;&gt;"",L673&lt;&gt;"(decide)",COUNTIF($L$2:$L$1680,L673)&gt;1),"SAME FINAL NAME AS ANOTHER ROW","")))</f>
      </c>
      <c r="N673" s="6">
        <v>0</v>
      </c>
      <c r="O673" s="6" t="s">
        <v>2</v>
      </c>
    </row>
    <row r="674" spans="1:15" x14ac:dyDescent="0.25">
      <c r="A674">
        <v>673</v>
      </c>
      <c r="B674" t="s">
        <v>353</v>
      </c>
      <c r="C674" t="s">
        <v>924</v>
      </c>
      <c r="D674" t="s">
        <v>925</v>
      </c>
      <c r="E674" t="s">
        <v>292</v>
      </c>
      <c r="F674" t="s">
        <v>2</v>
      </c>
      <c r="G674" t="s">
        <v>38</v>
      </c>
      <c r="H674" t="s">
        <v>39</v>
      </c>
      <c r="I674" s="5" t="s">
        <v>294</v>
      </c>
      <c r="J674" s="5" t="s">
        <v>2</v>
      </c>
      <c r="K674" s="5" t="s">
        <v>2</v>
      </c>
      <c r="L674" s="6">
        <f>IF(I674="Cut","",IF(I674="Your call","(decide)",IF(I674="Rename",J674,IF(I674="Keep",IF(D674="",E674,D674),IF(E674="(unchanged)",D674,E674)))))</f>
      </c>
      <c r="M674" s="6">
        <f>IF(AND(I674="Cut",N674&gt;0,K674=""),"USED: say what replaces it (Note)",IF(AND(I674="Rename",J674=""),"type the new name",IF(AND(L674&lt;&gt;"",L674&lt;&gt;"(decide)",COUNTIF($L$2:$L$1680,L674)&gt;1),"SAME FINAL NAME AS ANOTHER ROW","")))</f>
      </c>
      <c r="N674" s="6">
        <v>0</v>
      </c>
      <c r="O674" s="6" t="s">
        <v>2</v>
      </c>
    </row>
    <row r="675" spans="1:15" x14ac:dyDescent="0.25">
      <c r="A675">
        <v>674</v>
      </c>
      <c r="B675" t="s">
        <v>353</v>
      </c>
      <c r="C675" t="s">
        <v>924</v>
      </c>
      <c r="D675" t="s">
        <v>926</v>
      </c>
      <c r="E675" t="s">
        <v>292</v>
      </c>
      <c r="F675" t="s">
        <v>2</v>
      </c>
      <c r="G675" t="s">
        <v>38</v>
      </c>
      <c r="H675" t="s">
        <v>39</v>
      </c>
      <c r="I675" s="5" t="s">
        <v>294</v>
      </c>
      <c r="J675" s="5" t="s">
        <v>2</v>
      </c>
      <c r="K675" s="5" t="s">
        <v>2</v>
      </c>
      <c r="L675" s="6">
        <f>IF(I675="Cut","",IF(I675="Your call","(decide)",IF(I675="Rename",J675,IF(I675="Keep",IF(D675="",E675,D675),IF(E675="(unchanged)",D675,E675)))))</f>
      </c>
      <c r="M675" s="6">
        <f>IF(AND(I675="Cut",N675&gt;0,K675=""),"USED: say what replaces it (Note)",IF(AND(I675="Rename",J675=""),"type the new name",IF(AND(L675&lt;&gt;"",L675&lt;&gt;"(decide)",COUNTIF($L$2:$L$1680,L675)&gt;1),"SAME FINAL NAME AS ANOTHER ROW","")))</f>
      </c>
      <c r="N675" s="6">
        <v>0</v>
      </c>
      <c r="O675" s="6" t="s">
        <v>2</v>
      </c>
    </row>
    <row r="676" spans="1:15" x14ac:dyDescent="0.25">
      <c r="A676">
        <v>675</v>
      </c>
      <c r="B676" t="s">
        <v>353</v>
      </c>
      <c r="C676" t="s">
        <v>924</v>
      </c>
      <c r="D676" t="s">
        <v>927</v>
      </c>
      <c r="E676" t="s">
        <v>292</v>
      </c>
      <c r="F676" t="s">
        <v>2</v>
      </c>
      <c r="G676" t="s">
        <v>38</v>
      </c>
      <c r="H676" t="s">
        <v>39</v>
      </c>
      <c r="I676" s="5" t="s">
        <v>294</v>
      </c>
      <c r="J676" s="5" t="s">
        <v>2</v>
      </c>
      <c r="K676" s="5" t="s">
        <v>2</v>
      </c>
      <c r="L676" s="6">
        <f>IF(I676="Cut","",IF(I676="Your call","(decide)",IF(I676="Rename",J676,IF(I676="Keep",IF(D676="",E676,D676),IF(E676="(unchanged)",D676,E676)))))</f>
      </c>
      <c r="M676" s="6">
        <f>IF(AND(I676="Cut",N676&gt;0,K676=""),"USED: say what replaces it (Note)",IF(AND(I676="Rename",J676=""),"type the new name",IF(AND(L676&lt;&gt;"",L676&lt;&gt;"(decide)",COUNTIF($L$2:$L$1680,L676)&gt;1),"SAME FINAL NAME AS ANOTHER ROW","")))</f>
      </c>
      <c r="N676" s="6">
        <v>0</v>
      </c>
      <c r="O676" s="6" t="s">
        <v>2</v>
      </c>
    </row>
    <row r="677" spans="1:15" x14ac:dyDescent="0.25">
      <c r="A677">
        <v>676</v>
      </c>
      <c r="B677" t="s">
        <v>353</v>
      </c>
      <c r="C677" t="s">
        <v>924</v>
      </c>
      <c r="D677" t="s">
        <v>928</v>
      </c>
      <c r="E677" t="s">
        <v>292</v>
      </c>
      <c r="F677" t="s">
        <v>2</v>
      </c>
      <c r="G677" t="s">
        <v>38</v>
      </c>
      <c r="H677" t="s">
        <v>39</v>
      </c>
      <c r="I677" s="5" t="s">
        <v>294</v>
      </c>
      <c r="J677" s="5" t="s">
        <v>2</v>
      </c>
      <c r="K677" s="5" t="s">
        <v>2</v>
      </c>
      <c r="L677" s="6">
        <f>IF(I677="Cut","",IF(I677="Your call","(decide)",IF(I677="Rename",J677,IF(I677="Keep",IF(D677="",E677,D677),IF(E677="(unchanged)",D677,E677)))))</f>
      </c>
      <c r="M677" s="6">
        <f>IF(AND(I677="Cut",N677&gt;0,K677=""),"USED: say what replaces it (Note)",IF(AND(I677="Rename",J677=""),"type the new name",IF(AND(L677&lt;&gt;"",L677&lt;&gt;"(decide)",COUNTIF($L$2:$L$1680,L677)&gt;1),"SAME FINAL NAME AS ANOTHER ROW","")))</f>
      </c>
      <c r="N677" s="6">
        <v>0</v>
      </c>
      <c r="O677" s="6" t="s">
        <v>2</v>
      </c>
    </row>
    <row r="678" spans="1:15" x14ac:dyDescent="0.25">
      <c r="A678">
        <v>677</v>
      </c>
      <c r="B678" t="s">
        <v>353</v>
      </c>
      <c r="C678" t="s">
        <v>929</v>
      </c>
      <c r="D678" t="s">
        <v>930</v>
      </c>
      <c r="E678" t="s">
        <v>292</v>
      </c>
      <c r="F678" t="s">
        <v>2</v>
      </c>
      <c r="G678" t="s">
        <v>38</v>
      </c>
      <c r="H678" t="s">
        <v>39</v>
      </c>
      <c r="I678" s="5" t="s">
        <v>294</v>
      </c>
      <c r="J678" s="5" t="s">
        <v>2</v>
      </c>
      <c r="K678" s="5" t="s">
        <v>2</v>
      </c>
      <c r="L678" s="6">
        <f>IF(I678="Cut","",IF(I678="Your call","(decide)",IF(I678="Rename",J678,IF(I678="Keep",IF(D678="",E678,D678),IF(E678="(unchanged)",D678,E678)))))</f>
      </c>
      <c r="M678" s="6">
        <f>IF(AND(I678="Cut",N678&gt;0,K678=""),"USED: say what replaces it (Note)",IF(AND(I678="Rename",J678=""),"type the new name",IF(AND(L678&lt;&gt;"",L678&lt;&gt;"(decide)",COUNTIF($L$2:$L$1680,L678)&gt;1),"SAME FINAL NAME AS ANOTHER ROW","")))</f>
      </c>
      <c r="N678" s="6">
        <v>0</v>
      </c>
      <c r="O678" s="6" t="s">
        <v>2</v>
      </c>
    </row>
    <row r="679" spans="1:15" x14ac:dyDescent="0.25">
      <c r="A679">
        <v>678</v>
      </c>
      <c r="B679" t="s">
        <v>353</v>
      </c>
      <c r="C679" t="s">
        <v>929</v>
      </c>
      <c r="D679" t="s">
        <v>931</v>
      </c>
      <c r="E679" t="s">
        <v>292</v>
      </c>
      <c r="F679" t="s">
        <v>2</v>
      </c>
      <c r="G679" t="s">
        <v>38</v>
      </c>
      <c r="H679" t="s">
        <v>39</v>
      </c>
      <c r="I679" s="5" t="s">
        <v>294</v>
      </c>
      <c r="J679" s="5" t="s">
        <v>2</v>
      </c>
      <c r="K679" s="5" t="s">
        <v>2</v>
      </c>
      <c r="L679" s="6">
        <f>IF(I679="Cut","",IF(I679="Your call","(decide)",IF(I679="Rename",J679,IF(I679="Keep",IF(D679="",E679,D679),IF(E679="(unchanged)",D679,E679)))))</f>
      </c>
      <c r="M679" s="6">
        <f>IF(AND(I679="Cut",N679&gt;0,K679=""),"USED: say what replaces it (Note)",IF(AND(I679="Rename",J679=""),"type the new name",IF(AND(L679&lt;&gt;"",L679&lt;&gt;"(decide)",COUNTIF($L$2:$L$1680,L679)&gt;1),"SAME FINAL NAME AS ANOTHER ROW","")))</f>
      </c>
      <c r="N679" s="6">
        <v>0</v>
      </c>
      <c r="O679" s="6" t="s">
        <v>2</v>
      </c>
    </row>
    <row r="680" spans="1:15" x14ac:dyDescent="0.25">
      <c r="A680">
        <v>679</v>
      </c>
      <c r="B680" t="s">
        <v>353</v>
      </c>
      <c r="C680" t="s">
        <v>929</v>
      </c>
      <c r="D680" t="s">
        <v>932</v>
      </c>
      <c r="E680" t="s">
        <v>292</v>
      </c>
      <c r="F680" t="s">
        <v>2</v>
      </c>
      <c r="G680" t="s">
        <v>38</v>
      </c>
      <c r="H680" t="s">
        <v>39</v>
      </c>
      <c r="I680" s="5" t="s">
        <v>294</v>
      </c>
      <c r="J680" s="5" t="s">
        <v>2</v>
      </c>
      <c r="K680" s="5" t="s">
        <v>2</v>
      </c>
      <c r="L680" s="6">
        <f>IF(I680="Cut","",IF(I680="Your call","(decide)",IF(I680="Rename",J680,IF(I680="Keep",IF(D680="",E680,D680),IF(E680="(unchanged)",D680,E680)))))</f>
      </c>
      <c r="M680" s="6">
        <f>IF(AND(I680="Cut",N680&gt;0,K680=""),"USED: say what replaces it (Note)",IF(AND(I680="Rename",J680=""),"type the new name",IF(AND(L680&lt;&gt;"",L680&lt;&gt;"(decide)",COUNTIF($L$2:$L$1680,L680)&gt;1),"SAME FINAL NAME AS ANOTHER ROW","")))</f>
      </c>
      <c r="N680" s="6">
        <v>0</v>
      </c>
      <c r="O680" s="6" t="s">
        <v>2</v>
      </c>
    </row>
    <row r="681" spans="1:15" x14ac:dyDescent="0.25">
      <c r="A681">
        <v>680</v>
      </c>
      <c r="B681" t="s">
        <v>353</v>
      </c>
      <c r="C681" t="s">
        <v>929</v>
      </c>
      <c r="D681" t="s">
        <v>933</v>
      </c>
      <c r="E681" t="s">
        <v>292</v>
      </c>
      <c r="F681" t="s">
        <v>2</v>
      </c>
      <c r="G681" t="s">
        <v>38</v>
      </c>
      <c r="H681" t="s">
        <v>39</v>
      </c>
      <c r="I681" s="5" t="s">
        <v>294</v>
      </c>
      <c r="J681" s="5" t="s">
        <v>2</v>
      </c>
      <c r="K681" s="5" t="s">
        <v>2</v>
      </c>
      <c r="L681" s="6">
        <f>IF(I681="Cut","",IF(I681="Your call","(decide)",IF(I681="Rename",J681,IF(I681="Keep",IF(D681="",E681,D681),IF(E681="(unchanged)",D681,E681)))))</f>
      </c>
      <c r="M681" s="6">
        <f>IF(AND(I681="Cut",N681&gt;0,K681=""),"USED: say what replaces it (Note)",IF(AND(I681="Rename",J681=""),"type the new name",IF(AND(L681&lt;&gt;"",L681&lt;&gt;"(decide)",COUNTIF($L$2:$L$1680,L681)&gt;1),"SAME FINAL NAME AS ANOTHER ROW","")))</f>
      </c>
      <c r="N681" s="6">
        <v>0</v>
      </c>
      <c r="O681" s="6" t="s">
        <v>2</v>
      </c>
    </row>
    <row r="682" spans="1:15" x14ac:dyDescent="0.25">
      <c r="A682">
        <v>681</v>
      </c>
      <c r="B682" t="s">
        <v>353</v>
      </c>
      <c r="C682" t="s">
        <v>934</v>
      </c>
      <c r="D682" t="s">
        <v>935</v>
      </c>
      <c r="E682" t="s">
        <v>292</v>
      </c>
      <c r="F682" t="s">
        <v>2</v>
      </c>
      <c r="G682" t="s">
        <v>48</v>
      </c>
      <c r="H682" t="s">
        <v>39</v>
      </c>
      <c r="I682" s="5" t="s">
        <v>294</v>
      </c>
      <c r="J682" s="5" t="s">
        <v>2</v>
      </c>
      <c r="K682" s="5" t="s">
        <v>2</v>
      </c>
      <c r="L682" s="6">
        <f>IF(I682="Cut","",IF(I682="Your call","(decide)",IF(I682="Rename",J682,IF(I682="Keep",IF(D682="",E682,D682),IF(E682="(unchanged)",D682,E682)))))</f>
      </c>
      <c r="M682" s="6">
        <f>IF(AND(I682="Cut",N682&gt;0,K682=""),"USED: say what replaces it (Note)",IF(AND(I682="Rename",J682=""),"type the new name",IF(AND(L682&lt;&gt;"",L682&lt;&gt;"(decide)",COUNTIF($L$2:$L$1680,L682)&gt;1),"SAME FINAL NAME AS ANOTHER ROW","")))</f>
      </c>
      <c r="N682" s="6">
        <v>2</v>
      </c>
      <c r="O682" s="6" t="s">
        <v>2</v>
      </c>
    </row>
    <row r="683" spans="1:15" x14ac:dyDescent="0.25">
      <c r="A683">
        <v>682</v>
      </c>
      <c r="B683" t="s">
        <v>353</v>
      </c>
      <c r="C683" t="s">
        <v>934</v>
      </c>
      <c r="D683" t="s">
        <v>936</v>
      </c>
      <c r="E683" t="s">
        <v>292</v>
      </c>
      <c r="F683" t="s">
        <v>2</v>
      </c>
      <c r="G683" t="s">
        <v>38</v>
      </c>
      <c r="H683" t="s">
        <v>39</v>
      </c>
      <c r="I683" s="5" t="s">
        <v>294</v>
      </c>
      <c r="J683" s="5" t="s">
        <v>2</v>
      </c>
      <c r="K683" s="5" t="s">
        <v>2</v>
      </c>
      <c r="L683" s="6">
        <f>IF(I683="Cut","",IF(I683="Your call","(decide)",IF(I683="Rename",J683,IF(I683="Keep",IF(D683="",E683,D683),IF(E683="(unchanged)",D683,E683)))))</f>
      </c>
      <c r="M683" s="6">
        <f>IF(AND(I683="Cut",N683&gt;0,K683=""),"USED: say what replaces it (Note)",IF(AND(I683="Rename",J683=""),"type the new name",IF(AND(L683&lt;&gt;"",L683&lt;&gt;"(decide)",COUNTIF($L$2:$L$1680,L683)&gt;1),"SAME FINAL NAME AS ANOTHER ROW","")))</f>
      </c>
      <c r="N683" s="6">
        <v>0</v>
      </c>
      <c r="O683" s="6" t="s">
        <v>2</v>
      </c>
    </row>
    <row r="684" spans="1:15" x14ac:dyDescent="0.25">
      <c r="A684">
        <v>683</v>
      </c>
      <c r="B684" t="s">
        <v>353</v>
      </c>
      <c r="C684" t="s">
        <v>934</v>
      </c>
      <c r="D684" t="s">
        <v>937</v>
      </c>
      <c r="E684" t="s">
        <v>292</v>
      </c>
      <c r="F684" t="s">
        <v>2</v>
      </c>
      <c r="G684" t="s">
        <v>38</v>
      </c>
      <c r="H684" t="s">
        <v>39</v>
      </c>
      <c r="I684" s="5" t="s">
        <v>294</v>
      </c>
      <c r="J684" s="5" t="s">
        <v>2</v>
      </c>
      <c r="K684" s="5" t="s">
        <v>2</v>
      </c>
      <c r="L684" s="6">
        <f>IF(I684="Cut","",IF(I684="Your call","(decide)",IF(I684="Rename",J684,IF(I684="Keep",IF(D684="",E684,D684),IF(E684="(unchanged)",D684,E684)))))</f>
      </c>
      <c r="M684" s="6">
        <f>IF(AND(I684="Cut",N684&gt;0,K684=""),"USED: say what replaces it (Note)",IF(AND(I684="Rename",J684=""),"type the new name",IF(AND(L684&lt;&gt;"",L684&lt;&gt;"(decide)",COUNTIF($L$2:$L$1680,L684)&gt;1),"SAME FINAL NAME AS ANOTHER ROW","")))</f>
      </c>
      <c r="N684" s="6">
        <v>0</v>
      </c>
      <c r="O684" s="6" t="s">
        <v>2</v>
      </c>
    </row>
    <row r="685" spans="1:15" x14ac:dyDescent="0.25">
      <c r="A685">
        <v>684</v>
      </c>
      <c r="B685" t="s">
        <v>353</v>
      </c>
      <c r="C685" t="s">
        <v>934</v>
      </c>
      <c r="D685" t="s">
        <v>938</v>
      </c>
      <c r="E685" t="s">
        <v>292</v>
      </c>
      <c r="F685" t="s">
        <v>2</v>
      </c>
      <c r="G685" t="s">
        <v>94</v>
      </c>
      <c r="H685" t="s">
        <v>39</v>
      </c>
      <c r="I685" s="5" t="s">
        <v>294</v>
      </c>
      <c r="J685" s="5" t="s">
        <v>2</v>
      </c>
      <c r="K685" s="5" t="s">
        <v>2</v>
      </c>
      <c r="L685" s="6">
        <f>IF(I685="Cut","",IF(I685="Your call","(decide)",IF(I685="Rename",J685,IF(I685="Keep",IF(D685="",E685,D685),IF(E685="(unchanged)",D685,E685)))))</f>
      </c>
      <c r="M685" s="6">
        <f>IF(AND(I685="Cut",N685&gt;0,K685=""),"USED: say what replaces it (Note)",IF(AND(I685="Rename",J685=""),"type the new name",IF(AND(L685&lt;&gt;"",L685&lt;&gt;"(decide)",COUNTIF($L$2:$L$1680,L685)&gt;1),"SAME FINAL NAME AS ANOTHER ROW","")))</f>
      </c>
      <c r="N685" s="6">
        <v>1</v>
      </c>
      <c r="O685" s="6" t="s">
        <v>2</v>
      </c>
    </row>
    <row r="686" spans="1:15" x14ac:dyDescent="0.25">
      <c r="A686">
        <v>685</v>
      </c>
      <c r="B686" t="s">
        <v>353</v>
      </c>
      <c r="C686" t="s">
        <v>939</v>
      </c>
      <c r="D686" t="s">
        <v>940</v>
      </c>
      <c r="E686" t="s">
        <v>292</v>
      </c>
      <c r="F686" t="s">
        <v>2</v>
      </c>
      <c r="G686" t="s">
        <v>38</v>
      </c>
      <c r="H686" t="s">
        <v>39</v>
      </c>
      <c r="I686" s="5" t="s">
        <v>294</v>
      </c>
      <c r="J686" s="5" t="s">
        <v>2</v>
      </c>
      <c r="K686" s="5" t="s">
        <v>2</v>
      </c>
      <c r="L686" s="6">
        <f>IF(I686="Cut","",IF(I686="Your call","(decide)",IF(I686="Rename",J686,IF(I686="Keep",IF(D686="",E686,D686),IF(E686="(unchanged)",D686,E686)))))</f>
      </c>
      <c r="M686" s="6">
        <f>IF(AND(I686="Cut",N686&gt;0,K686=""),"USED: say what replaces it (Note)",IF(AND(I686="Rename",J686=""),"type the new name",IF(AND(L686&lt;&gt;"",L686&lt;&gt;"(decide)",COUNTIF($L$2:$L$1680,L686)&gt;1),"SAME FINAL NAME AS ANOTHER ROW","")))</f>
      </c>
      <c r="N686" s="6">
        <v>0</v>
      </c>
      <c r="O686" s="6" t="s">
        <v>2</v>
      </c>
    </row>
    <row r="687" spans="1:15" x14ac:dyDescent="0.25">
      <c r="A687">
        <v>686</v>
      </c>
      <c r="B687" t="s">
        <v>353</v>
      </c>
      <c r="C687" t="s">
        <v>939</v>
      </c>
      <c r="D687" t="s">
        <v>941</v>
      </c>
      <c r="E687" t="s">
        <v>292</v>
      </c>
      <c r="F687" t="s">
        <v>2</v>
      </c>
      <c r="G687" t="s">
        <v>38</v>
      </c>
      <c r="H687" t="s">
        <v>39</v>
      </c>
      <c r="I687" s="5" t="s">
        <v>294</v>
      </c>
      <c r="J687" s="5" t="s">
        <v>2</v>
      </c>
      <c r="K687" s="5" t="s">
        <v>2</v>
      </c>
      <c r="L687" s="6">
        <f>IF(I687="Cut","",IF(I687="Your call","(decide)",IF(I687="Rename",J687,IF(I687="Keep",IF(D687="",E687,D687),IF(E687="(unchanged)",D687,E687)))))</f>
      </c>
      <c r="M687" s="6">
        <f>IF(AND(I687="Cut",N687&gt;0,K687=""),"USED: say what replaces it (Note)",IF(AND(I687="Rename",J687=""),"type the new name",IF(AND(L687&lt;&gt;"",L687&lt;&gt;"(decide)",COUNTIF($L$2:$L$1680,L687)&gt;1),"SAME FINAL NAME AS ANOTHER ROW","")))</f>
      </c>
      <c r="N687" s="6">
        <v>0</v>
      </c>
      <c r="O687" s="6" t="s">
        <v>2</v>
      </c>
    </row>
    <row r="688" spans="1:15" x14ac:dyDescent="0.25">
      <c r="A688">
        <v>687</v>
      </c>
      <c r="B688" t="s">
        <v>353</v>
      </c>
      <c r="C688" t="s">
        <v>939</v>
      </c>
      <c r="D688" t="s">
        <v>942</v>
      </c>
      <c r="E688" t="s">
        <v>292</v>
      </c>
      <c r="F688" t="s">
        <v>2</v>
      </c>
      <c r="G688" t="s">
        <v>38</v>
      </c>
      <c r="H688" t="s">
        <v>39</v>
      </c>
      <c r="I688" s="5" t="s">
        <v>294</v>
      </c>
      <c r="J688" s="5" t="s">
        <v>2</v>
      </c>
      <c r="K688" s="5" t="s">
        <v>2</v>
      </c>
      <c r="L688" s="6">
        <f>IF(I688="Cut","",IF(I688="Your call","(decide)",IF(I688="Rename",J688,IF(I688="Keep",IF(D688="",E688,D688),IF(E688="(unchanged)",D688,E688)))))</f>
      </c>
      <c r="M688" s="6">
        <f>IF(AND(I688="Cut",N688&gt;0,K688=""),"USED: say what replaces it (Note)",IF(AND(I688="Rename",J688=""),"type the new name",IF(AND(L688&lt;&gt;"",L688&lt;&gt;"(decide)",COUNTIF($L$2:$L$1680,L688)&gt;1),"SAME FINAL NAME AS ANOTHER ROW","")))</f>
      </c>
      <c r="N688" s="6">
        <v>0</v>
      </c>
      <c r="O688" s="6" t="s">
        <v>2</v>
      </c>
    </row>
    <row r="689" spans="1:15" x14ac:dyDescent="0.25">
      <c r="A689">
        <v>688</v>
      </c>
      <c r="B689" t="s">
        <v>353</v>
      </c>
      <c r="C689" t="s">
        <v>939</v>
      </c>
      <c r="D689" t="s">
        <v>943</v>
      </c>
      <c r="E689" t="s">
        <v>292</v>
      </c>
      <c r="F689" t="s">
        <v>2</v>
      </c>
      <c r="G689" t="s">
        <v>38</v>
      </c>
      <c r="H689" t="s">
        <v>39</v>
      </c>
      <c r="I689" s="5" t="s">
        <v>294</v>
      </c>
      <c r="J689" s="5" t="s">
        <v>2</v>
      </c>
      <c r="K689" s="5" t="s">
        <v>2</v>
      </c>
      <c r="L689" s="6">
        <f>IF(I689="Cut","",IF(I689="Your call","(decide)",IF(I689="Rename",J689,IF(I689="Keep",IF(D689="",E689,D689),IF(E689="(unchanged)",D689,E689)))))</f>
      </c>
      <c r="M689" s="6">
        <f>IF(AND(I689="Cut",N689&gt;0,K689=""),"USED: say what replaces it (Note)",IF(AND(I689="Rename",J689=""),"type the new name",IF(AND(L689&lt;&gt;"",L689&lt;&gt;"(decide)",COUNTIF($L$2:$L$1680,L689)&gt;1),"SAME FINAL NAME AS ANOTHER ROW","")))</f>
      </c>
      <c r="N689" s="6">
        <v>0</v>
      </c>
      <c r="O689" s="6" t="s">
        <v>2</v>
      </c>
    </row>
    <row r="690" spans="1:15" x14ac:dyDescent="0.25">
      <c r="A690">
        <v>689</v>
      </c>
      <c r="B690" t="s">
        <v>353</v>
      </c>
      <c r="C690" t="s">
        <v>944</v>
      </c>
      <c r="D690" t="s">
        <v>945</v>
      </c>
      <c r="E690" t="s">
        <v>292</v>
      </c>
      <c r="F690" t="s">
        <v>2</v>
      </c>
      <c r="G690" t="s">
        <v>38</v>
      </c>
      <c r="H690" t="s">
        <v>39</v>
      </c>
      <c r="I690" s="5" t="s">
        <v>294</v>
      </c>
      <c r="J690" s="5" t="s">
        <v>2</v>
      </c>
      <c r="K690" s="5" t="s">
        <v>2</v>
      </c>
      <c r="L690" s="6">
        <f>IF(I690="Cut","",IF(I690="Your call","(decide)",IF(I690="Rename",J690,IF(I690="Keep",IF(D690="",E690,D690),IF(E690="(unchanged)",D690,E690)))))</f>
      </c>
      <c r="M690" s="6">
        <f>IF(AND(I690="Cut",N690&gt;0,K690=""),"USED: say what replaces it (Note)",IF(AND(I690="Rename",J690=""),"type the new name",IF(AND(L690&lt;&gt;"",L690&lt;&gt;"(decide)",COUNTIF($L$2:$L$1680,L690)&gt;1),"SAME FINAL NAME AS ANOTHER ROW","")))</f>
      </c>
      <c r="N690" s="6">
        <v>0</v>
      </c>
      <c r="O690" s="6" t="s">
        <v>2</v>
      </c>
    </row>
    <row r="691" spans="1:15" x14ac:dyDescent="0.25">
      <c r="A691">
        <v>690</v>
      </c>
      <c r="B691" t="s">
        <v>353</v>
      </c>
      <c r="C691" t="s">
        <v>944</v>
      </c>
      <c r="D691" t="s">
        <v>946</v>
      </c>
      <c r="E691" t="s">
        <v>292</v>
      </c>
      <c r="F691" t="s">
        <v>2</v>
      </c>
      <c r="G691" t="s">
        <v>38</v>
      </c>
      <c r="H691" t="s">
        <v>39</v>
      </c>
      <c r="I691" s="5" t="s">
        <v>294</v>
      </c>
      <c r="J691" s="5" t="s">
        <v>2</v>
      </c>
      <c r="K691" s="5" t="s">
        <v>2</v>
      </c>
      <c r="L691" s="6">
        <f>IF(I691="Cut","",IF(I691="Your call","(decide)",IF(I691="Rename",J691,IF(I691="Keep",IF(D691="",E691,D691),IF(E691="(unchanged)",D691,E691)))))</f>
      </c>
      <c r="M691" s="6">
        <f>IF(AND(I691="Cut",N691&gt;0,K691=""),"USED: say what replaces it (Note)",IF(AND(I691="Rename",J691=""),"type the new name",IF(AND(L691&lt;&gt;"",L691&lt;&gt;"(decide)",COUNTIF($L$2:$L$1680,L691)&gt;1),"SAME FINAL NAME AS ANOTHER ROW","")))</f>
      </c>
      <c r="N691" s="6">
        <v>0</v>
      </c>
      <c r="O691" s="6" t="s">
        <v>2</v>
      </c>
    </row>
    <row r="692" spans="1:15" x14ac:dyDescent="0.25">
      <c r="A692">
        <v>691</v>
      </c>
      <c r="B692" t="s">
        <v>353</v>
      </c>
      <c r="C692" t="s">
        <v>944</v>
      </c>
      <c r="D692" t="s">
        <v>947</v>
      </c>
      <c r="E692" t="s">
        <v>292</v>
      </c>
      <c r="F692" t="s">
        <v>2</v>
      </c>
      <c r="G692" t="s">
        <v>38</v>
      </c>
      <c r="H692" t="s">
        <v>39</v>
      </c>
      <c r="I692" s="5" t="s">
        <v>294</v>
      </c>
      <c r="J692" s="5" t="s">
        <v>2</v>
      </c>
      <c r="K692" s="5" t="s">
        <v>2</v>
      </c>
      <c r="L692" s="6">
        <f>IF(I692="Cut","",IF(I692="Your call","(decide)",IF(I692="Rename",J692,IF(I692="Keep",IF(D692="",E692,D692),IF(E692="(unchanged)",D692,E692)))))</f>
      </c>
      <c r="M692" s="6">
        <f>IF(AND(I692="Cut",N692&gt;0,K692=""),"USED: say what replaces it (Note)",IF(AND(I692="Rename",J692=""),"type the new name",IF(AND(L692&lt;&gt;"",L692&lt;&gt;"(decide)",COUNTIF($L$2:$L$1680,L692)&gt;1),"SAME FINAL NAME AS ANOTHER ROW","")))</f>
      </c>
      <c r="N692" s="6">
        <v>0</v>
      </c>
      <c r="O692" s="6" t="s">
        <v>2</v>
      </c>
    </row>
    <row r="693" spans="1:15" x14ac:dyDescent="0.25">
      <c r="A693">
        <v>692</v>
      </c>
      <c r="B693" t="s">
        <v>353</v>
      </c>
      <c r="C693" t="s">
        <v>944</v>
      </c>
      <c r="D693" t="s">
        <v>948</v>
      </c>
      <c r="E693" t="s">
        <v>292</v>
      </c>
      <c r="F693" t="s">
        <v>2</v>
      </c>
      <c r="G693" t="s">
        <v>38</v>
      </c>
      <c r="H693" t="s">
        <v>39</v>
      </c>
      <c r="I693" s="5" t="s">
        <v>294</v>
      </c>
      <c r="J693" s="5" t="s">
        <v>2</v>
      </c>
      <c r="K693" s="5" t="s">
        <v>2</v>
      </c>
      <c r="L693" s="6">
        <f>IF(I693="Cut","",IF(I693="Your call","(decide)",IF(I693="Rename",J693,IF(I693="Keep",IF(D693="",E693,D693),IF(E693="(unchanged)",D693,E693)))))</f>
      </c>
      <c r="M693" s="6">
        <f>IF(AND(I693="Cut",N693&gt;0,K693=""),"USED: say what replaces it (Note)",IF(AND(I693="Rename",J693=""),"type the new name",IF(AND(L693&lt;&gt;"",L693&lt;&gt;"(decide)",COUNTIF($L$2:$L$1680,L693)&gt;1),"SAME FINAL NAME AS ANOTHER ROW","")))</f>
      </c>
      <c r="N693" s="6">
        <v>0</v>
      </c>
      <c r="O693" s="6" t="s">
        <v>2</v>
      </c>
    </row>
    <row r="694" spans="1:15" x14ac:dyDescent="0.25">
      <c r="A694">
        <v>693</v>
      </c>
      <c r="B694" t="s">
        <v>353</v>
      </c>
      <c r="C694" t="s">
        <v>944</v>
      </c>
      <c r="D694" t="s">
        <v>949</v>
      </c>
      <c r="E694" t="s">
        <v>292</v>
      </c>
      <c r="F694" t="s">
        <v>2</v>
      </c>
      <c r="G694" t="s">
        <v>38</v>
      </c>
      <c r="H694" t="s">
        <v>39</v>
      </c>
      <c r="I694" s="5" t="s">
        <v>294</v>
      </c>
      <c r="J694" s="5" t="s">
        <v>2</v>
      </c>
      <c r="K694" s="5" t="s">
        <v>2</v>
      </c>
      <c r="L694" s="6">
        <f>IF(I694="Cut","",IF(I694="Your call","(decide)",IF(I694="Rename",J694,IF(I694="Keep",IF(D694="",E694,D694),IF(E694="(unchanged)",D694,E694)))))</f>
      </c>
      <c r="M694" s="6">
        <f>IF(AND(I694="Cut",N694&gt;0,K694=""),"USED: say what replaces it (Note)",IF(AND(I694="Rename",J694=""),"type the new name",IF(AND(L694&lt;&gt;"",L694&lt;&gt;"(decide)",COUNTIF($L$2:$L$1680,L694)&gt;1),"SAME FINAL NAME AS ANOTHER ROW","")))</f>
      </c>
      <c r="N694" s="6">
        <v>0</v>
      </c>
      <c r="O694" s="6" t="s">
        <v>2</v>
      </c>
    </row>
    <row r="695" spans="1:15" x14ac:dyDescent="0.25">
      <c r="A695">
        <v>694</v>
      </c>
      <c r="B695" t="s">
        <v>353</v>
      </c>
      <c r="C695" t="s">
        <v>944</v>
      </c>
      <c r="D695" t="s">
        <v>950</v>
      </c>
      <c r="E695" t="s">
        <v>292</v>
      </c>
      <c r="F695" t="s">
        <v>2</v>
      </c>
      <c r="G695" t="s">
        <v>94</v>
      </c>
      <c r="H695" t="s">
        <v>39</v>
      </c>
      <c r="I695" s="5" t="s">
        <v>294</v>
      </c>
      <c r="J695" s="5" t="s">
        <v>2</v>
      </c>
      <c r="K695" s="5" t="s">
        <v>2</v>
      </c>
      <c r="L695" s="6">
        <f>IF(I695="Cut","",IF(I695="Your call","(decide)",IF(I695="Rename",J695,IF(I695="Keep",IF(D695="",E695,D695),IF(E695="(unchanged)",D695,E695)))))</f>
      </c>
      <c r="M695" s="6">
        <f>IF(AND(I695="Cut",N695&gt;0,K695=""),"USED: say what replaces it (Note)",IF(AND(I695="Rename",J695=""),"type the new name",IF(AND(L695&lt;&gt;"",L695&lt;&gt;"(decide)",COUNTIF($L$2:$L$1680,L695)&gt;1),"SAME FINAL NAME AS ANOTHER ROW","")))</f>
      </c>
      <c r="N695" s="6">
        <v>1</v>
      </c>
      <c r="O695" s="6" t="s">
        <v>2</v>
      </c>
    </row>
    <row r="696" spans="1:15" x14ac:dyDescent="0.25">
      <c r="A696">
        <v>695</v>
      </c>
      <c r="B696" t="s">
        <v>353</v>
      </c>
      <c r="C696" t="s">
        <v>944</v>
      </c>
      <c r="D696" t="s">
        <v>951</v>
      </c>
      <c r="E696" t="s">
        <v>292</v>
      </c>
      <c r="F696" t="s">
        <v>2</v>
      </c>
      <c r="G696" t="s">
        <v>38</v>
      </c>
      <c r="H696" t="s">
        <v>39</v>
      </c>
      <c r="I696" s="5" t="s">
        <v>294</v>
      </c>
      <c r="J696" s="5" t="s">
        <v>2</v>
      </c>
      <c r="K696" s="5" t="s">
        <v>2</v>
      </c>
      <c r="L696" s="6">
        <f>IF(I696="Cut","",IF(I696="Your call","(decide)",IF(I696="Rename",J696,IF(I696="Keep",IF(D696="",E696,D696),IF(E696="(unchanged)",D696,E696)))))</f>
      </c>
      <c r="M696" s="6">
        <f>IF(AND(I696="Cut",N696&gt;0,K696=""),"USED: say what replaces it (Note)",IF(AND(I696="Rename",J696=""),"type the new name",IF(AND(L696&lt;&gt;"",L696&lt;&gt;"(decide)",COUNTIF($L$2:$L$1680,L696)&gt;1),"SAME FINAL NAME AS ANOTHER ROW","")))</f>
      </c>
      <c r="N696" s="6">
        <v>0</v>
      </c>
      <c r="O696" s="6" t="s">
        <v>2</v>
      </c>
    </row>
    <row r="697" spans="1:15" x14ac:dyDescent="0.25">
      <c r="A697">
        <v>696</v>
      </c>
      <c r="B697" t="s">
        <v>353</v>
      </c>
      <c r="C697" t="s">
        <v>944</v>
      </c>
      <c r="D697" t="s">
        <v>952</v>
      </c>
      <c r="E697" t="s">
        <v>292</v>
      </c>
      <c r="F697" t="s">
        <v>2</v>
      </c>
      <c r="G697" t="s">
        <v>38</v>
      </c>
      <c r="H697" t="s">
        <v>39</v>
      </c>
      <c r="I697" s="5" t="s">
        <v>294</v>
      </c>
      <c r="J697" s="5" t="s">
        <v>2</v>
      </c>
      <c r="K697" s="5" t="s">
        <v>2</v>
      </c>
      <c r="L697" s="6">
        <f>IF(I697="Cut","",IF(I697="Your call","(decide)",IF(I697="Rename",J697,IF(I697="Keep",IF(D697="",E697,D697),IF(E697="(unchanged)",D697,E697)))))</f>
      </c>
      <c r="M697" s="6">
        <f>IF(AND(I697="Cut",N697&gt;0,K697=""),"USED: say what replaces it (Note)",IF(AND(I697="Rename",J697=""),"type the new name",IF(AND(L697&lt;&gt;"",L697&lt;&gt;"(decide)",COUNTIF($L$2:$L$1680,L697)&gt;1),"SAME FINAL NAME AS ANOTHER ROW","")))</f>
      </c>
      <c r="N697" s="6">
        <v>0</v>
      </c>
      <c r="O697" s="6" t="s">
        <v>2</v>
      </c>
    </row>
    <row r="698" spans="1:15" x14ac:dyDescent="0.25">
      <c r="A698">
        <v>697</v>
      </c>
      <c r="B698" t="s">
        <v>353</v>
      </c>
      <c r="C698" t="s">
        <v>944</v>
      </c>
      <c r="D698" t="s">
        <v>953</v>
      </c>
      <c r="E698" t="s">
        <v>292</v>
      </c>
      <c r="F698" t="s">
        <v>2</v>
      </c>
      <c r="G698" t="s">
        <v>38</v>
      </c>
      <c r="H698" t="s">
        <v>39</v>
      </c>
      <c r="I698" s="5" t="s">
        <v>294</v>
      </c>
      <c r="J698" s="5" t="s">
        <v>2</v>
      </c>
      <c r="K698" s="5" t="s">
        <v>2</v>
      </c>
      <c r="L698" s="6">
        <f>IF(I698="Cut","",IF(I698="Your call","(decide)",IF(I698="Rename",J698,IF(I698="Keep",IF(D698="",E698,D698),IF(E698="(unchanged)",D698,E698)))))</f>
      </c>
      <c r="M698" s="6">
        <f>IF(AND(I698="Cut",N698&gt;0,K698=""),"USED: say what replaces it (Note)",IF(AND(I698="Rename",J698=""),"type the new name",IF(AND(L698&lt;&gt;"",L698&lt;&gt;"(decide)",COUNTIF($L$2:$L$1680,L698)&gt;1),"SAME FINAL NAME AS ANOTHER ROW","")))</f>
      </c>
      <c r="N698" s="6">
        <v>0</v>
      </c>
      <c r="O698" s="6" t="s">
        <v>2</v>
      </c>
    </row>
    <row r="699" spans="1:15" x14ac:dyDescent="0.25">
      <c r="A699">
        <v>698</v>
      </c>
      <c r="B699" t="s">
        <v>353</v>
      </c>
      <c r="C699" t="s">
        <v>954</v>
      </c>
      <c r="D699" t="s">
        <v>955</v>
      </c>
      <c r="E699" t="s">
        <v>292</v>
      </c>
      <c r="F699" t="s">
        <v>2</v>
      </c>
      <c r="G699" t="s">
        <v>94</v>
      </c>
      <c r="H699" t="s">
        <v>39</v>
      </c>
      <c r="I699" s="5" t="s">
        <v>294</v>
      </c>
      <c r="J699" s="5" t="s">
        <v>2</v>
      </c>
      <c r="K699" s="5" t="s">
        <v>2</v>
      </c>
      <c r="L699" s="6">
        <f>IF(I699="Cut","",IF(I699="Your call","(decide)",IF(I699="Rename",J699,IF(I699="Keep",IF(D699="",E699,D699),IF(E699="(unchanged)",D699,E699)))))</f>
      </c>
      <c r="M699" s="6">
        <f>IF(AND(I699="Cut",N699&gt;0,K699=""),"USED: say what replaces it (Note)",IF(AND(I699="Rename",J699=""),"type the new name",IF(AND(L699&lt;&gt;"",L699&lt;&gt;"(decide)",COUNTIF($L$2:$L$1680,L699)&gt;1),"SAME FINAL NAME AS ANOTHER ROW","")))</f>
      </c>
      <c r="N699" s="6">
        <v>1</v>
      </c>
      <c r="O699" s="6" t="s">
        <v>2</v>
      </c>
    </row>
    <row r="700" spans="1:15" x14ac:dyDescent="0.25">
      <c r="A700">
        <v>699</v>
      </c>
      <c r="B700" t="s">
        <v>353</v>
      </c>
      <c r="C700" t="s">
        <v>954</v>
      </c>
      <c r="D700" t="s">
        <v>956</v>
      </c>
      <c r="E700" t="s">
        <v>292</v>
      </c>
      <c r="F700" t="s">
        <v>2</v>
      </c>
      <c r="G700" t="s">
        <v>94</v>
      </c>
      <c r="H700" t="s">
        <v>39</v>
      </c>
      <c r="I700" s="5" t="s">
        <v>294</v>
      </c>
      <c r="J700" s="5" t="s">
        <v>2</v>
      </c>
      <c r="K700" s="5" t="s">
        <v>2</v>
      </c>
      <c r="L700" s="6">
        <f>IF(I700="Cut","",IF(I700="Your call","(decide)",IF(I700="Rename",J700,IF(I700="Keep",IF(D700="",E700,D700),IF(E700="(unchanged)",D700,E700)))))</f>
      </c>
      <c r="M700" s="6">
        <f>IF(AND(I700="Cut",N700&gt;0,K700=""),"USED: say what replaces it (Note)",IF(AND(I700="Rename",J700=""),"type the new name",IF(AND(L700&lt;&gt;"",L700&lt;&gt;"(decide)",COUNTIF($L$2:$L$1680,L700)&gt;1),"SAME FINAL NAME AS ANOTHER ROW","")))</f>
      </c>
      <c r="N700" s="6">
        <v>1</v>
      </c>
      <c r="O700" s="6" t="s">
        <v>2</v>
      </c>
    </row>
    <row r="701" spans="1:15" x14ac:dyDescent="0.25">
      <c r="A701">
        <v>700</v>
      </c>
      <c r="B701" t="s">
        <v>353</v>
      </c>
      <c r="C701" t="s">
        <v>954</v>
      </c>
      <c r="D701" t="s">
        <v>957</v>
      </c>
      <c r="E701" t="s">
        <v>292</v>
      </c>
      <c r="F701" t="s">
        <v>2</v>
      </c>
      <c r="G701" t="s">
        <v>38</v>
      </c>
      <c r="H701" t="s">
        <v>39</v>
      </c>
      <c r="I701" s="5" t="s">
        <v>294</v>
      </c>
      <c r="J701" s="5" t="s">
        <v>2</v>
      </c>
      <c r="K701" s="5" t="s">
        <v>2</v>
      </c>
      <c r="L701" s="6">
        <f>IF(I701="Cut","",IF(I701="Your call","(decide)",IF(I701="Rename",J701,IF(I701="Keep",IF(D701="",E701,D701),IF(E701="(unchanged)",D701,E701)))))</f>
      </c>
      <c r="M701" s="6">
        <f>IF(AND(I701="Cut",N701&gt;0,K701=""),"USED: say what replaces it (Note)",IF(AND(I701="Rename",J701=""),"type the new name",IF(AND(L701&lt;&gt;"",L701&lt;&gt;"(decide)",COUNTIF($L$2:$L$1680,L701)&gt;1),"SAME FINAL NAME AS ANOTHER ROW","")))</f>
      </c>
      <c r="N701" s="6">
        <v>0</v>
      </c>
      <c r="O701" s="6" t="s">
        <v>2</v>
      </c>
    </row>
    <row r="702" spans="1:15" x14ac:dyDescent="0.25">
      <c r="A702">
        <v>701</v>
      </c>
      <c r="B702" t="s">
        <v>353</v>
      </c>
      <c r="C702" t="s">
        <v>954</v>
      </c>
      <c r="D702" t="s">
        <v>958</v>
      </c>
      <c r="E702" t="s">
        <v>292</v>
      </c>
      <c r="F702" t="s">
        <v>2</v>
      </c>
      <c r="G702" t="s">
        <v>38</v>
      </c>
      <c r="H702" t="s">
        <v>39</v>
      </c>
      <c r="I702" s="5" t="s">
        <v>294</v>
      </c>
      <c r="J702" s="5" t="s">
        <v>2</v>
      </c>
      <c r="K702" s="5" t="s">
        <v>2</v>
      </c>
      <c r="L702" s="6">
        <f>IF(I702="Cut","",IF(I702="Your call","(decide)",IF(I702="Rename",J702,IF(I702="Keep",IF(D702="",E702,D702),IF(E702="(unchanged)",D702,E702)))))</f>
      </c>
      <c r="M702" s="6">
        <f>IF(AND(I702="Cut",N702&gt;0,K702=""),"USED: say what replaces it (Note)",IF(AND(I702="Rename",J702=""),"type the new name",IF(AND(L702&lt;&gt;"",L702&lt;&gt;"(decide)",COUNTIF($L$2:$L$1680,L702)&gt;1),"SAME FINAL NAME AS ANOTHER ROW","")))</f>
      </c>
      <c r="N702" s="6">
        <v>0</v>
      </c>
      <c r="O702" s="6" t="s">
        <v>2</v>
      </c>
    </row>
    <row r="703" spans="1:15" x14ac:dyDescent="0.25">
      <c r="A703">
        <v>702</v>
      </c>
      <c r="B703" t="s">
        <v>353</v>
      </c>
      <c r="C703" t="s">
        <v>954</v>
      </c>
      <c r="D703" t="s">
        <v>959</v>
      </c>
      <c r="E703" t="s">
        <v>292</v>
      </c>
      <c r="F703" t="s">
        <v>2</v>
      </c>
      <c r="G703" t="s">
        <v>38</v>
      </c>
      <c r="H703" t="s">
        <v>39</v>
      </c>
      <c r="I703" s="5" t="s">
        <v>294</v>
      </c>
      <c r="J703" s="5" t="s">
        <v>2</v>
      </c>
      <c r="K703" s="5" t="s">
        <v>2</v>
      </c>
      <c r="L703" s="6">
        <f>IF(I703="Cut","",IF(I703="Your call","(decide)",IF(I703="Rename",J703,IF(I703="Keep",IF(D703="",E703,D703),IF(E703="(unchanged)",D703,E703)))))</f>
      </c>
      <c r="M703" s="6">
        <f>IF(AND(I703="Cut",N703&gt;0,K703=""),"USED: say what replaces it (Note)",IF(AND(I703="Rename",J703=""),"type the new name",IF(AND(L703&lt;&gt;"",L703&lt;&gt;"(decide)",COUNTIF($L$2:$L$1680,L703)&gt;1),"SAME FINAL NAME AS ANOTHER ROW","")))</f>
      </c>
      <c r="N703" s="6">
        <v>0</v>
      </c>
      <c r="O703" s="6" t="s">
        <v>2</v>
      </c>
    </row>
    <row r="704" spans="1:15" x14ac:dyDescent="0.25">
      <c r="A704">
        <v>703</v>
      </c>
      <c r="B704" t="s">
        <v>353</v>
      </c>
      <c r="C704" t="s">
        <v>954</v>
      </c>
      <c r="D704" t="s">
        <v>960</v>
      </c>
      <c r="E704" t="s">
        <v>292</v>
      </c>
      <c r="F704" t="s">
        <v>2</v>
      </c>
      <c r="G704" t="s">
        <v>94</v>
      </c>
      <c r="H704" t="s">
        <v>39</v>
      </c>
      <c r="I704" s="5" t="s">
        <v>294</v>
      </c>
      <c r="J704" s="5" t="s">
        <v>2</v>
      </c>
      <c r="K704" s="5" t="s">
        <v>2</v>
      </c>
      <c r="L704" s="6">
        <f>IF(I704="Cut","",IF(I704="Your call","(decide)",IF(I704="Rename",J704,IF(I704="Keep",IF(D704="",E704,D704),IF(E704="(unchanged)",D704,E704)))))</f>
      </c>
      <c r="M704" s="6">
        <f>IF(AND(I704="Cut",N704&gt;0,K704=""),"USED: say what replaces it (Note)",IF(AND(I704="Rename",J704=""),"type the new name",IF(AND(L704&lt;&gt;"",L704&lt;&gt;"(decide)",COUNTIF($L$2:$L$1680,L704)&gt;1),"SAME FINAL NAME AS ANOTHER ROW","")))</f>
      </c>
      <c r="N704" s="6">
        <v>1</v>
      </c>
      <c r="O704" s="6" t="s">
        <v>2</v>
      </c>
    </row>
    <row r="705" spans="1:15" x14ac:dyDescent="0.25">
      <c r="A705">
        <v>704</v>
      </c>
      <c r="B705" t="s">
        <v>353</v>
      </c>
      <c r="C705" t="s">
        <v>954</v>
      </c>
      <c r="D705" t="s">
        <v>961</v>
      </c>
      <c r="E705" t="s">
        <v>292</v>
      </c>
      <c r="F705" t="s">
        <v>2</v>
      </c>
      <c r="G705" t="s">
        <v>38</v>
      </c>
      <c r="H705" t="s">
        <v>39</v>
      </c>
      <c r="I705" s="5" t="s">
        <v>294</v>
      </c>
      <c r="J705" s="5" t="s">
        <v>2</v>
      </c>
      <c r="K705" s="5" t="s">
        <v>2</v>
      </c>
      <c r="L705" s="6">
        <f>IF(I705="Cut","",IF(I705="Your call","(decide)",IF(I705="Rename",J705,IF(I705="Keep",IF(D705="",E705,D705),IF(E705="(unchanged)",D705,E705)))))</f>
      </c>
      <c r="M705" s="6">
        <f>IF(AND(I705="Cut",N705&gt;0,K705=""),"USED: say what replaces it (Note)",IF(AND(I705="Rename",J705=""),"type the new name",IF(AND(L705&lt;&gt;"",L705&lt;&gt;"(decide)",COUNTIF($L$2:$L$1680,L705)&gt;1),"SAME FINAL NAME AS ANOTHER ROW","")))</f>
      </c>
      <c r="N705" s="6">
        <v>0</v>
      </c>
      <c r="O705" s="6" t="s">
        <v>2</v>
      </c>
    </row>
    <row r="706" spans="1:15" x14ac:dyDescent="0.25">
      <c r="A706">
        <v>705</v>
      </c>
      <c r="B706" t="s">
        <v>353</v>
      </c>
      <c r="C706" t="s">
        <v>954</v>
      </c>
      <c r="D706" t="s">
        <v>962</v>
      </c>
      <c r="E706" t="s">
        <v>292</v>
      </c>
      <c r="F706" t="s">
        <v>2</v>
      </c>
      <c r="G706" t="s">
        <v>38</v>
      </c>
      <c r="H706" t="s">
        <v>39</v>
      </c>
      <c r="I706" s="5" t="s">
        <v>294</v>
      </c>
      <c r="J706" s="5" t="s">
        <v>2</v>
      </c>
      <c r="K706" s="5" t="s">
        <v>2</v>
      </c>
      <c r="L706" s="6">
        <f>IF(I706="Cut","",IF(I706="Your call","(decide)",IF(I706="Rename",J706,IF(I706="Keep",IF(D706="",E706,D706),IF(E706="(unchanged)",D706,E706)))))</f>
      </c>
      <c r="M706" s="6">
        <f>IF(AND(I706="Cut",N706&gt;0,K706=""),"USED: say what replaces it (Note)",IF(AND(I706="Rename",J706=""),"type the new name",IF(AND(L706&lt;&gt;"",L706&lt;&gt;"(decide)",COUNTIF($L$2:$L$1680,L706)&gt;1),"SAME FINAL NAME AS ANOTHER ROW","")))</f>
      </c>
      <c r="N706" s="6">
        <v>0</v>
      </c>
      <c r="O706" s="6" t="s">
        <v>2</v>
      </c>
    </row>
    <row r="707" spans="1:15" x14ac:dyDescent="0.25">
      <c r="A707">
        <v>706</v>
      </c>
      <c r="B707" t="s">
        <v>353</v>
      </c>
      <c r="C707" t="s">
        <v>954</v>
      </c>
      <c r="D707" t="s">
        <v>963</v>
      </c>
      <c r="E707" t="s">
        <v>292</v>
      </c>
      <c r="F707" t="s">
        <v>2</v>
      </c>
      <c r="G707" t="s">
        <v>38</v>
      </c>
      <c r="H707" t="s">
        <v>39</v>
      </c>
      <c r="I707" s="5" t="s">
        <v>294</v>
      </c>
      <c r="J707" s="5" t="s">
        <v>2</v>
      </c>
      <c r="K707" s="5" t="s">
        <v>2</v>
      </c>
      <c r="L707" s="6">
        <f>IF(I707="Cut","",IF(I707="Your call","(decide)",IF(I707="Rename",J707,IF(I707="Keep",IF(D707="",E707,D707),IF(E707="(unchanged)",D707,E707)))))</f>
      </c>
      <c r="M707" s="6">
        <f>IF(AND(I707="Cut",N707&gt;0,K707=""),"USED: say what replaces it (Note)",IF(AND(I707="Rename",J707=""),"type the new name",IF(AND(L707&lt;&gt;"",L707&lt;&gt;"(decide)",COUNTIF($L$2:$L$1680,L707)&gt;1),"SAME FINAL NAME AS ANOTHER ROW","")))</f>
      </c>
      <c r="N707" s="6">
        <v>0</v>
      </c>
      <c r="O707" s="6" t="s">
        <v>2</v>
      </c>
    </row>
    <row r="708" spans="1:15" x14ac:dyDescent="0.25">
      <c r="A708">
        <v>707</v>
      </c>
      <c r="B708" t="s">
        <v>353</v>
      </c>
      <c r="C708" t="s">
        <v>964</v>
      </c>
      <c r="D708" t="s">
        <v>965</v>
      </c>
      <c r="E708" t="s">
        <v>292</v>
      </c>
      <c r="F708" t="s">
        <v>2</v>
      </c>
      <c r="G708" t="s">
        <v>94</v>
      </c>
      <c r="H708" t="s">
        <v>39</v>
      </c>
      <c r="I708" s="5" t="s">
        <v>294</v>
      </c>
      <c r="J708" s="5" t="s">
        <v>2</v>
      </c>
      <c r="K708" s="5" t="s">
        <v>2</v>
      </c>
      <c r="L708" s="6">
        <f>IF(I708="Cut","",IF(I708="Your call","(decide)",IF(I708="Rename",J708,IF(I708="Keep",IF(D708="",E708,D708),IF(E708="(unchanged)",D708,E708)))))</f>
      </c>
      <c r="M708" s="6">
        <f>IF(AND(I708="Cut",N708&gt;0,K708=""),"USED: say what replaces it (Note)",IF(AND(I708="Rename",J708=""),"type the new name",IF(AND(L708&lt;&gt;"",L708&lt;&gt;"(decide)",COUNTIF($L$2:$L$1680,L708)&gt;1),"SAME FINAL NAME AS ANOTHER ROW","")))</f>
      </c>
      <c r="N708" s="6">
        <v>1</v>
      </c>
      <c r="O708" s="6" t="s">
        <v>2</v>
      </c>
    </row>
    <row r="709" spans="1:15" x14ac:dyDescent="0.25">
      <c r="A709">
        <v>708</v>
      </c>
      <c r="B709" t="s">
        <v>353</v>
      </c>
      <c r="C709" t="s">
        <v>966</v>
      </c>
      <c r="D709" t="s">
        <v>967</v>
      </c>
      <c r="E709" t="s">
        <v>292</v>
      </c>
      <c r="F709" t="s">
        <v>2</v>
      </c>
      <c r="G709" t="s">
        <v>38</v>
      </c>
      <c r="H709" t="s">
        <v>39</v>
      </c>
      <c r="I709" s="5" t="s">
        <v>294</v>
      </c>
      <c r="J709" s="5" t="s">
        <v>2</v>
      </c>
      <c r="K709" s="5" t="s">
        <v>2</v>
      </c>
      <c r="L709" s="6">
        <f>IF(I709="Cut","",IF(I709="Your call","(decide)",IF(I709="Rename",J709,IF(I709="Keep",IF(D709="",E709,D709),IF(E709="(unchanged)",D709,E709)))))</f>
      </c>
      <c r="M709" s="6">
        <f>IF(AND(I709="Cut",N709&gt;0,K709=""),"USED: say what replaces it (Note)",IF(AND(I709="Rename",J709=""),"type the new name",IF(AND(L709&lt;&gt;"",L709&lt;&gt;"(decide)",COUNTIF($L$2:$L$1680,L709)&gt;1),"SAME FINAL NAME AS ANOTHER ROW","")))</f>
      </c>
      <c r="N709" s="6">
        <v>0</v>
      </c>
      <c r="O709" s="6" t="s">
        <v>2</v>
      </c>
    </row>
    <row r="710" spans="1:15" x14ac:dyDescent="0.25">
      <c r="A710">
        <v>709</v>
      </c>
      <c r="B710" t="s">
        <v>353</v>
      </c>
      <c r="C710" t="s">
        <v>966</v>
      </c>
      <c r="D710" t="s">
        <v>968</v>
      </c>
      <c r="E710" t="s">
        <v>292</v>
      </c>
      <c r="F710" t="s">
        <v>2</v>
      </c>
      <c r="G710" t="s">
        <v>38</v>
      </c>
      <c r="H710" t="s">
        <v>39</v>
      </c>
      <c r="I710" s="5" t="s">
        <v>294</v>
      </c>
      <c r="J710" s="5" t="s">
        <v>2</v>
      </c>
      <c r="K710" s="5" t="s">
        <v>2</v>
      </c>
      <c r="L710" s="6">
        <f>IF(I710="Cut","",IF(I710="Your call","(decide)",IF(I710="Rename",J710,IF(I710="Keep",IF(D710="",E710,D710),IF(E710="(unchanged)",D710,E710)))))</f>
      </c>
      <c r="M710" s="6">
        <f>IF(AND(I710="Cut",N710&gt;0,K710=""),"USED: say what replaces it (Note)",IF(AND(I710="Rename",J710=""),"type the new name",IF(AND(L710&lt;&gt;"",L710&lt;&gt;"(decide)",COUNTIF($L$2:$L$1680,L710)&gt;1),"SAME FINAL NAME AS ANOTHER ROW","")))</f>
      </c>
      <c r="N710" s="6">
        <v>0</v>
      </c>
      <c r="O710" s="6" t="s">
        <v>2</v>
      </c>
    </row>
    <row r="711" spans="1:15" x14ac:dyDescent="0.25">
      <c r="A711">
        <v>710</v>
      </c>
      <c r="B711" t="s">
        <v>353</v>
      </c>
      <c r="C711" t="s">
        <v>966</v>
      </c>
      <c r="D711" t="s">
        <v>969</v>
      </c>
      <c r="E711" t="s">
        <v>292</v>
      </c>
      <c r="F711" t="s">
        <v>2</v>
      </c>
      <c r="G711" t="s">
        <v>38</v>
      </c>
      <c r="H711" t="s">
        <v>39</v>
      </c>
      <c r="I711" s="5" t="s">
        <v>294</v>
      </c>
      <c r="J711" s="5" t="s">
        <v>2</v>
      </c>
      <c r="K711" s="5" t="s">
        <v>2</v>
      </c>
      <c r="L711" s="6">
        <f>IF(I711="Cut","",IF(I711="Your call","(decide)",IF(I711="Rename",J711,IF(I711="Keep",IF(D711="",E711,D711),IF(E711="(unchanged)",D711,E711)))))</f>
      </c>
      <c r="M711" s="6">
        <f>IF(AND(I711="Cut",N711&gt;0,K711=""),"USED: say what replaces it (Note)",IF(AND(I711="Rename",J711=""),"type the new name",IF(AND(L711&lt;&gt;"",L711&lt;&gt;"(decide)",COUNTIF($L$2:$L$1680,L711)&gt;1),"SAME FINAL NAME AS ANOTHER ROW","")))</f>
      </c>
      <c r="N711" s="6">
        <v>0</v>
      </c>
      <c r="O711" s="6" t="s">
        <v>2</v>
      </c>
    </row>
    <row r="712" spans="1:15" x14ac:dyDescent="0.25">
      <c r="A712">
        <v>711</v>
      </c>
      <c r="B712" t="s">
        <v>353</v>
      </c>
      <c r="C712" t="s">
        <v>966</v>
      </c>
      <c r="D712" t="s">
        <v>970</v>
      </c>
      <c r="E712" t="s">
        <v>292</v>
      </c>
      <c r="F712" t="s">
        <v>2</v>
      </c>
      <c r="G712" t="s">
        <v>94</v>
      </c>
      <c r="H712" t="s">
        <v>39</v>
      </c>
      <c r="I712" s="5" t="s">
        <v>294</v>
      </c>
      <c r="J712" s="5" t="s">
        <v>2</v>
      </c>
      <c r="K712" s="5" t="s">
        <v>2</v>
      </c>
      <c r="L712" s="6">
        <f>IF(I712="Cut","",IF(I712="Your call","(decide)",IF(I712="Rename",J712,IF(I712="Keep",IF(D712="",E712,D712),IF(E712="(unchanged)",D712,E712)))))</f>
      </c>
      <c r="M712" s="6">
        <f>IF(AND(I712="Cut",N712&gt;0,K712=""),"USED: say what replaces it (Note)",IF(AND(I712="Rename",J712=""),"type the new name",IF(AND(L712&lt;&gt;"",L712&lt;&gt;"(decide)",COUNTIF($L$2:$L$1680,L712)&gt;1),"SAME FINAL NAME AS ANOTHER ROW","")))</f>
      </c>
      <c r="N712" s="6">
        <v>1</v>
      </c>
      <c r="O712" s="6" t="s">
        <v>2</v>
      </c>
    </row>
    <row r="713" spans="1:15" x14ac:dyDescent="0.25">
      <c r="A713">
        <v>712</v>
      </c>
      <c r="B713" t="s">
        <v>353</v>
      </c>
      <c r="C713" t="s">
        <v>966</v>
      </c>
      <c r="D713" t="s">
        <v>971</v>
      </c>
      <c r="E713" t="s">
        <v>292</v>
      </c>
      <c r="F713" t="s">
        <v>2</v>
      </c>
      <c r="G713" t="s">
        <v>38</v>
      </c>
      <c r="H713" t="s">
        <v>39</v>
      </c>
      <c r="I713" s="5" t="s">
        <v>294</v>
      </c>
      <c r="J713" s="5" t="s">
        <v>2</v>
      </c>
      <c r="K713" s="5" t="s">
        <v>2</v>
      </c>
      <c r="L713" s="6">
        <f>IF(I713="Cut","",IF(I713="Your call","(decide)",IF(I713="Rename",J713,IF(I713="Keep",IF(D713="",E713,D713),IF(E713="(unchanged)",D713,E713)))))</f>
      </c>
      <c r="M713" s="6">
        <f>IF(AND(I713="Cut",N713&gt;0,K713=""),"USED: say what replaces it (Note)",IF(AND(I713="Rename",J713=""),"type the new name",IF(AND(L713&lt;&gt;"",L713&lt;&gt;"(decide)",COUNTIF($L$2:$L$1680,L713)&gt;1),"SAME FINAL NAME AS ANOTHER ROW","")))</f>
      </c>
      <c r="N713" s="6">
        <v>0</v>
      </c>
      <c r="O713" s="6" t="s">
        <v>2</v>
      </c>
    </row>
    <row r="714" spans="1:15" x14ac:dyDescent="0.25">
      <c r="A714">
        <v>713</v>
      </c>
      <c r="B714" t="s">
        <v>353</v>
      </c>
      <c r="C714" t="s">
        <v>966</v>
      </c>
      <c r="D714" t="s">
        <v>972</v>
      </c>
      <c r="E714" t="s">
        <v>292</v>
      </c>
      <c r="F714" t="s">
        <v>2</v>
      </c>
      <c r="G714" t="s">
        <v>38</v>
      </c>
      <c r="H714" t="s">
        <v>39</v>
      </c>
      <c r="I714" s="5" t="s">
        <v>294</v>
      </c>
      <c r="J714" s="5" t="s">
        <v>2</v>
      </c>
      <c r="K714" s="5" t="s">
        <v>2</v>
      </c>
      <c r="L714" s="6">
        <f>IF(I714="Cut","",IF(I714="Your call","(decide)",IF(I714="Rename",J714,IF(I714="Keep",IF(D714="",E714,D714),IF(E714="(unchanged)",D714,E714)))))</f>
      </c>
      <c r="M714" s="6">
        <f>IF(AND(I714="Cut",N714&gt;0,K714=""),"USED: say what replaces it (Note)",IF(AND(I714="Rename",J714=""),"type the new name",IF(AND(L714&lt;&gt;"",L714&lt;&gt;"(decide)",COUNTIF($L$2:$L$1680,L714)&gt;1),"SAME FINAL NAME AS ANOTHER ROW","")))</f>
      </c>
      <c r="N714" s="6">
        <v>0</v>
      </c>
      <c r="O714" s="6" t="s">
        <v>2</v>
      </c>
    </row>
    <row r="715" spans="1:15" x14ac:dyDescent="0.25">
      <c r="A715">
        <v>714</v>
      </c>
      <c r="B715" t="s">
        <v>353</v>
      </c>
      <c r="C715" t="s">
        <v>966</v>
      </c>
      <c r="D715" t="s">
        <v>973</v>
      </c>
      <c r="E715" t="s">
        <v>292</v>
      </c>
      <c r="F715" t="s">
        <v>2</v>
      </c>
      <c r="G715" t="s">
        <v>38</v>
      </c>
      <c r="H715" t="s">
        <v>39</v>
      </c>
      <c r="I715" s="5" t="s">
        <v>294</v>
      </c>
      <c r="J715" s="5" t="s">
        <v>2</v>
      </c>
      <c r="K715" s="5" t="s">
        <v>2</v>
      </c>
      <c r="L715" s="6">
        <f>IF(I715="Cut","",IF(I715="Your call","(decide)",IF(I715="Rename",J715,IF(I715="Keep",IF(D715="",E715,D715),IF(E715="(unchanged)",D715,E715)))))</f>
      </c>
      <c r="M715" s="6">
        <f>IF(AND(I715="Cut",N715&gt;0,K715=""),"USED: say what replaces it (Note)",IF(AND(I715="Rename",J715=""),"type the new name",IF(AND(L715&lt;&gt;"",L715&lt;&gt;"(decide)",COUNTIF($L$2:$L$1680,L715)&gt;1),"SAME FINAL NAME AS ANOTHER ROW","")))</f>
      </c>
      <c r="N715" s="6">
        <v>0</v>
      </c>
      <c r="O715" s="6" t="s">
        <v>2</v>
      </c>
    </row>
    <row r="716" spans="1:15" x14ac:dyDescent="0.25">
      <c r="A716">
        <v>715</v>
      </c>
      <c r="B716" t="s">
        <v>353</v>
      </c>
      <c r="C716" t="s">
        <v>974</v>
      </c>
      <c r="D716" t="s">
        <v>975</v>
      </c>
      <c r="E716" t="s">
        <v>292</v>
      </c>
      <c r="F716" t="s">
        <v>2</v>
      </c>
      <c r="G716" t="s">
        <v>38</v>
      </c>
      <c r="H716" t="s">
        <v>39</v>
      </c>
      <c r="I716" s="5" t="s">
        <v>294</v>
      </c>
      <c r="J716" s="5" t="s">
        <v>2</v>
      </c>
      <c r="K716" s="5" t="s">
        <v>2</v>
      </c>
      <c r="L716" s="6">
        <f>IF(I716="Cut","",IF(I716="Your call","(decide)",IF(I716="Rename",J716,IF(I716="Keep",IF(D716="",E716,D716),IF(E716="(unchanged)",D716,E716)))))</f>
      </c>
      <c r="M716" s="6">
        <f>IF(AND(I716="Cut",N716&gt;0,K716=""),"USED: say what replaces it (Note)",IF(AND(I716="Rename",J716=""),"type the new name",IF(AND(L716&lt;&gt;"",L716&lt;&gt;"(decide)",COUNTIF($L$2:$L$1680,L716)&gt;1),"SAME FINAL NAME AS ANOTHER ROW","")))</f>
      </c>
      <c r="N716" s="6">
        <v>0</v>
      </c>
      <c r="O716" s="6" t="s">
        <v>2</v>
      </c>
    </row>
    <row r="717" spans="1:15" x14ac:dyDescent="0.25">
      <c r="A717">
        <v>716</v>
      </c>
      <c r="B717" t="s">
        <v>353</v>
      </c>
      <c r="C717" t="s">
        <v>974</v>
      </c>
      <c r="D717" t="s">
        <v>976</v>
      </c>
      <c r="E717" t="s">
        <v>292</v>
      </c>
      <c r="F717" t="s">
        <v>2</v>
      </c>
      <c r="G717" t="s">
        <v>38</v>
      </c>
      <c r="H717" t="s">
        <v>39</v>
      </c>
      <c r="I717" s="5" t="s">
        <v>294</v>
      </c>
      <c r="J717" s="5" t="s">
        <v>2</v>
      </c>
      <c r="K717" s="5" t="s">
        <v>2</v>
      </c>
      <c r="L717" s="6">
        <f>IF(I717="Cut","",IF(I717="Your call","(decide)",IF(I717="Rename",J717,IF(I717="Keep",IF(D717="",E717,D717),IF(E717="(unchanged)",D717,E717)))))</f>
      </c>
      <c r="M717" s="6">
        <f>IF(AND(I717="Cut",N717&gt;0,K717=""),"USED: say what replaces it (Note)",IF(AND(I717="Rename",J717=""),"type the new name",IF(AND(L717&lt;&gt;"",L717&lt;&gt;"(decide)",COUNTIF($L$2:$L$1680,L717)&gt;1),"SAME FINAL NAME AS ANOTHER ROW","")))</f>
      </c>
      <c r="N717" s="6">
        <v>0</v>
      </c>
      <c r="O717" s="6" t="s">
        <v>2</v>
      </c>
    </row>
    <row r="718" spans="1:15" x14ac:dyDescent="0.25">
      <c r="A718">
        <v>717</v>
      </c>
      <c r="B718" t="s">
        <v>353</v>
      </c>
      <c r="C718" t="s">
        <v>974</v>
      </c>
      <c r="D718" t="s">
        <v>977</v>
      </c>
      <c r="E718" t="s">
        <v>292</v>
      </c>
      <c r="F718" t="s">
        <v>2</v>
      </c>
      <c r="G718" t="s">
        <v>38</v>
      </c>
      <c r="H718" t="s">
        <v>39</v>
      </c>
      <c r="I718" s="5" t="s">
        <v>294</v>
      </c>
      <c r="J718" s="5" t="s">
        <v>2</v>
      </c>
      <c r="K718" s="5" t="s">
        <v>2</v>
      </c>
      <c r="L718" s="6">
        <f>IF(I718="Cut","",IF(I718="Your call","(decide)",IF(I718="Rename",J718,IF(I718="Keep",IF(D718="",E718,D718),IF(E718="(unchanged)",D718,E718)))))</f>
      </c>
      <c r="M718" s="6">
        <f>IF(AND(I718="Cut",N718&gt;0,K718=""),"USED: say what replaces it (Note)",IF(AND(I718="Rename",J718=""),"type the new name",IF(AND(L718&lt;&gt;"",L718&lt;&gt;"(decide)",COUNTIF($L$2:$L$1680,L718)&gt;1),"SAME FINAL NAME AS ANOTHER ROW","")))</f>
      </c>
      <c r="N718" s="6">
        <v>0</v>
      </c>
      <c r="O718" s="6" t="s">
        <v>2</v>
      </c>
    </row>
    <row r="719" spans="1:15" x14ac:dyDescent="0.25">
      <c r="A719">
        <v>718</v>
      </c>
      <c r="B719" t="s">
        <v>353</v>
      </c>
      <c r="C719" t="s">
        <v>974</v>
      </c>
      <c r="D719" t="s">
        <v>978</v>
      </c>
      <c r="E719" t="s">
        <v>292</v>
      </c>
      <c r="F719" t="s">
        <v>2</v>
      </c>
      <c r="G719" t="s">
        <v>38</v>
      </c>
      <c r="H719" t="s">
        <v>39</v>
      </c>
      <c r="I719" s="5" t="s">
        <v>294</v>
      </c>
      <c r="J719" s="5" t="s">
        <v>2</v>
      </c>
      <c r="K719" s="5" t="s">
        <v>2</v>
      </c>
      <c r="L719" s="6">
        <f>IF(I719="Cut","",IF(I719="Your call","(decide)",IF(I719="Rename",J719,IF(I719="Keep",IF(D719="",E719,D719),IF(E719="(unchanged)",D719,E719)))))</f>
      </c>
      <c r="M719" s="6">
        <f>IF(AND(I719="Cut",N719&gt;0,K719=""),"USED: say what replaces it (Note)",IF(AND(I719="Rename",J719=""),"type the new name",IF(AND(L719&lt;&gt;"",L719&lt;&gt;"(decide)",COUNTIF($L$2:$L$1680,L719)&gt;1),"SAME FINAL NAME AS ANOTHER ROW","")))</f>
      </c>
      <c r="N719" s="6">
        <v>0</v>
      </c>
      <c r="O719" s="6" t="s">
        <v>2</v>
      </c>
    </row>
    <row r="720" spans="1:15" x14ac:dyDescent="0.25">
      <c r="A720">
        <v>719</v>
      </c>
      <c r="B720" t="s">
        <v>353</v>
      </c>
      <c r="C720" t="s">
        <v>974</v>
      </c>
      <c r="D720" t="s">
        <v>979</v>
      </c>
      <c r="E720" t="s">
        <v>292</v>
      </c>
      <c r="F720" t="s">
        <v>2</v>
      </c>
      <c r="G720" t="s">
        <v>38</v>
      </c>
      <c r="H720" t="s">
        <v>39</v>
      </c>
      <c r="I720" s="5" t="s">
        <v>294</v>
      </c>
      <c r="J720" s="5" t="s">
        <v>2</v>
      </c>
      <c r="K720" s="5" t="s">
        <v>2</v>
      </c>
      <c r="L720" s="6">
        <f>IF(I720="Cut","",IF(I720="Your call","(decide)",IF(I720="Rename",J720,IF(I720="Keep",IF(D720="",E720,D720),IF(E720="(unchanged)",D720,E720)))))</f>
      </c>
      <c r="M720" s="6">
        <f>IF(AND(I720="Cut",N720&gt;0,K720=""),"USED: say what replaces it (Note)",IF(AND(I720="Rename",J720=""),"type the new name",IF(AND(L720&lt;&gt;"",L720&lt;&gt;"(decide)",COUNTIF($L$2:$L$1680,L720)&gt;1),"SAME FINAL NAME AS ANOTHER ROW","")))</f>
      </c>
      <c r="N720" s="6">
        <v>0</v>
      </c>
      <c r="O720" s="6" t="s">
        <v>2</v>
      </c>
    </row>
    <row r="721" spans="1:15" x14ac:dyDescent="0.25">
      <c r="A721">
        <v>720</v>
      </c>
      <c r="B721" t="s">
        <v>353</v>
      </c>
      <c r="C721" t="s">
        <v>974</v>
      </c>
      <c r="D721" t="s">
        <v>980</v>
      </c>
      <c r="E721" t="s">
        <v>292</v>
      </c>
      <c r="F721" t="s">
        <v>2</v>
      </c>
      <c r="G721" t="s">
        <v>38</v>
      </c>
      <c r="H721" t="s">
        <v>39</v>
      </c>
      <c r="I721" s="5" t="s">
        <v>294</v>
      </c>
      <c r="J721" s="5" t="s">
        <v>2</v>
      </c>
      <c r="K721" s="5" t="s">
        <v>2</v>
      </c>
      <c r="L721" s="6">
        <f>IF(I721="Cut","",IF(I721="Your call","(decide)",IF(I721="Rename",J721,IF(I721="Keep",IF(D721="",E721,D721),IF(E721="(unchanged)",D721,E721)))))</f>
      </c>
      <c r="M721" s="6">
        <f>IF(AND(I721="Cut",N721&gt;0,K721=""),"USED: say what replaces it (Note)",IF(AND(I721="Rename",J721=""),"type the new name",IF(AND(L721&lt;&gt;"",L721&lt;&gt;"(decide)",COUNTIF($L$2:$L$1680,L721)&gt;1),"SAME FINAL NAME AS ANOTHER ROW","")))</f>
      </c>
      <c r="N721" s="6">
        <v>0</v>
      </c>
      <c r="O721" s="6" t="s">
        <v>2</v>
      </c>
    </row>
    <row r="722" spans="1:15" x14ac:dyDescent="0.25">
      <c r="A722">
        <v>721</v>
      </c>
      <c r="B722" t="s">
        <v>353</v>
      </c>
      <c r="C722" t="s">
        <v>974</v>
      </c>
      <c r="D722" t="s">
        <v>981</v>
      </c>
      <c r="E722" t="s">
        <v>292</v>
      </c>
      <c r="F722" t="s">
        <v>2</v>
      </c>
      <c r="G722" t="s">
        <v>38</v>
      </c>
      <c r="H722" t="s">
        <v>39</v>
      </c>
      <c r="I722" s="5" t="s">
        <v>294</v>
      </c>
      <c r="J722" s="5" t="s">
        <v>2</v>
      </c>
      <c r="K722" s="5" t="s">
        <v>2</v>
      </c>
      <c r="L722" s="6">
        <f>IF(I722="Cut","",IF(I722="Your call","(decide)",IF(I722="Rename",J722,IF(I722="Keep",IF(D722="",E722,D722),IF(E722="(unchanged)",D722,E722)))))</f>
      </c>
      <c r="M722" s="6">
        <f>IF(AND(I722="Cut",N722&gt;0,K722=""),"USED: say what replaces it (Note)",IF(AND(I722="Rename",J722=""),"type the new name",IF(AND(L722&lt;&gt;"",L722&lt;&gt;"(decide)",COUNTIF($L$2:$L$1680,L722)&gt;1),"SAME FINAL NAME AS ANOTHER ROW","")))</f>
      </c>
      <c r="N722" s="6">
        <v>0</v>
      </c>
      <c r="O722" s="6" t="s">
        <v>2</v>
      </c>
    </row>
    <row r="723" spans="1:15" x14ac:dyDescent="0.25">
      <c r="A723">
        <v>722</v>
      </c>
      <c r="B723" t="s">
        <v>353</v>
      </c>
      <c r="C723" t="s">
        <v>974</v>
      </c>
      <c r="D723" t="s">
        <v>982</v>
      </c>
      <c r="E723" t="s">
        <v>292</v>
      </c>
      <c r="F723" t="s">
        <v>2</v>
      </c>
      <c r="G723" t="s">
        <v>38</v>
      </c>
      <c r="H723" t="s">
        <v>39</v>
      </c>
      <c r="I723" s="5" t="s">
        <v>294</v>
      </c>
      <c r="J723" s="5" t="s">
        <v>2</v>
      </c>
      <c r="K723" s="5" t="s">
        <v>2</v>
      </c>
      <c r="L723" s="6">
        <f>IF(I723="Cut","",IF(I723="Your call","(decide)",IF(I723="Rename",J723,IF(I723="Keep",IF(D723="",E723,D723),IF(E723="(unchanged)",D723,E723)))))</f>
      </c>
      <c r="M723" s="6">
        <f>IF(AND(I723="Cut",N723&gt;0,K723=""),"USED: say what replaces it (Note)",IF(AND(I723="Rename",J723=""),"type the new name",IF(AND(L723&lt;&gt;"",L723&lt;&gt;"(decide)",COUNTIF($L$2:$L$1680,L723)&gt;1),"SAME FINAL NAME AS ANOTHER ROW","")))</f>
      </c>
      <c r="N723" s="6">
        <v>0</v>
      </c>
      <c r="O723" s="6" t="s">
        <v>2</v>
      </c>
    </row>
    <row r="724" spans="1:15" x14ac:dyDescent="0.25">
      <c r="A724">
        <v>723</v>
      </c>
      <c r="B724" t="s">
        <v>353</v>
      </c>
      <c r="C724" t="s">
        <v>974</v>
      </c>
      <c r="D724" t="s">
        <v>983</v>
      </c>
      <c r="E724" t="s">
        <v>292</v>
      </c>
      <c r="F724" t="s">
        <v>2</v>
      </c>
      <c r="G724" t="s">
        <v>38</v>
      </c>
      <c r="H724" t="s">
        <v>39</v>
      </c>
      <c r="I724" s="5" t="s">
        <v>294</v>
      </c>
      <c r="J724" s="5" t="s">
        <v>2</v>
      </c>
      <c r="K724" s="5" t="s">
        <v>2</v>
      </c>
      <c r="L724" s="6">
        <f>IF(I724="Cut","",IF(I724="Your call","(decide)",IF(I724="Rename",J724,IF(I724="Keep",IF(D724="",E724,D724),IF(E724="(unchanged)",D724,E724)))))</f>
      </c>
      <c r="M724" s="6">
        <f>IF(AND(I724="Cut",N724&gt;0,K724=""),"USED: say what replaces it (Note)",IF(AND(I724="Rename",J724=""),"type the new name",IF(AND(L724&lt;&gt;"",L724&lt;&gt;"(decide)",COUNTIF($L$2:$L$1680,L724)&gt;1),"SAME FINAL NAME AS ANOTHER ROW","")))</f>
      </c>
      <c r="N724" s="6">
        <v>0</v>
      </c>
      <c r="O724" s="6" t="s">
        <v>2</v>
      </c>
    </row>
    <row r="725" spans="1:15" x14ac:dyDescent="0.25">
      <c r="A725">
        <v>724</v>
      </c>
      <c r="B725" t="s">
        <v>353</v>
      </c>
      <c r="C725" t="s">
        <v>984</v>
      </c>
      <c r="D725" t="s">
        <v>985</v>
      </c>
      <c r="E725" t="s">
        <v>292</v>
      </c>
      <c r="F725" t="s">
        <v>2</v>
      </c>
      <c r="G725" t="s">
        <v>38</v>
      </c>
      <c r="H725" t="s">
        <v>39</v>
      </c>
      <c r="I725" s="5" t="s">
        <v>294</v>
      </c>
      <c r="J725" s="5" t="s">
        <v>2</v>
      </c>
      <c r="K725" s="5" t="s">
        <v>2</v>
      </c>
      <c r="L725" s="6">
        <f>IF(I725="Cut","",IF(I725="Your call","(decide)",IF(I725="Rename",J725,IF(I725="Keep",IF(D725="",E725,D725),IF(E725="(unchanged)",D725,E725)))))</f>
      </c>
      <c r="M725" s="6">
        <f>IF(AND(I725="Cut",N725&gt;0,K725=""),"USED: say what replaces it (Note)",IF(AND(I725="Rename",J725=""),"type the new name",IF(AND(L725&lt;&gt;"",L725&lt;&gt;"(decide)",COUNTIF($L$2:$L$1680,L725)&gt;1),"SAME FINAL NAME AS ANOTHER ROW","")))</f>
      </c>
      <c r="N725" s="6">
        <v>0</v>
      </c>
      <c r="O725" s="6" t="s">
        <v>2</v>
      </c>
    </row>
    <row r="726" spans="1:15" x14ac:dyDescent="0.25">
      <c r="A726">
        <v>725</v>
      </c>
      <c r="B726" t="s">
        <v>353</v>
      </c>
      <c r="C726" t="s">
        <v>984</v>
      </c>
      <c r="D726" t="s">
        <v>986</v>
      </c>
      <c r="E726" t="s">
        <v>292</v>
      </c>
      <c r="F726" t="s">
        <v>2</v>
      </c>
      <c r="G726" t="s">
        <v>38</v>
      </c>
      <c r="H726" t="s">
        <v>39</v>
      </c>
      <c r="I726" s="5" t="s">
        <v>294</v>
      </c>
      <c r="J726" s="5" t="s">
        <v>2</v>
      </c>
      <c r="K726" s="5" t="s">
        <v>2</v>
      </c>
      <c r="L726" s="6">
        <f>IF(I726="Cut","",IF(I726="Your call","(decide)",IF(I726="Rename",J726,IF(I726="Keep",IF(D726="",E726,D726),IF(E726="(unchanged)",D726,E726)))))</f>
      </c>
      <c r="M726" s="6">
        <f>IF(AND(I726="Cut",N726&gt;0,K726=""),"USED: say what replaces it (Note)",IF(AND(I726="Rename",J726=""),"type the new name",IF(AND(L726&lt;&gt;"",L726&lt;&gt;"(decide)",COUNTIF($L$2:$L$1680,L726)&gt;1),"SAME FINAL NAME AS ANOTHER ROW","")))</f>
      </c>
      <c r="N726" s="6">
        <v>0</v>
      </c>
      <c r="O726" s="6" t="s">
        <v>2</v>
      </c>
    </row>
    <row r="727" spans="1:15" x14ac:dyDescent="0.25">
      <c r="A727">
        <v>726</v>
      </c>
      <c r="B727" t="s">
        <v>353</v>
      </c>
      <c r="C727" t="s">
        <v>984</v>
      </c>
      <c r="D727" t="s">
        <v>987</v>
      </c>
      <c r="E727" t="s">
        <v>292</v>
      </c>
      <c r="F727" t="s">
        <v>2</v>
      </c>
      <c r="G727" t="s">
        <v>38</v>
      </c>
      <c r="H727" t="s">
        <v>39</v>
      </c>
      <c r="I727" s="5" t="s">
        <v>294</v>
      </c>
      <c r="J727" s="5" t="s">
        <v>2</v>
      </c>
      <c r="K727" s="5" t="s">
        <v>2</v>
      </c>
      <c r="L727" s="6">
        <f>IF(I727="Cut","",IF(I727="Your call","(decide)",IF(I727="Rename",J727,IF(I727="Keep",IF(D727="",E727,D727),IF(E727="(unchanged)",D727,E727)))))</f>
      </c>
      <c r="M727" s="6">
        <f>IF(AND(I727="Cut",N727&gt;0,K727=""),"USED: say what replaces it (Note)",IF(AND(I727="Rename",J727=""),"type the new name",IF(AND(L727&lt;&gt;"",L727&lt;&gt;"(decide)",COUNTIF($L$2:$L$1680,L727)&gt;1),"SAME FINAL NAME AS ANOTHER ROW","")))</f>
      </c>
      <c r="N727" s="6">
        <v>0</v>
      </c>
      <c r="O727" s="6" t="s">
        <v>2</v>
      </c>
    </row>
    <row r="728" spans="1:15" x14ac:dyDescent="0.25">
      <c r="A728">
        <v>727</v>
      </c>
      <c r="B728" t="s">
        <v>353</v>
      </c>
      <c r="C728" t="s">
        <v>984</v>
      </c>
      <c r="D728" t="s">
        <v>988</v>
      </c>
      <c r="E728" t="s">
        <v>292</v>
      </c>
      <c r="F728" t="s">
        <v>2</v>
      </c>
      <c r="G728" t="s">
        <v>38</v>
      </c>
      <c r="H728" t="s">
        <v>39</v>
      </c>
      <c r="I728" s="5" t="s">
        <v>294</v>
      </c>
      <c r="J728" s="5" t="s">
        <v>2</v>
      </c>
      <c r="K728" s="5" t="s">
        <v>2</v>
      </c>
      <c r="L728" s="6">
        <f>IF(I728="Cut","",IF(I728="Your call","(decide)",IF(I728="Rename",J728,IF(I728="Keep",IF(D728="",E728,D728),IF(E728="(unchanged)",D728,E728)))))</f>
      </c>
      <c r="M728" s="6">
        <f>IF(AND(I728="Cut",N728&gt;0,K728=""),"USED: say what replaces it (Note)",IF(AND(I728="Rename",J728=""),"type the new name",IF(AND(L728&lt;&gt;"",L728&lt;&gt;"(decide)",COUNTIF($L$2:$L$1680,L728)&gt;1),"SAME FINAL NAME AS ANOTHER ROW","")))</f>
      </c>
      <c r="N728" s="6">
        <v>0</v>
      </c>
      <c r="O728" s="6" t="s">
        <v>2</v>
      </c>
    </row>
    <row r="729" spans="1:15" x14ac:dyDescent="0.25">
      <c r="A729">
        <v>728</v>
      </c>
      <c r="B729" t="s">
        <v>353</v>
      </c>
      <c r="C729" t="s">
        <v>984</v>
      </c>
      <c r="D729" t="s">
        <v>989</v>
      </c>
      <c r="E729" t="s">
        <v>292</v>
      </c>
      <c r="F729" t="s">
        <v>2</v>
      </c>
      <c r="G729" t="s">
        <v>38</v>
      </c>
      <c r="H729" t="s">
        <v>39</v>
      </c>
      <c r="I729" s="5" t="s">
        <v>294</v>
      </c>
      <c r="J729" s="5" t="s">
        <v>2</v>
      </c>
      <c r="K729" s="5" t="s">
        <v>2</v>
      </c>
      <c r="L729" s="6">
        <f>IF(I729="Cut","",IF(I729="Your call","(decide)",IF(I729="Rename",J729,IF(I729="Keep",IF(D729="",E729,D729),IF(E729="(unchanged)",D729,E729)))))</f>
      </c>
      <c r="M729" s="6">
        <f>IF(AND(I729="Cut",N729&gt;0,K729=""),"USED: say what replaces it (Note)",IF(AND(I729="Rename",J729=""),"type the new name",IF(AND(L729&lt;&gt;"",L729&lt;&gt;"(decide)",COUNTIF($L$2:$L$1680,L729)&gt;1),"SAME FINAL NAME AS ANOTHER ROW","")))</f>
      </c>
      <c r="N729" s="6">
        <v>0</v>
      </c>
      <c r="O729" s="6" t="s">
        <v>2</v>
      </c>
    </row>
    <row r="730" spans="1:15" x14ac:dyDescent="0.25">
      <c r="A730">
        <v>729</v>
      </c>
      <c r="B730" t="s">
        <v>353</v>
      </c>
      <c r="C730" t="s">
        <v>984</v>
      </c>
      <c r="D730" t="s">
        <v>990</v>
      </c>
      <c r="E730" t="s">
        <v>292</v>
      </c>
      <c r="F730" t="s">
        <v>2</v>
      </c>
      <c r="G730" t="s">
        <v>38</v>
      </c>
      <c r="H730" t="s">
        <v>39</v>
      </c>
      <c r="I730" s="5" t="s">
        <v>294</v>
      </c>
      <c r="J730" s="5" t="s">
        <v>2</v>
      </c>
      <c r="K730" s="5" t="s">
        <v>2</v>
      </c>
      <c r="L730" s="6">
        <f>IF(I730="Cut","",IF(I730="Your call","(decide)",IF(I730="Rename",J730,IF(I730="Keep",IF(D730="",E730,D730),IF(E730="(unchanged)",D730,E730)))))</f>
      </c>
      <c r="M730" s="6">
        <f>IF(AND(I730="Cut",N730&gt;0,K730=""),"USED: say what replaces it (Note)",IF(AND(I730="Rename",J730=""),"type the new name",IF(AND(L730&lt;&gt;"",L730&lt;&gt;"(decide)",COUNTIF($L$2:$L$1680,L730)&gt;1),"SAME FINAL NAME AS ANOTHER ROW","")))</f>
      </c>
      <c r="N730" s="6">
        <v>0</v>
      </c>
      <c r="O730" s="6" t="s">
        <v>2</v>
      </c>
    </row>
    <row r="731" spans="1:15" x14ac:dyDescent="0.25">
      <c r="A731">
        <v>730</v>
      </c>
      <c r="B731" t="s">
        <v>353</v>
      </c>
      <c r="C731" t="s">
        <v>984</v>
      </c>
      <c r="D731" t="s">
        <v>991</v>
      </c>
      <c r="E731" t="s">
        <v>292</v>
      </c>
      <c r="F731" t="s">
        <v>2</v>
      </c>
      <c r="G731" t="s">
        <v>38</v>
      </c>
      <c r="H731" t="s">
        <v>39</v>
      </c>
      <c r="I731" s="5" t="s">
        <v>294</v>
      </c>
      <c r="J731" s="5" t="s">
        <v>2</v>
      </c>
      <c r="K731" s="5" t="s">
        <v>2</v>
      </c>
      <c r="L731" s="6">
        <f>IF(I731="Cut","",IF(I731="Your call","(decide)",IF(I731="Rename",J731,IF(I731="Keep",IF(D731="",E731,D731),IF(E731="(unchanged)",D731,E731)))))</f>
      </c>
      <c r="M731" s="6">
        <f>IF(AND(I731="Cut",N731&gt;0,K731=""),"USED: say what replaces it (Note)",IF(AND(I731="Rename",J731=""),"type the new name",IF(AND(L731&lt;&gt;"",L731&lt;&gt;"(decide)",COUNTIF($L$2:$L$1680,L731)&gt;1),"SAME FINAL NAME AS ANOTHER ROW","")))</f>
      </c>
      <c r="N731" s="6">
        <v>0</v>
      </c>
      <c r="O731" s="6" t="s">
        <v>2</v>
      </c>
    </row>
    <row r="732" spans="1:15" x14ac:dyDescent="0.25">
      <c r="A732">
        <v>731</v>
      </c>
      <c r="B732" t="s">
        <v>353</v>
      </c>
      <c r="C732" t="s">
        <v>2</v>
      </c>
      <c r="D732" t="s">
        <v>992</v>
      </c>
      <c r="E732" t="s">
        <v>292</v>
      </c>
      <c r="F732" t="s">
        <v>2</v>
      </c>
      <c r="G732" t="s">
        <v>38</v>
      </c>
      <c r="H732" t="s">
        <v>39</v>
      </c>
      <c r="I732" s="5" t="s">
        <v>294</v>
      </c>
      <c r="J732" s="5" t="s">
        <v>2</v>
      </c>
      <c r="K732" s="5" t="s">
        <v>2</v>
      </c>
      <c r="L732" s="6">
        <f>IF(I732="Cut","",IF(I732="Your call","(decide)",IF(I732="Rename",J732,IF(I732="Keep",IF(D732="",E732,D732),IF(E732="(unchanged)",D732,E732)))))</f>
      </c>
      <c r="M732" s="6">
        <f>IF(AND(I732="Cut",N732&gt;0,K732=""),"USED: say what replaces it (Note)",IF(AND(I732="Rename",J732=""),"type the new name",IF(AND(L732&lt;&gt;"",L732&lt;&gt;"(decide)",COUNTIF($L$2:$L$1680,L732)&gt;1),"SAME FINAL NAME AS ANOTHER ROW","")))</f>
      </c>
      <c r="N732" s="6">
        <v>0</v>
      </c>
      <c r="O732" s="6" t="s">
        <v>2</v>
      </c>
    </row>
    <row r="733" spans="1:15" x14ac:dyDescent="0.25">
      <c r="A733">
        <v>732</v>
      </c>
      <c r="B733" t="s">
        <v>353</v>
      </c>
      <c r="C733" t="s">
        <v>993</v>
      </c>
      <c r="D733" t="s">
        <v>994</v>
      </c>
      <c r="E733" t="s">
        <v>292</v>
      </c>
      <c r="F733" t="s">
        <v>2</v>
      </c>
      <c r="G733" t="s">
        <v>38</v>
      </c>
      <c r="H733" t="s">
        <v>39</v>
      </c>
      <c r="I733" s="5" t="s">
        <v>294</v>
      </c>
      <c r="J733" s="5" t="s">
        <v>2</v>
      </c>
      <c r="K733" s="5" t="s">
        <v>2</v>
      </c>
      <c r="L733" s="6">
        <f>IF(I733="Cut","",IF(I733="Your call","(decide)",IF(I733="Rename",J733,IF(I733="Keep",IF(D733="",E733,D733),IF(E733="(unchanged)",D733,E733)))))</f>
      </c>
      <c r="M733" s="6">
        <f>IF(AND(I733="Cut",N733&gt;0,K733=""),"USED: say what replaces it (Note)",IF(AND(I733="Rename",J733=""),"type the new name",IF(AND(L733&lt;&gt;"",L733&lt;&gt;"(decide)",COUNTIF($L$2:$L$1680,L733)&gt;1),"SAME FINAL NAME AS ANOTHER ROW","")))</f>
      </c>
      <c r="N733" s="6">
        <v>0</v>
      </c>
      <c r="O733" s="6" t="s">
        <v>2</v>
      </c>
    </row>
    <row r="734" spans="1:15" x14ac:dyDescent="0.25">
      <c r="A734">
        <v>733</v>
      </c>
      <c r="B734" t="s">
        <v>353</v>
      </c>
      <c r="C734" t="s">
        <v>993</v>
      </c>
      <c r="D734" t="s">
        <v>995</v>
      </c>
      <c r="E734" t="s">
        <v>292</v>
      </c>
      <c r="F734" t="s">
        <v>2</v>
      </c>
      <c r="G734" t="s">
        <v>38</v>
      </c>
      <c r="H734" t="s">
        <v>39</v>
      </c>
      <c r="I734" s="5" t="s">
        <v>294</v>
      </c>
      <c r="J734" s="5" t="s">
        <v>2</v>
      </c>
      <c r="K734" s="5" t="s">
        <v>2</v>
      </c>
      <c r="L734" s="6">
        <f>IF(I734="Cut","",IF(I734="Your call","(decide)",IF(I734="Rename",J734,IF(I734="Keep",IF(D734="",E734,D734),IF(E734="(unchanged)",D734,E734)))))</f>
      </c>
      <c r="M734" s="6">
        <f>IF(AND(I734="Cut",N734&gt;0,K734=""),"USED: say what replaces it (Note)",IF(AND(I734="Rename",J734=""),"type the new name",IF(AND(L734&lt;&gt;"",L734&lt;&gt;"(decide)",COUNTIF($L$2:$L$1680,L734)&gt;1),"SAME FINAL NAME AS ANOTHER ROW","")))</f>
      </c>
      <c r="N734" s="6">
        <v>0</v>
      </c>
      <c r="O734" s="6" t="s">
        <v>2</v>
      </c>
    </row>
    <row r="735" spans="1:15" x14ac:dyDescent="0.25">
      <c r="A735">
        <v>734</v>
      </c>
      <c r="B735" t="s">
        <v>353</v>
      </c>
      <c r="C735" t="s">
        <v>993</v>
      </c>
      <c r="D735" t="s">
        <v>996</v>
      </c>
      <c r="E735" t="s">
        <v>292</v>
      </c>
      <c r="F735" t="s">
        <v>2</v>
      </c>
      <c r="G735" t="s">
        <v>38</v>
      </c>
      <c r="H735" t="s">
        <v>39</v>
      </c>
      <c r="I735" s="5" t="s">
        <v>294</v>
      </c>
      <c r="J735" s="5" t="s">
        <v>2</v>
      </c>
      <c r="K735" s="5" t="s">
        <v>2</v>
      </c>
      <c r="L735" s="6">
        <f>IF(I735="Cut","",IF(I735="Your call","(decide)",IF(I735="Rename",J735,IF(I735="Keep",IF(D735="",E735,D735),IF(E735="(unchanged)",D735,E735)))))</f>
      </c>
      <c r="M735" s="6">
        <f>IF(AND(I735="Cut",N735&gt;0,K735=""),"USED: say what replaces it (Note)",IF(AND(I735="Rename",J735=""),"type the new name",IF(AND(L735&lt;&gt;"",L735&lt;&gt;"(decide)",COUNTIF($L$2:$L$1680,L735)&gt;1),"SAME FINAL NAME AS ANOTHER ROW","")))</f>
      </c>
      <c r="N735" s="6">
        <v>0</v>
      </c>
      <c r="O735" s="6" t="s">
        <v>2</v>
      </c>
    </row>
    <row r="736" spans="1:15" x14ac:dyDescent="0.25">
      <c r="A736">
        <v>735</v>
      </c>
      <c r="B736" t="s">
        <v>353</v>
      </c>
      <c r="C736" t="s">
        <v>993</v>
      </c>
      <c r="D736" t="s">
        <v>997</v>
      </c>
      <c r="E736" t="s">
        <v>292</v>
      </c>
      <c r="F736" t="s">
        <v>2</v>
      </c>
      <c r="G736" t="s">
        <v>38</v>
      </c>
      <c r="H736" t="s">
        <v>39</v>
      </c>
      <c r="I736" s="5" t="s">
        <v>294</v>
      </c>
      <c r="J736" s="5" t="s">
        <v>2</v>
      </c>
      <c r="K736" s="5" t="s">
        <v>2</v>
      </c>
      <c r="L736" s="6">
        <f>IF(I736="Cut","",IF(I736="Your call","(decide)",IF(I736="Rename",J736,IF(I736="Keep",IF(D736="",E736,D736),IF(E736="(unchanged)",D736,E736)))))</f>
      </c>
      <c r="M736" s="6">
        <f>IF(AND(I736="Cut",N736&gt;0,K736=""),"USED: say what replaces it (Note)",IF(AND(I736="Rename",J736=""),"type the new name",IF(AND(L736&lt;&gt;"",L736&lt;&gt;"(decide)",COUNTIF($L$2:$L$1680,L736)&gt;1),"SAME FINAL NAME AS ANOTHER ROW","")))</f>
      </c>
      <c r="N736" s="6">
        <v>0</v>
      </c>
      <c r="O736" s="6" t="s">
        <v>2</v>
      </c>
    </row>
    <row r="737" spans="1:15" x14ac:dyDescent="0.25">
      <c r="A737">
        <v>736</v>
      </c>
      <c r="B737" t="s">
        <v>353</v>
      </c>
      <c r="C737" t="s">
        <v>993</v>
      </c>
      <c r="D737" t="s">
        <v>998</v>
      </c>
      <c r="E737" t="s">
        <v>292</v>
      </c>
      <c r="F737" t="s">
        <v>2</v>
      </c>
      <c r="G737" t="s">
        <v>38</v>
      </c>
      <c r="H737" t="s">
        <v>39</v>
      </c>
      <c r="I737" s="5" t="s">
        <v>294</v>
      </c>
      <c r="J737" s="5" t="s">
        <v>2</v>
      </c>
      <c r="K737" s="5" t="s">
        <v>2</v>
      </c>
      <c r="L737" s="6">
        <f>IF(I737="Cut","",IF(I737="Your call","(decide)",IF(I737="Rename",J737,IF(I737="Keep",IF(D737="",E737,D737),IF(E737="(unchanged)",D737,E737)))))</f>
      </c>
      <c r="M737" s="6">
        <f>IF(AND(I737="Cut",N737&gt;0,K737=""),"USED: say what replaces it (Note)",IF(AND(I737="Rename",J737=""),"type the new name",IF(AND(L737&lt;&gt;"",L737&lt;&gt;"(decide)",COUNTIF($L$2:$L$1680,L737)&gt;1),"SAME FINAL NAME AS ANOTHER ROW","")))</f>
      </c>
      <c r="N737" s="6">
        <v>0</v>
      </c>
      <c r="O737" s="6" t="s">
        <v>2</v>
      </c>
    </row>
    <row r="738" spans="1:15" x14ac:dyDescent="0.25">
      <c r="A738">
        <v>737</v>
      </c>
      <c r="B738" t="s">
        <v>353</v>
      </c>
      <c r="C738" t="s">
        <v>993</v>
      </c>
      <c r="D738" t="s">
        <v>999</v>
      </c>
      <c r="E738" t="s">
        <v>292</v>
      </c>
      <c r="F738" t="s">
        <v>2</v>
      </c>
      <c r="G738" t="s">
        <v>38</v>
      </c>
      <c r="H738" t="s">
        <v>39</v>
      </c>
      <c r="I738" s="5" t="s">
        <v>294</v>
      </c>
      <c r="J738" s="5" t="s">
        <v>2</v>
      </c>
      <c r="K738" s="5" t="s">
        <v>2</v>
      </c>
      <c r="L738" s="6">
        <f>IF(I738="Cut","",IF(I738="Your call","(decide)",IF(I738="Rename",J738,IF(I738="Keep",IF(D738="",E738,D738),IF(E738="(unchanged)",D738,E738)))))</f>
      </c>
      <c r="M738" s="6">
        <f>IF(AND(I738="Cut",N738&gt;0,K738=""),"USED: say what replaces it (Note)",IF(AND(I738="Rename",J738=""),"type the new name",IF(AND(L738&lt;&gt;"",L738&lt;&gt;"(decide)",COUNTIF($L$2:$L$1680,L738)&gt;1),"SAME FINAL NAME AS ANOTHER ROW","")))</f>
      </c>
      <c r="N738" s="6">
        <v>0</v>
      </c>
      <c r="O738" s="6" t="s">
        <v>2</v>
      </c>
    </row>
    <row r="739" spans="1:15" x14ac:dyDescent="0.25">
      <c r="A739">
        <v>738</v>
      </c>
      <c r="B739" t="s">
        <v>353</v>
      </c>
      <c r="C739" t="s">
        <v>993</v>
      </c>
      <c r="D739" t="s">
        <v>1000</v>
      </c>
      <c r="E739" t="s">
        <v>292</v>
      </c>
      <c r="F739" t="s">
        <v>2</v>
      </c>
      <c r="G739" t="s">
        <v>38</v>
      </c>
      <c r="H739" t="s">
        <v>39</v>
      </c>
      <c r="I739" s="5" t="s">
        <v>294</v>
      </c>
      <c r="J739" s="5" t="s">
        <v>2</v>
      </c>
      <c r="K739" s="5" t="s">
        <v>2</v>
      </c>
      <c r="L739" s="6">
        <f>IF(I739="Cut","",IF(I739="Your call","(decide)",IF(I739="Rename",J739,IF(I739="Keep",IF(D739="",E739,D739),IF(E739="(unchanged)",D739,E739)))))</f>
      </c>
      <c r="M739" s="6">
        <f>IF(AND(I739="Cut",N739&gt;0,K739=""),"USED: say what replaces it (Note)",IF(AND(I739="Rename",J739=""),"type the new name",IF(AND(L739&lt;&gt;"",L739&lt;&gt;"(decide)",COUNTIF($L$2:$L$1680,L739)&gt;1),"SAME FINAL NAME AS ANOTHER ROW","")))</f>
      </c>
      <c r="N739" s="6">
        <v>0</v>
      </c>
      <c r="O739" s="6" t="s">
        <v>2</v>
      </c>
    </row>
    <row r="740" spans="1:15" x14ac:dyDescent="0.25">
      <c r="A740">
        <v>739</v>
      </c>
      <c r="B740" t="s">
        <v>353</v>
      </c>
      <c r="C740" t="s">
        <v>993</v>
      </c>
      <c r="D740" t="s">
        <v>1001</v>
      </c>
      <c r="E740" t="s">
        <v>292</v>
      </c>
      <c r="F740" t="s">
        <v>2</v>
      </c>
      <c r="G740" t="s">
        <v>38</v>
      </c>
      <c r="H740" t="s">
        <v>39</v>
      </c>
      <c r="I740" s="5" t="s">
        <v>294</v>
      </c>
      <c r="J740" s="5" t="s">
        <v>2</v>
      </c>
      <c r="K740" s="5" t="s">
        <v>2</v>
      </c>
      <c r="L740" s="6">
        <f>IF(I740="Cut","",IF(I740="Your call","(decide)",IF(I740="Rename",J740,IF(I740="Keep",IF(D740="",E740,D740),IF(E740="(unchanged)",D740,E740)))))</f>
      </c>
      <c r="M740" s="6">
        <f>IF(AND(I740="Cut",N740&gt;0,K740=""),"USED: say what replaces it (Note)",IF(AND(I740="Rename",J740=""),"type the new name",IF(AND(L740&lt;&gt;"",L740&lt;&gt;"(decide)",COUNTIF($L$2:$L$1680,L740)&gt;1),"SAME FINAL NAME AS ANOTHER ROW","")))</f>
      </c>
      <c r="N740" s="6">
        <v>0</v>
      </c>
      <c r="O740" s="6" t="s">
        <v>2</v>
      </c>
    </row>
    <row r="741" spans="1:15" x14ac:dyDescent="0.25">
      <c r="A741">
        <v>740</v>
      </c>
      <c r="B741" t="s">
        <v>353</v>
      </c>
      <c r="C741" t="s">
        <v>993</v>
      </c>
      <c r="D741" t="s">
        <v>1002</v>
      </c>
      <c r="E741" t="s">
        <v>292</v>
      </c>
      <c r="F741" t="s">
        <v>2</v>
      </c>
      <c r="G741" t="s">
        <v>38</v>
      </c>
      <c r="H741" t="s">
        <v>39</v>
      </c>
      <c r="I741" s="5" t="s">
        <v>294</v>
      </c>
      <c r="J741" s="5" t="s">
        <v>2</v>
      </c>
      <c r="K741" s="5" t="s">
        <v>2</v>
      </c>
      <c r="L741" s="6">
        <f>IF(I741="Cut","",IF(I741="Your call","(decide)",IF(I741="Rename",J741,IF(I741="Keep",IF(D741="",E741,D741),IF(E741="(unchanged)",D741,E741)))))</f>
      </c>
      <c r="M741" s="6">
        <f>IF(AND(I741="Cut",N741&gt;0,K741=""),"USED: say what replaces it (Note)",IF(AND(I741="Rename",J741=""),"type the new name",IF(AND(L741&lt;&gt;"",L741&lt;&gt;"(decide)",COUNTIF($L$2:$L$1680,L741)&gt;1),"SAME FINAL NAME AS ANOTHER ROW","")))</f>
      </c>
      <c r="N741" s="6">
        <v>0</v>
      </c>
      <c r="O741" s="6" t="s">
        <v>2</v>
      </c>
    </row>
    <row r="742" spans="1:15" x14ac:dyDescent="0.25">
      <c r="A742">
        <v>741</v>
      </c>
      <c r="B742" t="s">
        <v>353</v>
      </c>
      <c r="C742" t="s">
        <v>1003</v>
      </c>
      <c r="D742" t="s">
        <v>1004</v>
      </c>
      <c r="E742" t="s">
        <v>292</v>
      </c>
      <c r="F742" t="s">
        <v>2</v>
      </c>
      <c r="G742" t="s">
        <v>94</v>
      </c>
      <c r="H742" t="s">
        <v>39</v>
      </c>
      <c r="I742" s="5" t="s">
        <v>294</v>
      </c>
      <c r="J742" s="5" t="s">
        <v>2</v>
      </c>
      <c r="K742" s="5" t="s">
        <v>2</v>
      </c>
      <c r="L742" s="6">
        <f>IF(I742="Cut","",IF(I742="Your call","(decide)",IF(I742="Rename",J742,IF(I742="Keep",IF(D742="",E742,D742),IF(E742="(unchanged)",D742,E742)))))</f>
      </c>
      <c r="M742" s="6">
        <f>IF(AND(I742="Cut",N742&gt;0,K742=""),"USED: say what replaces it (Note)",IF(AND(I742="Rename",J742=""),"type the new name",IF(AND(L742&lt;&gt;"",L742&lt;&gt;"(decide)",COUNTIF($L$2:$L$1680,L742)&gt;1),"SAME FINAL NAME AS ANOTHER ROW","")))</f>
      </c>
      <c r="N742" s="6">
        <v>1</v>
      </c>
      <c r="O742" s="6" t="s">
        <v>2</v>
      </c>
    </row>
    <row r="743" spans="1:15" x14ac:dyDescent="0.25">
      <c r="A743">
        <v>742</v>
      </c>
      <c r="B743" t="s">
        <v>353</v>
      </c>
      <c r="C743" t="s">
        <v>2</v>
      </c>
      <c r="D743" t="s">
        <v>1005</v>
      </c>
      <c r="E743" t="s">
        <v>292</v>
      </c>
      <c r="F743" t="s">
        <v>2</v>
      </c>
      <c r="G743" t="s">
        <v>94</v>
      </c>
      <c r="H743" t="s">
        <v>39</v>
      </c>
      <c r="I743" s="5" t="s">
        <v>294</v>
      </c>
      <c r="J743" s="5" t="s">
        <v>2</v>
      </c>
      <c r="K743" s="5" t="s">
        <v>2</v>
      </c>
      <c r="L743" s="6">
        <f>IF(I743="Cut","",IF(I743="Your call","(decide)",IF(I743="Rename",J743,IF(I743="Keep",IF(D743="",E743,D743),IF(E743="(unchanged)",D743,E743)))))</f>
      </c>
      <c r="M743" s="6">
        <f>IF(AND(I743="Cut",N743&gt;0,K743=""),"USED: say what replaces it (Note)",IF(AND(I743="Rename",J743=""),"type the new name",IF(AND(L743&lt;&gt;"",L743&lt;&gt;"(decide)",COUNTIF($L$2:$L$1680,L743)&gt;1),"SAME FINAL NAME AS ANOTHER ROW","")))</f>
      </c>
      <c r="N743" s="6">
        <v>1</v>
      </c>
      <c r="O743" s="6" t="s">
        <v>2</v>
      </c>
    </row>
    <row r="744" spans="1:15" x14ac:dyDescent="0.25">
      <c r="A744">
        <v>743</v>
      </c>
      <c r="B744" t="s">
        <v>353</v>
      </c>
      <c r="C744" t="s">
        <v>1006</v>
      </c>
      <c r="D744" t="s">
        <v>1007</v>
      </c>
      <c r="E744" t="s">
        <v>292</v>
      </c>
      <c r="F744" t="s">
        <v>2</v>
      </c>
      <c r="G744" t="s">
        <v>38</v>
      </c>
      <c r="H744" t="s">
        <v>39</v>
      </c>
      <c r="I744" s="5" t="s">
        <v>294</v>
      </c>
      <c r="J744" s="5" t="s">
        <v>2</v>
      </c>
      <c r="K744" s="5" t="s">
        <v>2</v>
      </c>
      <c r="L744" s="6">
        <f>IF(I744="Cut","",IF(I744="Your call","(decide)",IF(I744="Rename",J744,IF(I744="Keep",IF(D744="",E744,D744),IF(E744="(unchanged)",D744,E744)))))</f>
      </c>
      <c r="M744" s="6">
        <f>IF(AND(I744="Cut",N744&gt;0,K744=""),"USED: say what replaces it (Note)",IF(AND(I744="Rename",J744=""),"type the new name",IF(AND(L744&lt;&gt;"",L744&lt;&gt;"(decide)",COUNTIF($L$2:$L$1680,L744)&gt;1),"SAME FINAL NAME AS ANOTHER ROW","")))</f>
      </c>
      <c r="N744" s="6">
        <v>0</v>
      </c>
      <c r="O744" s="6" t="s">
        <v>2</v>
      </c>
    </row>
    <row r="745" spans="1:15" x14ac:dyDescent="0.25">
      <c r="A745">
        <v>744</v>
      </c>
      <c r="B745" t="s">
        <v>353</v>
      </c>
      <c r="C745" t="s">
        <v>1006</v>
      </c>
      <c r="D745" t="s">
        <v>1008</v>
      </c>
      <c r="E745" t="s">
        <v>292</v>
      </c>
      <c r="F745" t="s">
        <v>2</v>
      </c>
      <c r="G745" t="s">
        <v>38</v>
      </c>
      <c r="H745" t="s">
        <v>39</v>
      </c>
      <c r="I745" s="5" t="s">
        <v>294</v>
      </c>
      <c r="J745" s="5" t="s">
        <v>2</v>
      </c>
      <c r="K745" s="5" t="s">
        <v>2</v>
      </c>
      <c r="L745" s="6">
        <f>IF(I745="Cut","",IF(I745="Your call","(decide)",IF(I745="Rename",J745,IF(I745="Keep",IF(D745="",E745,D745),IF(E745="(unchanged)",D745,E745)))))</f>
      </c>
      <c r="M745" s="6">
        <f>IF(AND(I745="Cut",N745&gt;0,K745=""),"USED: say what replaces it (Note)",IF(AND(I745="Rename",J745=""),"type the new name",IF(AND(L745&lt;&gt;"",L745&lt;&gt;"(decide)",COUNTIF($L$2:$L$1680,L745)&gt;1),"SAME FINAL NAME AS ANOTHER ROW","")))</f>
      </c>
      <c r="N745" s="6">
        <v>0</v>
      </c>
      <c r="O745" s="6" t="s">
        <v>2</v>
      </c>
    </row>
    <row r="746" spans="1:15" x14ac:dyDescent="0.25">
      <c r="A746">
        <v>745</v>
      </c>
      <c r="B746" t="s">
        <v>1009</v>
      </c>
      <c r="C746" t="s">
        <v>2</v>
      </c>
      <c r="D746" t="s">
        <v>1010</v>
      </c>
      <c r="E746" t="s">
        <v>292</v>
      </c>
      <c r="F746" t="s">
        <v>2</v>
      </c>
      <c r="G746" t="s">
        <v>38</v>
      </c>
      <c r="H746" t="s">
        <v>39</v>
      </c>
      <c r="I746" s="5" t="s">
        <v>294</v>
      </c>
      <c r="J746" s="5" t="s">
        <v>2</v>
      </c>
      <c r="K746" s="5" t="s">
        <v>2</v>
      </c>
      <c r="L746" s="6">
        <f>IF(I746="Cut","",IF(I746="Your call","(decide)",IF(I746="Rename",J746,IF(I746="Keep",IF(D746="",E746,D746),IF(E746="(unchanged)",D746,E746)))))</f>
      </c>
      <c r="M746" s="6">
        <f>IF(AND(I746="Cut",N746&gt;0,K746=""),"USED: say what replaces it (Note)",IF(AND(I746="Rename",J746=""),"type the new name",IF(AND(L746&lt;&gt;"",L746&lt;&gt;"(decide)",COUNTIF($L$2:$L$1680,L746)&gt;1),"SAME FINAL NAME AS ANOTHER ROW","")))</f>
      </c>
      <c r="N746" s="6">
        <v>0</v>
      </c>
      <c r="O746" s="6" t="s">
        <v>2</v>
      </c>
    </row>
    <row r="747" spans="1:15" x14ac:dyDescent="0.25">
      <c r="A747">
        <v>746</v>
      </c>
      <c r="B747" t="s">
        <v>1009</v>
      </c>
      <c r="C747" t="s">
        <v>2</v>
      </c>
      <c r="D747" t="s">
        <v>1011</v>
      </c>
      <c r="E747" t="s">
        <v>292</v>
      </c>
      <c r="F747" t="s">
        <v>2</v>
      </c>
      <c r="G747" t="s">
        <v>38</v>
      </c>
      <c r="H747" t="s">
        <v>39</v>
      </c>
      <c r="I747" s="5" t="s">
        <v>294</v>
      </c>
      <c r="J747" s="5" t="s">
        <v>2</v>
      </c>
      <c r="K747" s="5" t="s">
        <v>2</v>
      </c>
      <c r="L747" s="6">
        <f>IF(I747="Cut","",IF(I747="Your call","(decide)",IF(I747="Rename",J747,IF(I747="Keep",IF(D747="",E747,D747),IF(E747="(unchanged)",D747,E747)))))</f>
      </c>
      <c r="M747" s="6">
        <f>IF(AND(I747="Cut",N747&gt;0,K747=""),"USED: say what replaces it (Note)",IF(AND(I747="Rename",J747=""),"type the new name",IF(AND(L747&lt;&gt;"",L747&lt;&gt;"(decide)",COUNTIF($L$2:$L$1680,L747)&gt;1),"SAME FINAL NAME AS ANOTHER ROW","")))</f>
      </c>
      <c r="N747" s="6">
        <v>0</v>
      </c>
      <c r="O747" s="6" t="s">
        <v>2</v>
      </c>
    </row>
    <row r="748" spans="1:15" x14ac:dyDescent="0.25">
      <c r="A748">
        <v>747</v>
      </c>
      <c r="B748" t="s">
        <v>1009</v>
      </c>
      <c r="C748" t="s">
        <v>2</v>
      </c>
      <c r="D748" t="s">
        <v>1012</v>
      </c>
      <c r="E748" t="s">
        <v>292</v>
      </c>
      <c r="F748" t="s">
        <v>2</v>
      </c>
      <c r="G748" t="s">
        <v>38</v>
      </c>
      <c r="H748" t="s">
        <v>39</v>
      </c>
      <c r="I748" s="5" t="s">
        <v>294</v>
      </c>
      <c r="J748" s="5" t="s">
        <v>2</v>
      </c>
      <c r="K748" s="5" t="s">
        <v>2</v>
      </c>
      <c r="L748" s="6">
        <f>IF(I748="Cut","",IF(I748="Your call","(decide)",IF(I748="Rename",J748,IF(I748="Keep",IF(D748="",E748,D748),IF(E748="(unchanged)",D748,E748)))))</f>
      </c>
      <c r="M748" s="6">
        <f>IF(AND(I748="Cut",N748&gt;0,K748=""),"USED: say what replaces it (Note)",IF(AND(I748="Rename",J748=""),"type the new name",IF(AND(L748&lt;&gt;"",L748&lt;&gt;"(decide)",COUNTIF($L$2:$L$1680,L748)&gt;1),"SAME FINAL NAME AS ANOTHER ROW","")))</f>
      </c>
      <c r="N748" s="6">
        <v>0</v>
      </c>
      <c r="O748" s="6" t="s">
        <v>2</v>
      </c>
    </row>
    <row r="749" spans="1:15" x14ac:dyDescent="0.25">
      <c r="A749">
        <v>748</v>
      </c>
      <c r="B749" t="s">
        <v>1009</v>
      </c>
      <c r="C749" t="s">
        <v>2</v>
      </c>
      <c r="D749" t="s">
        <v>1013</v>
      </c>
      <c r="E749" t="s">
        <v>292</v>
      </c>
      <c r="F749" t="s">
        <v>2</v>
      </c>
      <c r="G749" t="s">
        <v>48</v>
      </c>
      <c r="H749" t="s">
        <v>39</v>
      </c>
      <c r="I749" s="5" t="s">
        <v>294</v>
      </c>
      <c r="J749" s="5" t="s">
        <v>2</v>
      </c>
      <c r="K749" s="5" t="s">
        <v>2</v>
      </c>
      <c r="L749" s="6">
        <f>IF(I749="Cut","",IF(I749="Your call","(decide)",IF(I749="Rename",J749,IF(I749="Keep",IF(D749="",E749,D749),IF(E749="(unchanged)",D749,E749)))))</f>
      </c>
      <c r="M749" s="6">
        <f>IF(AND(I749="Cut",N749&gt;0,K749=""),"USED: say what replaces it (Note)",IF(AND(I749="Rename",J749=""),"type the new name",IF(AND(L749&lt;&gt;"",L749&lt;&gt;"(decide)",COUNTIF($L$2:$L$1680,L749)&gt;1),"SAME FINAL NAME AS ANOTHER ROW","")))</f>
      </c>
      <c r="N749" s="6">
        <v>2</v>
      </c>
      <c r="O749" s="6" t="s">
        <v>2</v>
      </c>
    </row>
    <row r="750" spans="1:15" x14ac:dyDescent="0.25">
      <c r="A750">
        <v>749</v>
      </c>
      <c r="B750" t="s">
        <v>1009</v>
      </c>
      <c r="C750" t="s">
        <v>2</v>
      </c>
      <c r="D750" t="s">
        <v>1014</v>
      </c>
      <c r="E750" t="s">
        <v>292</v>
      </c>
      <c r="F750" t="s">
        <v>2</v>
      </c>
      <c r="G750" t="s">
        <v>38</v>
      </c>
      <c r="H750" t="s">
        <v>39</v>
      </c>
      <c r="I750" s="5" t="s">
        <v>294</v>
      </c>
      <c r="J750" s="5" t="s">
        <v>2</v>
      </c>
      <c r="K750" s="5" t="s">
        <v>2</v>
      </c>
      <c r="L750" s="6">
        <f>IF(I750="Cut","",IF(I750="Your call","(decide)",IF(I750="Rename",J750,IF(I750="Keep",IF(D750="",E750,D750),IF(E750="(unchanged)",D750,E750)))))</f>
      </c>
      <c r="M750" s="6">
        <f>IF(AND(I750="Cut",N750&gt;0,K750=""),"USED: say what replaces it (Note)",IF(AND(I750="Rename",J750=""),"type the new name",IF(AND(L750&lt;&gt;"",L750&lt;&gt;"(decide)",COUNTIF($L$2:$L$1680,L750)&gt;1),"SAME FINAL NAME AS ANOTHER ROW","")))</f>
      </c>
      <c r="N750" s="6">
        <v>0</v>
      </c>
      <c r="O750" s="6" t="s">
        <v>2</v>
      </c>
    </row>
    <row r="751" spans="1:15" x14ac:dyDescent="0.25">
      <c r="A751">
        <v>750</v>
      </c>
      <c r="B751" t="s">
        <v>1009</v>
      </c>
      <c r="C751" t="s">
        <v>2</v>
      </c>
      <c r="D751" t="s">
        <v>1015</v>
      </c>
      <c r="E751" t="s">
        <v>292</v>
      </c>
      <c r="F751" t="s">
        <v>2</v>
      </c>
      <c r="G751" t="s">
        <v>38</v>
      </c>
      <c r="H751" t="s">
        <v>39</v>
      </c>
      <c r="I751" s="5" t="s">
        <v>294</v>
      </c>
      <c r="J751" s="5" t="s">
        <v>2</v>
      </c>
      <c r="K751" s="5" t="s">
        <v>2</v>
      </c>
      <c r="L751" s="6">
        <f>IF(I751="Cut","",IF(I751="Your call","(decide)",IF(I751="Rename",J751,IF(I751="Keep",IF(D751="",E751,D751),IF(E751="(unchanged)",D751,E751)))))</f>
      </c>
      <c r="M751" s="6">
        <f>IF(AND(I751="Cut",N751&gt;0,K751=""),"USED: say what replaces it (Note)",IF(AND(I751="Rename",J751=""),"type the new name",IF(AND(L751&lt;&gt;"",L751&lt;&gt;"(decide)",COUNTIF($L$2:$L$1680,L751)&gt;1),"SAME FINAL NAME AS ANOTHER ROW","")))</f>
      </c>
      <c r="N751" s="6">
        <v>0</v>
      </c>
      <c r="O751" s="6" t="s">
        <v>2</v>
      </c>
    </row>
    <row r="752" spans="1:15" x14ac:dyDescent="0.25">
      <c r="A752">
        <v>751</v>
      </c>
      <c r="B752" t="s">
        <v>1009</v>
      </c>
      <c r="C752" t="s">
        <v>2</v>
      </c>
      <c r="D752" t="s">
        <v>1016</v>
      </c>
      <c r="E752" t="s">
        <v>292</v>
      </c>
      <c r="F752" t="s">
        <v>2</v>
      </c>
      <c r="G752" t="s">
        <v>38</v>
      </c>
      <c r="H752" t="s">
        <v>39</v>
      </c>
      <c r="I752" s="5" t="s">
        <v>294</v>
      </c>
      <c r="J752" s="5" t="s">
        <v>2</v>
      </c>
      <c r="K752" s="5" t="s">
        <v>2</v>
      </c>
      <c r="L752" s="6">
        <f>IF(I752="Cut","",IF(I752="Your call","(decide)",IF(I752="Rename",J752,IF(I752="Keep",IF(D752="",E752,D752),IF(E752="(unchanged)",D752,E752)))))</f>
      </c>
      <c r="M752" s="6">
        <f>IF(AND(I752="Cut",N752&gt;0,K752=""),"USED: say what replaces it (Note)",IF(AND(I752="Rename",J752=""),"type the new name",IF(AND(L752&lt;&gt;"",L752&lt;&gt;"(decide)",COUNTIF($L$2:$L$1680,L752)&gt;1),"SAME FINAL NAME AS ANOTHER ROW","")))</f>
      </c>
      <c r="N752" s="6">
        <v>0</v>
      </c>
      <c r="O752" s="6" t="s">
        <v>2</v>
      </c>
    </row>
    <row r="753" spans="1:15" x14ac:dyDescent="0.25">
      <c r="A753">
        <v>752</v>
      </c>
      <c r="B753" t="s">
        <v>1009</v>
      </c>
      <c r="C753" t="s">
        <v>2</v>
      </c>
      <c r="D753" t="s">
        <v>1017</v>
      </c>
      <c r="E753" t="s">
        <v>292</v>
      </c>
      <c r="F753" t="s">
        <v>2</v>
      </c>
      <c r="G753" t="s">
        <v>71</v>
      </c>
      <c r="H753" t="s">
        <v>39</v>
      </c>
      <c r="I753" s="5" t="s">
        <v>294</v>
      </c>
      <c r="J753" s="5" t="s">
        <v>2</v>
      </c>
      <c r="K753" s="5" t="s">
        <v>2</v>
      </c>
      <c r="L753" s="6">
        <f>IF(I753="Cut","",IF(I753="Your call","(decide)",IF(I753="Rename",J753,IF(I753="Keep",IF(D753="",E753,D753),IF(E753="(unchanged)",D753,E753)))))</f>
      </c>
      <c r="M753" s="6">
        <f>IF(AND(I753="Cut",N753&gt;0,K753=""),"USED: say what replaces it (Note)",IF(AND(I753="Rename",J753=""),"type the new name",IF(AND(L753&lt;&gt;"",L753&lt;&gt;"(decide)",COUNTIF($L$2:$L$1680,L753)&gt;1),"SAME FINAL NAME AS ANOTHER ROW","")))</f>
      </c>
      <c r="N753" s="6">
        <v>4</v>
      </c>
      <c r="O753" s="6" t="s">
        <v>2</v>
      </c>
    </row>
    <row r="754" spans="1:15" x14ac:dyDescent="0.25">
      <c r="A754">
        <v>753</v>
      </c>
      <c r="B754" t="s">
        <v>1009</v>
      </c>
      <c r="C754" t="s">
        <v>2</v>
      </c>
      <c r="D754" t="s">
        <v>1018</v>
      </c>
      <c r="E754" t="s">
        <v>292</v>
      </c>
      <c r="F754" t="s">
        <v>2</v>
      </c>
      <c r="G754" t="s">
        <v>38</v>
      </c>
      <c r="H754" t="s">
        <v>39</v>
      </c>
      <c r="I754" s="5" t="s">
        <v>294</v>
      </c>
      <c r="J754" s="5" t="s">
        <v>2</v>
      </c>
      <c r="K754" s="5" t="s">
        <v>2</v>
      </c>
      <c r="L754" s="6">
        <f>IF(I754="Cut","",IF(I754="Your call","(decide)",IF(I754="Rename",J754,IF(I754="Keep",IF(D754="",E754,D754),IF(E754="(unchanged)",D754,E754)))))</f>
      </c>
      <c r="M754" s="6">
        <f>IF(AND(I754="Cut",N754&gt;0,K754=""),"USED: say what replaces it (Note)",IF(AND(I754="Rename",J754=""),"type the new name",IF(AND(L754&lt;&gt;"",L754&lt;&gt;"(decide)",COUNTIF($L$2:$L$1680,L754)&gt;1),"SAME FINAL NAME AS ANOTHER ROW","")))</f>
      </c>
      <c r="N754" s="6">
        <v>0</v>
      </c>
      <c r="O754" s="6" t="s">
        <v>2</v>
      </c>
    </row>
    <row r="755" spans="1:15" x14ac:dyDescent="0.25">
      <c r="A755">
        <v>754</v>
      </c>
      <c r="B755" t="s">
        <v>1009</v>
      </c>
      <c r="C755" t="s">
        <v>2</v>
      </c>
      <c r="D755" t="s">
        <v>1019</v>
      </c>
      <c r="E755" t="s">
        <v>292</v>
      </c>
      <c r="F755" t="s">
        <v>2</v>
      </c>
      <c r="G755" t="s">
        <v>38</v>
      </c>
      <c r="H755" t="s">
        <v>39</v>
      </c>
      <c r="I755" s="5" t="s">
        <v>294</v>
      </c>
      <c r="J755" s="5" t="s">
        <v>2</v>
      </c>
      <c r="K755" s="5" t="s">
        <v>2</v>
      </c>
      <c r="L755" s="6">
        <f>IF(I755="Cut","",IF(I755="Your call","(decide)",IF(I755="Rename",J755,IF(I755="Keep",IF(D755="",E755,D755),IF(E755="(unchanged)",D755,E755)))))</f>
      </c>
      <c r="M755" s="6">
        <f>IF(AND(I755="Cut",N755&gt;0,K755=""),"USED: say what replaces it (Note)",IF(AND(I755="Rename",J755=""),"type the new name",IF(AND(L755&lt;&gt;"",L755&lt;&gt;"(decide)",COUNTIF($L$2:$L$1680,L755)&gt;1),"SAME FINAL NAME AS ANOTHER ROW","")))</f>
      </c>
      <c r="N755" s="6">
        <v>0</v>
      </c>
      <c r="O755" s="6" t="s">
        <v>2</v>
      </c>
    </row>
    <row r="756" spans="1:15" x14ac:dyDescent="0.25">
      <c r="A756">
        <v>755</v>
      </c>
      <c r="B756" t="s">
        <v>1009</v>
      </c>
      <c r="C756" t="s">
        <v>2</v>
      </c>
      <c r="D756" t="s">
        <v>1020</v>
      </c>
      <c r="E756" t="s">
        <v>292</v>
      </c>
      <c r="F756" t="s">
        <v>2</v>
      </c>
      <c r="G756" t="s">
        <v>38</v>
      </c>
      <c r="H756" t="s">
        <v>39</v>
      </c>
      <c r="I756" s="5" t="s">
        <v>294</v>
      </c>
      <c r="J756" s="5" t="s">
        <v>2</v>
      </c>
      <c r="K756" s="5" t="s">
        <v>2</v>
      </c>
      <c r="L756" s="6">
        <f>IF(I756="Cut","",IF(I756="Your call","(decide)",IF(I756="Rename",J756,IF(I756="Keep",IF(D756="",E756,D756),IF(E756="(unchanged)",D756,E756)))))</f>
      </c>
      <c r="M756" s="6">
        <f>IF(AND(I756="Cut",N756&gt;0,K756=""),"USED: say what replaces it (Note)",IF(AND(I756="Rename",J756=""),"type the new name",IF(AND(L756&lt;&gt;"",L756&lt;&gt;"(decide)",COUNTIF($L$2:$L$1680,L756)&gt;1),"SAME FINAL NAME AS ANOTHER ROW","")))</f>
      </c>
      <c r="N756" s="6">
        <v>0</v>
      </c>
      <c r="O756" s="6" t="s">
        <v>2</v>
      </c>
    </row>
    <row r="757" spans="1:15" x14ac:dyDescent="0.25">
      <c r="A757">
        <v>756</v>
      </c>
      <c r="B757" t="s">
        <v>1009</v>
      </c>
      <c r="C757" t="s">
        <v>2</v>
      </c>
      <c r="D757" t="s">
        <v>1021</v>
      </c>
      <c r="E757" t="s">
        <v>292</v>
      </c>
      <c r="F757" t="s">
        <v>2</v>
      </c>
      <c r="G757" t="s">
        <v>38</v>
      </c>
      <c r="H757" t="s">
        <v>39</v>
      </c>
      <c r="I757" s="5" t="s">
        <v>294</v>
      </c>
      <c r="J757" s="5" t="s">
        <v>2</v>
      </c>
      <c r="K757" s="5" t="s">
        <v>2</v>
      </c>
      <c r="L757" s="6">
        <f>IF(I757="Cut","",IF(I757="Your call","(decide)",IF(I757="Rename",J757,IF(I757="Keep",IF(D757="",E757,D757),IF(E757="(unchanged)",D757,E757)))))</f>
      </c>
      <c r="M757" s="6">
        <f>IF(AND(I757="Cut",N757&gt;0,K757=""),"USED: say what replaces it (Note)",IF(AND(I757="Rename",J757=""),"type the new name",IF(AND(L757&lt;&gt;"",L757&lt;&gt;"(decide)",COUNTIF($L$2:$L$1680,L757)&gt;1),"SAME FINAL NAME AS ANOTHER ROW","")))</f>
      </c>
      <c r="N757" s="6">
        <v>0</v>
      </c>
      <c r="O757" s="6" t="s">
        <v>2</v>
      </c>
    </row>
    <row r="758" spans="1:15" x14ac:dyDescent="0.25">
      <c r="A758">
        <v>757</v>
      </c>
      <c r="B758" t="s">
        <v>1009</v>
      </c>
      <c r="C758" t="s">
        <v>2</v>
      </c>
      <c r="D758" t="s">
        <v>1022</v>
      </c>
      <c r="E758" t="s">
        <v>292</v>
      </c>
      <c r="F758" t="s">
        <v>2</v>
      </c>
      <c r="G758" t="s">
        <v>94</v>
      </c>
      <c r="H758" t="s">
        <v>39</v>
      </c>
      <c r="I758" s="5" t="s">
        <v>294</v>
      </c>
      <c r="J758" s="5" t="s">
        <v>2</v>
      </c>
      <c r="K758" s="5" t="s">
        <v>2</v>
      </c>
      <c r="L758" s="6">
        <f>IF(I758="Cut","",IF(I758="Your call","(decide)",IF(I758="Rename",J758,IF(I758="Keep",IF(D758="",E758,D758),IF(E758="(unchanged)",D758,E758)))))</f>
      </c>
      <c r="M758" s="6">
        <f>IF(AND(I758="Cut",N758&gt;0,K758=""),"USED: say what replaces it (Note)",IF(AND(I758="Rename",J758=""),"type the new name",IF(AND(L758&lt;&gt;"",L758&lt;&gt;"(decide)",COUNTIF($L$2:$L$1680,L758)&gt;1),"SAME FINAL NAME AS ANOTHER ROW","")))</f>
      </c>
      <c r="N758" s="6">
        <v>1</v>
      </c>
      <c r="O758" s="6" t="s">
        <v>2</v>
      </c>
    </row>
    <row r="759" spans="1:15" x14ac:dyDescent="0.25">
      <c r="A759">
        <v>758</v>
      </c>
      <c r="B759" t="s">
        <v>1009</v>
      </c>
      <c r="C759" t="s">
        <v>1023</v>
      </c>
      <c r="D759" t="s">
        <v>1024</v>
      </c>
      <c r="E759" t="s">
        <v>292</v>
      </c>
      <c r="F759" t="s">
        <v>2</v>
      </c>
      <c r="G759" t="s">
        <v>38</v>
      </c>
      <c r="H759" t="s">
        <v>39</v>
      </c>
      <c r="I759" s="5" t="s">
        <v>294</v>
      </c>
      <c r="J759" s="5" t="s">
        <v>2</v>
      </c>
      <c r="K759" s="5" t="s">
        <v>2</v>
      </c>
      <c r="L759" s="6">
        <f>IF(I759="Cut","",IF(I759="Your call","(decide)",IF(I759="Rename",J759,IF(I759="Keep",IF(D759="",E759,D759),IF(E759="(unchanged)",D759,E759)))))</f>
      </c>
      <c r="M759" s="6">
        <f>IF(AND(I759="Cut",N759&gt;0,K759=""),"USED: say what replaces it (Note)",IF(AND(I759="Rename",J759=""),"type the new name",IF(AND(L759&lt;&gt;"",L759&lt;&gt;"(decide)",COUNTIF($L$2:$L$1680,L759)&gt;1),"SAME FINAL NAME AS ANOTHER ROW","")))</f>
      </c>
      <c r="N759" s="6">
        <v>0</v>
      </c>
      <c r="O759" s="6" t="s">
        <v>2</v>
      </c>
    </row>
    <row r="760" spans="1:15" x14ac:dyDescent="0.25">
      <c r="A760">
        <v>759</v>
      </c>
      <c r="B760" t="s">
        <v>1009</v>
      </c>
      <c r="C760" t="s">
        <v>1023</v>
      </c>
      <c r="D760" t="s">
        <v>1025</v>
      </c>
      <c r="E760" t="s">
        <v>292</v>
      </c>
      <c r="F760" t="s">
        <v>2</v>
      </c>
      <c r="G760" t="s">
        <v>38</v>
      </c>
      <c r="H760" t="s">
        <v>39</v>
      </c>
      <c r="I760" s="5" t="s">
        <v>294</v>
      </c>
      <c r="J760" s="5" t="s">
        <v>2</v>
      </c>
      <c r="K760" s="5" t="s">
        <v>2</v>
      </c>
      <c r="L760" s="6">
        <f>IF(I760="Cut","",IF(I760="Your call","(decide)",IF(I760="Rename",J760,IF(I760="Keep",IF(D760="",E760,D760),IF(E760="(unchanged)",D760,E760)))))</f>
      </c>
      <c r="M760" s="6">
        <f>IF(AND(I760="Cut",N760&gt;0,K760=""),"USED: say what replaces it (Note)",IF(AND(I760="Rename",J760=""),"type the new name",IF(AND(L760&lt;&gt;"",L760&lt;&gt;"(decide)",COUNTIF($L$2:$L$1680,L760)&gt;1),"SAME FINAL NAME AS ANOTHER ROW","")))</f>
      </c>
      <c r="N760" s="6">
        <v>0</v>
      </c>
      <c r="O760" s="6" t="s">
        <v>2</v>
      </c>
    </row>
    <row r="761" spans="1:15" x14ac:dyDescent="0.25">
      <c r="A761">
        <v>760</v>
      </c>
      <c r="B761" t="s">
        <v>1009</v>
      </c>
      <c r="C761" t="s">
        <v>1023</v>
      </c>
      <c r="D761" t="s">
        <v>1026</v>
      </c>
      <c r="E761" t="s">
        <v>292</v>
      </c>
      <c r="F761" t="s">
        <v>2</v>
      </c>
      <c r="G761" t="s">
        <v>38</v>
      </c>
      <c r="H761" t="s">
        <v>39</v>
      </c>
      <c r="I761" s="5" t="s">
        <v>294</v>
      </c>
      <c r="J761" s="5" t="s">
        <v>2</v>
      </c>
      <c r="K761" s="5" t="s">
        <v>2</v>
      </c>
      <c r="L761" s="6">
        <f>IF(I761="Cut","",IF(I761="Your call","(decide)",IF(I761="Rename",J761,IF(I761="Keep",IF(D761="",E761,D761),IF(E761="(unchanged)",D761,E761)))))</f>
      </c>
      <c r="M761" s="6">
        <f>IF(AND(I761="Cut",N761&gt;0,K761=""),"USED: say what replaces it (Note)",IF(AND(I761="Rename",J761=""),"type the new name",IF(AND(L761&lt;&gt;"",L761&lt;&gt;"(decide)",COUNTIF($L$2:$L$1680,L761)&gt;1),"SAME FINAL NAME AS ANOTHER ROW","")))</f>
      </c>
      <c r="N761" s="6">
        <v>0</v>
      </c>
      <c r="O761" s="6" t="s">
        <v>2</v>
      </c>
    </row>
    <row r="762" spans="1:15" x14ac:dyDescent="0.25">
      <c r="A762">
        <v>761</v>
      </c>
      <c r="B762" t="s">
        <v>1009</v>
      </c>
      <c r="C762" t="s">
        <v>2</v>
      </c>
      <c r="D762" t="s">
        <v>1027</v>
      </c>
      <c r="E762" t="s">
        <v>292</v>
      </c>
      <c r="F762" t="s">
        <v>2</v>
      </c>
      <c r="G762" t="s">
        <v>94</v>
      </c>
      <c r="H762" t="s">
        <v>39</v>
      </c>
      <c r="I762" s="5" t="s">
        <v>294</v>
      </c>
      <c r="J762" s="5" t="s">
        <v>2</v>
      </c>
      <c r="K762" s="5" t="s">
        <v>2</v>
      </c>
      <c r="L762" s="6">
        <f>IF(I762="Cut","",IF(I762="Your call","(decide)",IF(I762="Rename",J762,IF(I762="Keep",IF(D762="",E762,D762),IF(E762="(unchanged)",D762,E762)))))</f>
      </c>
      <c r="M762" s="6">
        <f>IF(AND(I762="Cut",N762&gt;0,K762=""),"USED: say what replaces it (Note)",IF(AND(I762="Rename",J762=""),"type the new name",IF(AND(L762&lt;&gt;"",L762&lt;&gt;"(decide)",COUNTIF($L$2:$L$1680,L762)&gt;1),"SAME FINAL NAME AS ANOTHER ROW","")))</f>
      </c>
      <c r="N762" s="6">
        <v>1</v>
      </c>
      <c r="O762" s="6" t="s">
        <v>2</v>
      </c>
    </row>
    <row r="763" spans="1:15" x14ac:dyDescent="0.25">
      <c r="A763">
        <v>762</v>
      </c>
      <c r="B763" t="s">
        <v>1009</v>
      </c>
      <c r="C763" t="s">
        <v>2</v>
      </c>
      <c r="D763" t="s">
        <v>1028</v>
      </c>
      <c r="E763" t="s">
        <v>292</v>
      </c>
      <c r="F763" t="s">
        <v>2</v>
      </c>
      <c r="G763" t="s">
        <v>94</v>
      </c>
      <c r="H763" t="s">
        <v>39</v>
      </c>
      <c r="I763" s="5" t="s">
        <v>294</v>
      </c>
      <c r="J763" s="5" t="s">
        <v>2</v>
      </c>
      <c r="K763" s="5" t="s">
        <v>2</v>
      </c>
      <c r="L763" s="6">
        <f>IF(I763="Cut","",IF(I763="Your call","(decide)",IF(I763="Rename",J763,IF(I763="Keep",IF(D763="",E763,D763),IF(E763="(unchanged)",D763,E763)))))</f>
      </c>
      <c r="M763" s="6">
        <f>IF(AND(I763="Cut",N763&gt;0,K763=""),"USED: say what replaces it (Note)",IF(AND(I763="Rename",J763=""),"type the new name",IF(AND(L763&lt;&gt;"",L763&lt;&gt;"(decide)",COUNTIF($L$2:$L$1680,L763)&gt;1),"SAME FINAL NAME AS ANOTHER ROW","")))</f>
      </c>
      <c r="N763" s="6">
        <v>1</v>
      </c>
      <c r="O763" s="6" t="s">
        <v>2</v>
      </c>
    </row>
    <row r="764" spans="1:15" x14ac:dyDescent="0.25">
      <c r="A764">
        <v>763</v>
      </c>
      <c r="B764" t="s">
        <v>1009</v>
      </c>
      <c r="C764" t="s">
        <v>1029</v>
      </c>
      <c r="D764" t="s">
        <v>1030</v>
      </c>
      <c r="E764" t="s">
        <v>292</v>
      </c>
      <c r="F764" t="s">
        <v>2</v>
      </c>
      <c r="G764" t="s">
        <v>38</v>
      </c>
      <c r="H764" t="s">
        <v>39</v>
      </c>
      <c r="I764" s="5" t="s">
        <v>294</v>
      </c>
      <c r="J764" s="5" t="s">
        <v>2</v>
      </c>
      <c r="K764" s="5" t="s">
        <v>2</v>
      </c>
      <c r="L764" s="6">
        <f>IF(I764="Cut","",IF(I764="Your call","(decide)",IF(I764="Rename",J764,IF(I764="Keep",IF(D764="",E764,D764),IF(E764="(unchanged)",D764,E764)))))</f>
      </c>
      <c r="M764" s="6">
        <f>IF(AND(I764="Cut",N764&gt;0,K764=""),"USED: say what replaces it (Note)",IF(AND(I764="Rename",J764=""),"type the new name",IF(AND(L764&lt;&gt;"",L764&lt;&gt;"(decide)",COUNTIF($L$2:$L$1680,L764)&gt;1),"SAME FINAL NAME AS ANOTHER ROW","")))</f>
      </c>
      <c r="N764" s="6">
        <v>0</v>
      </c>
      <c r="O764" s="6" t="s">
        <v>2</v>
      </c>
    </row>
    <row r="765" spans="1:15" x14ac:dyDescent="0.25">
      <c r="A765">
        <v>764</v>
      </c>
      <c r="B765" t="s">
        <v>1009</v>
      </c>
      <c r="C765" t="s">
        <v>1029</v>
      </c>
      <c r="D765" t="s">
        <v>1031</v>
      </c>
      <c r="E765" t="s">
        <v>292</v>
      </c>
      <c r="F765" t="s">
        <v>2</v>
      </c>
      <c r="G765" t="s">
        <v>38</v>
      </c>
      <c r="H765" t="s">
        <v>39</v>
      </c>
      <c r="I765" s="5" t="s">
        <v>294</v>
      </c>
      <c r="J765" s="5" t="s">
        <v>2</v>
      </c>
      <c r="K765" s="5" t="s">
        <v>2</v>
      </c>
      <c r="L765" s="6">
        <f>IF(I765="Cut","",IF(I765="Your call","(decide)",IF(I765="Rename",J765,IF(I765="Keep",IF(D765="",E765,D765),IF(E765="(unchanged)",D765,E765)))))</f>
      </c>
      <c r="M765" s="6">
        <f>IF(AND(I765="Cut",N765&gt;0,K765=""),"USED: say what replaces it (Note)",IF(AND(I765="Rename",J765=""),"type the new name",IF(AND(L765&lt;&gt;"",L765&lt;&gt;"(decide)",COUNTIF($L$2:$L$1680,L765)&gt;1),"SAME FINAL NAME AS ANOTHER ROW","")))</f>
      </c>
      <c r="N765" s="6">
        <v>0</v>
      </c>
      <c r="O765" s="6" t="s">
        <v>2</v>
      </c>
    </row>
    <row r="766" spans="1:15" x14ac:dyDescent="0.25">
      <c r="A766">
        <v>765</v>
      </c>
      <c r="B766" t="s">
        <v>1009</v>
      </c>
      <c r="C766" t="s">
        <v>1029</v>
      </c>
      <c r="D766" t="s">
        <v>1032</v>
      </c>
      <c r="E766" t="s">
        <v>292</v>
      </c>
      <c r="F766" t="s">
        <v>2</v>
      </c>
      <c r="G766" t="s">
        <v>38</v>
      </c>
      <c r="H766" t="s">
        <v>39</v>
      </c>
      <c r="I766" s="5" t="s">
        <v>294</v>
      </c>
      <c r="J766" s="5" t="s">
        <v>2</v>
      </c>
      <c r="K766" s="5" t="s">
        <v>2</v>
      </c>
      <c r="L766" s="6">
        <f>IF(I766="Cut","",IF(I766="Your call","(decide)",IF(I766="Rename",J766,IF(I766="Keep",IF(D766="",E766,D766),IF(E766="(unchanged)",D766,E766)))))</f>
      </c>
      <c r="M766" s="6">
        <f>IF(AND(I766="Cut",N766&gt;0,K766=""),"USED: say what replaces it (Note)",IF(AND(I766="Rename",J766=""),"type the new name",IF(AND(L766&lt;&gt;"",L766&lt;&gt;"(decide)",COUNTIF($L$2:$L$1680,L766)&gt;1),"SAME FINAL NAME AS ANOTHER ROW","")))</f>
      </c>
      <c r="N766" s="6">
        <v>0</v>
      </c>
      <c r="O766" s="6" t="s">
        <v>2</v>
      </c>
    </row>
    <row r="767" spans="1:15" x14ac:dyDescent="0.25">
      <c r="A767">
        <v>766</v>
      </c>
      <c r="B767" t="s">
        <v>1009</v>
      </c>
      <c r="C767" t="s">
        <v>1033</v>
      </c>
      <c r="D767" t="s">
        <v>1034</v>
      </c>
      <c r="E767" t="s">
        <v>292</v>
      </c>
      <c r="F767" t="s">
        <v>2</v>
      </c>
      <c r="G767" t="s">
        <v>38</v>
      </c>
      <c r="H767" t="s">
        <v>39</v>
      </c>
      <c r="I767" s="5" t="s">
        <v>294</v>
      </c>
      <c r="J767" s="5" t="s">
        <v>2</v>
      </c>
      <c r="K767" s="5" t="s">
        <v>2</v>
      </c>
      <c r="L767" s="6">
        <f>IF(I767="Cut","",IF(I767="Your call","(decide)",IF(I767="Rename",J767,IF(I767="Keep",IF(D767="",E767,D767),IF(E767="(unchanged)",D767,E767)))))</f>
      </c>
      <c r="M767" s="6">
        <f>IF(AND(I767="Cut",N767&gt;0,K767=""),"USED: say what replaces it (Note)",IF(AND(I767="Rename",J767=""),"type the new name",IF(AND(L767&lt;&gt;"",L767&lt;&gt;"(decide)",COUNTIF($L$2:$L$1680,L767)&gt;1),"SAME FINAL NAME AS ANOTHER ROW","")))</f>
      </c>
      <c r="N767" s="6">
        <v>0</v>
      </c>
      <c r="O767" s="6" t="s">
        <v>2</v>
      </c>
    </row>
    <row r="768" spans="1:15" x14ac:dyDescent="0.25">
      <c r="A768">
        <v>767</v>
      </c>
      <c r="B768" t="s">
        <v>1009</v>
      </c>
      <c r="C768" t="s">
        <v>1033</v>
      </c>
      <c r="D768" t="s">
        <v>1035</v>
      </c>
      <c r="E768" t="s">
        <v>292</v>
      </c>
      <c r="F768" t="s">
        <v>2</v>
      </c>
      <c r="G768" t="s">
        <v>38</v>
      </c>
      <c r="H768" t="s">
        <v>39</v>
      </c>
      <c r="I768" s="5" t="s">
        <v>294</v>
      </c>
      <c r="J768" s="5" t="s">
        <v>2</v>
      </c>
      <c r="K768" s="5" t="s">
        <v>2</v>
      </c>
      <c r="L768" s="6">
        <f>IF(I768="Cut","",IF(I768="Your call","(decide)",IF(I768="Rename",J768,IF(I768="Keep",IF(D768="",E768,D768),IF(E768="(unchanged)",D768,E768)))))</f>
      </c>
      <c r="M768" s="6">
        <f>IF(AND(I768="Cut",N768&gt;0,K768=""),"USED: say what replaces it (Note)",IF(AND(I768="Rename",J768=""),"type the new name",IF(AND(L768&lt;&gt;"",L768&lt;&gt;"(decide)",COUNTIF($L$2:$L$1680,L768)&gt;1),"SAME FINAL NAME AS ANOTHER ROW","")))</f>
      </c>
      <c r="N768" s="6">
        <v>0</v>
      </c>
      <c r="O768" s="6" t="s">
        <v>2</v>
      </c>
    </row>
    <row r="769" spans="1:15" x14ac:dyDescent="0.25">
      <c r="A769">
        <v>768</v>
      </c>
      <c r="B769" t="s">
        <v>1009</v>
      </c>
      <c r="C769" t="s">
        <v>2</v>
      </c>
      <c r="D769" t="s">
        <v>1036</v>
      </c>
      <c r="E769" t="s">
        <v>292</v>
      </c>
      <c r="F769" t="s">
        <v>2</v>
      </c>
      <c r="G769" t="s">
        <v>48</v>
      </c>
      <c r="H769" t="s">
        <v>39</v>
      </c>
      <c r="I769" s="5" t="s">
        <v>294</v>
      </c>
      <c r="J769" s="5" t="s">
        <v>2</v>
      </c>
      <c r="K769" s="5" t="s">
        <v>2</v>
      </c>
      <c r="L769" s="6">
        <f>IF(I769="Cut","",IF(I769="Your call","(decide)",IF(I769="Rename",J769,IF(I769="Keep",IF(D769="",E769,D769),IF(E769="(unchanged)",D769,E769)))))</f>
      </c>
      <c r="M769" s="6">
        <f>IF(AND(I769="Cut",N769&gt;0,K769=""),"USED: say what replaces it (Note)",IF(AND(I769="Rename",J769=""),"type the new name",IF(AND(L769&lt;&gt;"",L769&lt;&gt;"(decide)",COUNTIF($L$2:$L$1680,L769)&gt;1),"SAME FINAL NAME AS ANOTHER ROW","")))</f>
      </c>
      <c r="N769" s="6">
        <v>2</v>
      </c>
      <c r="O769" s="6" t="s">
        <v>2</v>
      </c>
    </row>
    <row r="770" spans="1:15" x14ac:dyDescent="0.25">
      <c r="A770">
        <v>769</v>
      </c>
      <c r="B770" t="s">
        <v>1009</v>
      </c>
      <c r="C770" t="s">
        <v>2</v>
      </c>
      <c r="D770" t="s">
        <v>1037</v>
      </c>
      <c r="E770" t="s">
        <v>292</v>
      </c>
      <c r="F770" t="s">
        <v>2</v>
      </c>
      <c r="G770" t="s">
        <v>38</v>
      </c>
      <c r="H770" t="s">
        <v>39</v>
      </c>
      <c r="I770" s="5" t="s">
        <v>294</v>
      </c>
      <c r="J770" s="5" t="s">
        <v>2</v>
      </c>
      <c r="K770" s="5" t="s">
        <v>2</v>
      </c>
      <c r="L770" s="6">
        <f>IF(I770="Cut","",IF(I770="Your call","(decide)",IF(I770="Rename",J770,IF(I770="Keep",IF(D770="",E770,D770),IF(E770="(unchanged)",D770,E770)))))</f>
      </c>
      <c r="M770" s="6">
        <f>IF(AND(I770="Cut",N770&gt;0,K770=""),"USED: say what replaces it (Note)",IF(AND(I770="Rename",J770=""),"type the new name",IF(AND(L770&lt;&gt;"",L770&lt;&gt;"(decide)",COUNTIF($L$2:$L$1680,L770)&gt;1),"SAME FINAL NAME AS ANOTHER ROW","")))</f>
      </c>
      <c r="N770" s="6">
        <v>0</v>
      </c>
      <c r="O770" s="6" t="s">
        <v>2</v>
      </c>
    </row>
    <row r="771" spans="1:15" x14ac:dyDescent="0.25">
      <c r="A771">
        <v>770</v>
      </c>
      <c r="B771" t="s">
        <v>1009</v>
      </c>
      <c r="C771" t="s">
        <v>2</v>
      </c>
      <c r="D771" t="s">
        <v>1038</v>
      </c>
      <c r="E771" t="s">
        <v>292</v>
      </c>
      <c r="F771" t="s">
        <v>2</v>
      </c>
      <c r="G771" t="s">
        <v>38</v>
      </c>
      <c r="H771" t="s">
        <v>39</v>
      </c>
      <c r="I771" s="5" t="s">
        <v>294</v>
      </c>
      <c r="J771" s="5" t="s">
        <v>2</v>
      </c>
      <c r="K771" s="5" t="s">
        <v>2</v>
      </c>
      <c r="L771" s="6">
        <f>IF(I771="Cut","",IF(I771="Your call","(decide)",IF(I771="Rename",J771,IF(I771="Keep",IF(D771="",E771,D771),IF(E771="(unchanged)",D771,E771)))))</f>
      </c>
      <c r="M771" s="6">
        <f>IF(AND(I771="Cut",N771&gt;0,K771=""),"USED: say what replaces it (Note)",IF(AND(I771="Rename",J771=""),"type the new name",IF(AND(L771&lt;&gt;"",L771&lt;&gt;"(decide)",COUNTIF($L$2:$L$1680,L771)&gt;1),"SAME FINAL NAME AS ANOTHER ROW","")))</f>
      </c>
      <c r="N771" s="6">
        <v>0</v>
      </c>
      <c r="O771" s="6" t="s">
        <v>2</v>
      </c>
    </row>
    <row r="772" spans="1:15" x14ac:dyDescent="0.25">
      <c r="A772">
        <v>771</v>
      </c>
      <c r="B772" t="s">
        <v>1009</v>
      </c>
      <c r="C772" t="s">
        <v>2</v>
      </c>
      <c r="D772" t="s">
        <v>1039</v>
      </c>
      <c r="E772" t="s">
        <v>292</v>
      </c>
      <c r="F772" t="s">
        <v>2</v>
      </c>
      <c r="G772" t="s">
        <v>38</v>
      </c>
      <c r="H772" t="s">
        <v>39</v>
      </c>
      <c r="I772" s="5" t="s">
        <v>294</v>
      </c>
      <c r="J772" s="5" t="s">
        <v>2</v>
      </c>
      <c r="K772" s="5" t="s">
        <v>2</v>
      </c>
      <c r="L772" s="6">
        <f>IF(I772="Cut","",IF(I772="Your call","(decide)",IF(I772="Rename",J772,IF(I772="Keep",IF(D772="",E772,D772),IF(E772="(unchanged)",D772,E772)))))</f>
      </c>
      <c r="M772" s="6">
        <f>IF(AND(I772="Cut",N772&gt;0,K772=""),"USED: say what replaces it (Note)",IF(AND(I772="Rename",J772=""),"type the new name",IF(AND(L772&lt;&gt;"",L772&lt;&gt;"(decide)",COUNTIF($L$2:$L$1680,L772)&gt;1),"SAME FINAL NAME AS ANOTHER ROW","")))</f>
      </c>
      <c r="N772" s="6">
        <v>0</v>
      </c>
      <c r="O772" s="6" t="s">
        <v>2</v>
      </c>
    </row>
    <row r="773" spans="1:15" x14ac:dyDescent="0.25">
      <c r="A773">
        <v>772</v>
      </c>
      <c r="B773" t="s">
        <v>1009</v>
      </c>
      <c r="C773" t="s">
        <v>2</v>
      </c>
      <c r="D773" t="s">
        <v>1040</v>
      </c>
      <c r="E773" t="s">
        <v>292</v>
      </c>
      <c r="F773" t="s">
        <v>2</v>
      </c>
      <c r="G773" t="s">
        <v>48</v>
      </c>
      <c r="H773" t="s">
        <v>39</v>
      </c>
      <c r="I773" s="5" t="s">
        <v>294</v>
      </c>
      <c r="J773" s="5" t="s">
        <v>2</v>
      </c>
      <c r="K773" s="5" t="s">
        <v>2</v>
      </c>
      <c r="L773" s="6">
        <f>IF(I773="Cut","",IF(I773="Your call","(decide)",IF(I773="Rename",J773,IF(I773="Keep",IF(D773="",E773,D773),IF(E773="(unchanged)",D773,E773)))))</f>
      </c>
      <c r="M773" s="6">
        <f>IF(AND(I773="Cut",N773&gt;0,K773=""),"USED: say what replaces it (Note)",IF(AND(I773="Rename",J773=""),"type the new name",IF(AND(L773&lt;&gt;"",L773&lt;&gt;"(decide)",COUNTIF($L$2:$L$1680,L773)&gt;1),"SAME FINAL NAME AS ANOTHER ROW","")))</f>
      </c>
      <c r="N773" s="6">
        <v>2</v>
      </c>
      <c r="O773" s="6" t="s">
        <v>2</v>
      </c>
    </row>
    <row r="774" spans="1:15" x14ac:dyDescent="0.25">
      <c r="A774">
        <v>773</v>
      </c>
      <c r="B774" t="s">
        <v>1009</v>
      </c>
      <c r="C774" t="s">
        <v>2</v>
      </c>
      <c r="D774" t="s">
        <v>1041</v>
      </c>
      <c r="E774" t="s">
        <v>292</v>
      </c>
      <c r="F774" t="s">
        <v>2</v>
      </c>
      <c r="G774" t="s">
        <v>71</v>
      </c>
      <c r="H774" t="s">
        <v>39</v>
      </c>
      <c r="I774" s="5" t="s">
        <v>294</v>
      </c>
      <c r="J774" s="5" t="s">
        <v>2</v>
      </c>
      <c r="K774" s="5" t="s">
        <v>2</v>
      </c>
      <c r="L774" s="6">
        <f>IF(I774="Cut","",IF(I774="Your call","(decide)",IF(I774="Rename",J774,IF(I774="Keep",IF(D774="",E774,D774),IF(E774="(unchanged)",D774,E774)))))</f>
      </c>
      <c r="M774" s="6">
        <f>IF(AND(I774="Cut",N774&gt;0,K774=""),"USED: say what replaces it (Note)",IF(AND(I774="Rename",J774=""),"type the new name",IF(AND(L774&lt;&gt;"",L774&lt;&gt;"(decide)",COUNTIF($L$2:$L$1680,L774)&gt;1),"SAME FINAL NAME AS ANOTHER ROW","")))</f>
      </c>
      <c r="N774" s="6">
        <v>4</v>
      </c>
      <c r="O774" s="6" t="s">
        <v>2</v>
      </c>
    </row>
    <row r="775" spans="1:15" x14ac:dyDescent="0.25">
      <c r="A775">
        <v>774</v>
      </c>
      <c r="B775" t="s">
        <v>1009</v>
      </c>
      <c r="C775" t="s">
        <v>2</v>
      </c>
      <c r="D775" t="s">
        <v>1042</v>
      </c>
      <c r="E775" t="s">
        <v>292</v>
      </c>
      <c r="F775" t="s">
        <v>2</v>
      </c>
      <c r="G775" t="s">
        <v>38</v>
      </c>
      <c r="H775" t="s">
        <v>39</v>
      </c>
      <c r="I775" s="5" t="s">
        <v>294</v>
      </c>
      <c r="J775" s="5" t="s">
        <v>2</v>
      </c>
      <c r="K775" s="5" t="s">
        <v>2</v>
      </c>
      <c r="L775" s="6">
        <f>IF(I775="Cut","",IF(I775="Your call","(decide)",IF(I775="Rename",J775,IF(I775="Keep",IF(D775="",E775,D775),IF(E775="(unchanged)",D775,E775)))))</f>
      </c>
      <c r="M775" s="6">
        <f>IF(AND(I775="Cut",N775&gt;0,K775=""),"USED: say what replaces it (Note)",IF(AND(I775="Rename",J775=""),"type the new name",IF(AND(L775&lt;&gt;"",L775&lt;&gt;"(decide)",COUNTIF($L$2:$L$1680,L775)&gt;1),"SAME FINAL NAME AS ANOTHER ROW","")))</f>
      </c>
      <c r="N775" s="6">
        <v>0</v>
      </c>
      <c r="O775" s="6" t="s">
        <v>2</v>
      </c>
    </row>
    <row r="776" spans="1:15" x14ac:dyDescent="0.25">
      <c r="A776">
        <v>775</v>
      </c>
      <c r="B776" t="s">
        <v>1009</v>
      </c>
      <c r="C776" t="s">
        <v>2</v>
      </c>
      <c r="D776" t="s">
        <v>1043</v>
      </c>
      <c r="E776" t="s">
        <v>292</v>
      </c>
      <c r="F776" t="s">
        <v>2</v>
      </c>
      <c r="G776" t="s">
        <v>38</v>
      </c>
      <c r="H776" t="s">
        <v>39</v>
      </c>
      <c r="I776" s="5" t="s">
        <v>294</v>
      </c>
      <c r="J776" s="5" t="s">
        <v>2</v>
      </c>
      <c r="K776" s="5" t="s">
        <v>2</v>
      </c>
      <c r="L776" s="6">
        <f>IF(I776="Cut","",IF(I776="Your call","(decide)",IF(I776="Rename",J776,IF(I776="Keep",IF(D776="",E776,D776),IF(E776="(unchanged)",D776,E776)))))</f>
      </c>
      <c r="M776" s="6">
        <f>IF(AND(I776="Cut",N776&gt;0,K776=""),"USED: say what replaces it (Note)",IF(AND(I776="Rename",J776=""),"type the new name",IF(AND(L776&lt;&gt;"",L776&lt;&gt;"(decide)",COUNTIF($L$2:$L$1680,L776)&gt;1),"SAME FINAL NAME AS ANOTHER ROW","")))</f>
      </c>
      <c r="N776" s="6">
        <v>0</v>
      </c>
      <c r="O776" s="6" t="s">
        <v>2</v>
      </c>
    </row>
    <row r="777" spans="1:15" x14ac:dyDescent="0.25">
      <c r="A777">
        <v>776</v>
      </c>
      <c r="B777" t="s">
        <v>1009</v>
      </c>
      <c r="C777" t="s">
        <v>2</v>
      </c>
      <c r="D777" t="s">
        <v>1044</v>
      </c>
      <c r="E777" t="s">
        <v>292</v>
      </c>
      <c r="F777" t="s">
        <v>2</v>
      </c>
      <c r="G777" t="s">
        <v>38</v>
      </c>
      <c r="H777" t="s">
        <v>39</v>
      </c>
      <c r="I777" s="5" t="s">
        <v>294</v>
      </c>
      <c r="J777" s="5" t="s">
        <v>2</v>
      </c>
      <c r="K777" s="5" t="s">
        <v>2</v>
      </c>
      <c r="L777" s="6">
        <f>IF(I777="Cut","",IF(I777="Your call","(decide)",IF(I777="Rename",J777,IF(I777="Keep",IF(D777="",E777,D777),IF(E777="(unchanged)",D777,E777)))))</f>
      </c>
      <c r="M777" s="6">
        <f>IF(AND(I777="Cut",N777&gt;0,K777=""),"USED: say what replaces it (Note)",IF(AND(I777="Rename",J777=""),"type the new name",IF(AND(L777&lt;&gt;"",L777&lt;&gt;"(decide)",COUNTIF($L$2:$L$1680,L777)&gt;1),"SAME FINAL NAME AS ANOTHER ROW","")))</f>
      </c>
      <c r="N777" s="6">
        <v>0</v>
      </c>
      <c r="O777" s="6" t="s">
        <v>2</v>
      </c>
    </row>
    <row r="778" spans="1:15" x14ac:dyDescent="0.25">
      <c r="A778">
        <v>777</v>
      </c>
      <c r="B778" t="s">
        <v>1009</v>
      </c>
      <c r="C778" t="s">
        <v>1045</v>
      </c>
      <c r="D778" t="s">
        <v>1046</v>
      </c>
      <c r="E778" t="s">
        <v>292</v>
      </c>
      <c r="F778" t="s">
        <v>2</v>
      </c>
      <c r="G778" t="s">
        <v>38</v>
      </c>
      <c r="H778" t="s">
        <v>39</v>
      </c>
      <c r="I778" s="5" t="s">
        <v>294</v>
      </c>
      <c r="J778" s="5" t="s">
        <v>2</v>
      </c>
      <c r="K778" s="5" t="s">
        <v>2</v>
      </c>
      <c r="L778" s="6">
        <f>IF(I778="Cut","",IF(I778="Your call","(decide)",IF(I778="Rename",J778,IF(I778="Keep",IF(D778="",E778,D778),IF(E778="(unchanged)",D778,E778)))))</f>
      </c>
      <c r="M778" s="6">
        <f>IF(AND(I778="Cut",N778&gt;0,K778=""),"USED: say what replaces it (Note)",IF(AND(I778="Rename",J778=""),"type the new name",IF(AND(L778&lt;&gt;"",L778&lt;&gt;"(decide)",COUNTIF($L$2:$L$1680,L778)&gt;1),"SAME FINAL NAME AS ANOTHER ROW","")))</f>
      </c>
      <c r="N778" s="6">
        <v>0</v>
      </c>
      <c r="O778" s="6" t="s">
        <v>2</v>
      </c>
    </row>
    <row r="779" spans="1:15" x14ac:dyDescent="0.25">
      <c r="A779">
        <v>778</v>
      </c>
      <c r="B779" t="s">
        <v>1009</v>
      </c>
      <c r="C779" t="s">
        <v>1045</v>
      </c>
      <c r="D779" t="s">
        <v>1047</v>
      </c>
      <c r="E779" t="s">
        <v>292</v>
      </c>
      <c r="F779" t="s">
        <v>2</v>
      </c>
      <c r="G779" t="s">
        <v>38</v>
      </c>
      <c r="H779" t="s">
        <v>39</v>
      </c>
      <c r="I779" s="5" t="s">
        <v>294</v>
      </c>
      <c r="J779" s="5" t="s">
        <v>2</v>
      </c>
      <c r="K779" s="5" t="s">
        <v>2</v>
      </c>
      <c r="L779" s="6">
        <f>IF(I779="Cut","",IF(I779="Your call","(decide)",IF(I779="Rename",J779,IF(I779="Keep",IF(D779="",E779,D779),IF(E779="(unchanged)",D779,E779)))))</f>
      </c>
      <c r="M779" s="6">
        <f>IF(AND(I779="Cut",N779&gt;0,K779=""),"USED: say what replaces it (Note)",IF(AND(I779="Rename",J779=""),"type the new name",IF(AND(L779&lt;&gt;"",L779&lt;&gt;"(decide)",COUNTIF($L$2:$L$1680,L779)&gt;1),"SAME FINAL NAME AS ANOTHER ROW","")))</f>
      </c>
      <c r="N779" s="6">
        <v>0</v>
      </c>
      <c r="O779" s="6" t="s">
        <v>2</v>
      </c>
    </row>
    <row r="780" spans="1:15" x14ac:dyDescent="0.25">
      <c r="A780">
        <v>779</v>
      </c>
      <c r="B780" t="s">
        <v>1009</v>
      </c>
      <c r="C780" t="s">
        <v>1045</v>
      </c>
      <c r="D780" t="s">
        <v>1048</v>
      </c>
      <c r="E780" t="s">
        <v>292</v>
      </c>
      <c r="F780" t="s">
        <v>2</v>
      </c>
      <c r="G780" t="s">
        <v>38</v>
      </c>
      <c r="H780" t="s">
        <v>39</v>
      </c>
      <c r="I780" s="5" t="s">
        <v>294</v>
      </c>
      <c r="J780" s="5" t="s">
        <v>2</v>
      </c>
      <c r="K780" s="5" t="s">
        <v>2</v>
      </c>
      <c r="L780" s="6">
        <f>IF(I780="Cut","",IF(I780="Your call","(decide)",IF(I780="Rename",J780,IF(I780="Keep",IF(D780="",E780,D780),IF(E780="(unchanged)",D780,E780)))))</f>
      </c>
      <c r="M780" s="6">
        <f>IF(AND(I780="Cut",N780&gt;0,K780=""),"USED: say what replaces it (Note)",IF(AND(I780="Rename",J780=""),"type the new name",IF(AND(L780&lt;&gt;"",L780&lt;&gt;"(decide)",COUNTIF($L$2:$L$1680,L780)&gt;1),"SAME FINAL NAME AS ANOTHER ROW","")))</f>
      </c>
      <c r="N780" s="6">
        <v>0</v>
      </c>
      <c r="O780" s="6" t="s">
        <v>2</v>
      </c>
    </row>
    <row r="781" spans="1:15" x14ac:dyDescent="0.25">
      <c r="A781">
        <v>780</v>
      </c>
      <c r="B781" t="s">
        <v>1009</v>
      </c>
      <c r="C781" t="s">
        <v>2</v>
      </c>
      <c r="D781" t="s">
        <v>1049</v>
      </c>
      <c r="E781" t="s">
        <v>292</v>
      </c>
      <c r="F781" t="s">
        <v>2</v>
      </c>
      <c r="G781" t="s">
        <v>94</v>
      </c>
      <c r="H781" t="s">
        <v>39</v>
      </c>
      <c r="I781" s="5" t="s">
        <v>294</v>
      </c>
      <c r="J781" s="5" t="s">
        <v>2</v>
      </c>
      <c r="K781" s="5" t="s">
        <v>2</v>
      </c>
      <c r="L781" s="6">
        <f>IF(I781="Cut","",IF(I781="Your call","(decide)",IF(I781="Rename",J781,IF(I781="Keep",IF(D781="",E781,D781),IF(E781="(unchanged)",D781,E781)))))</f>
      </c>
      <c r="M781" s="6">
        <f>IF(AND(I781="Cut",N781&gt;0,K781=""),"USED: say what replaces it (Note)",IF(AND(I781="Rename",J781=""),"type the new name",IF(AND(L781&lt;&gt;"",L781&lt;&gt;"(decide)",COUNTIF($L$2:$L$1680,L781)&gt;1),"SAME FINAL NAME AS ANOTHER ROW","")))</f>
      </c>
      <c r="N781" s="6">
        <v>1</v>
      </c>
      <c r="O781" s="6" t="s">
        <v>2</v>
      </c>
    </row>
    <row r="782" spans="1:15" x14ac:dyDescent="0.25">
      <c r="A782">
        <v>781</v>
      </c>
      <c r="B782" t="s">
        <v>1009</v>
      </c>
      <c r="C782" t="s">
        <v>2</v>
      </c>
      <c r="D782" t="s">
        <v>1050</v>
      </c>
      <c r="E782" t="s">
        <v>292</v>
      </c>
      <c r="F782" t="s">
        <v>2</v>
      </c>
      <c r="G782" t="s">
        <v>38</v>
      </c>
      <c r="H782" t="s">
        <v>39</v>
      </c>
      <c r="I782" s="5" t="s">
        <v>294</v>
      </c>
      <c r="J782" s="5" t="s">
        <v>2</v>
      </c>
      <c r="K782" s="5" t="s">
        <v>2</v>
      </c>
      <c r="L782" s="6">
        <f>IF(I782="Cut","",IF(I782="Your call","(decide)",IF(I782="Rename",J782,IF(I782="Keep",IF(D782="",E782,D782),IF(E782="(unchanged)",D782,E782)))))</f>
      </c>
      <c r="M782" s="6">
        <f>IF(AND(I782="Cut",N782&gt;0,K782=""),"USED: say what replaces it (Note)",IF(AND(I782="Rename",J782=""),"type the new name",IF(AND(L782&lt;&gt;"",L782&lt;&gt;"(decide)",COUNTIF($L$2:$L$1680,L782)&gt;1),"SAME FINAL NAME AS ANOTHER ROW","")))</f>
      </c>
      <c r="N782" s="6">
        <v>0</v>
      </c>
      <c r="O782" s="6" t="s">
        <v>2</v>
      </c>
    </row>
    <row r="783" spans="1:15" x14ac:dyDescent="0.25">
      <c r="A783">
        <v>782</v>
      </c>
      <c r="B783" t="s">
        <v>1009</v>
      </c>
      <c r="C783" t="s">
        <v>2</v>
      </c>
      <c r="D783" t="s">
        <v>1051</v>
      </c>
      <c r="E783" t="s">
        <v>292</v>
      </c>
      <c r="F783" t="s">
        <v>2</v>
      </c>
      <c r="G783" t="s">
        <v>71</v>
      </c>
      <c r="H783" t="s">
        <v>39</v>
      </c>
      <c r="I783" s="5" t="s">
        <v>294</v>
      </c>
      <c r="J783" s="5" t="s">
        <v>2</v>
      </c>
      <c r="K783" s="5" t="s">
        <v>2</v>
      </c>
      <c r="L783" s="6">
        <f>IF(I783="Cut","",IF(I783="Your call","(decide)",IF(I783="Rename",J783,IF(I783="Keep",IF(D783="",E783,D783),IF(E783="(unchanged)",D783,E783)))))</f>
      </c>
      <c r="M783" s="6">
        <f>IF(AND(I783="Cut",N783&gt;0,K783=""),"USED: say what replaces it (Note)",IF(AND(I783="Rename",J783=""),"type the new name",IF(AND(L783&lt;&gt;"",L783&lt;&gt;"(decide)",COUNTIF($L$2:$L$1680,L783)&gt;1),"SAME FINAL NAME AS ANOTHER ROW","")))</f>
      </c>
      <c r="N783" s="6">
        <v>4</v>
      </c>
      <c r="O783" s="6" t="s">
        <v>2</v>
      </c>
    </row>
    <row r="784" spans="1:15" x14ac:dyDescent="0.25">
      <c r="A784">
        <v>783</v>
      </c>
      <c r="B784" t="s">
        <v>1009</v>
      </c>
      <c r="C784" t="s">
        <v>2</v>
      </c>
      <c r="D784" t="s">
        <v>1052</v>
      </c>
      <c r="E784" t="s">
        <v>292</v>
      </c>
      <c r="F784" t="s">
        <v>2</v>
      </c>
      <c r="G784" t="s">
        <v>38</v>
      </c>
      <c r="H784" t="s">
        <v>39</v>
      </c>
      <c r="I784" s="5" t="s">
        <v>294</v>
      </c>
      <c r="J784" s="5" t="s">
        <v>2</v>
      </c>
      <c r="K784" s="5" t="s">
        <v>2</v>
      </c>
      <c r="L784" s="6">
        <f>IF(I784="Cut","",IF(I784="Your call","(decide)",IF(I784="Rename",J784,IF(I784="Keep",IF(D784="",E784,D784),IF(E784="(unchanged)",D784,E784)))))</f>
      </c>
      <c r="M784" s="6">
        <f>IF(AND(I784="Cut",N784&gt;0,K784=""),"USED: say what replaces it (Note)",IF(AND(I784="Rename",J784=""),"type the new name",IF(AND(L784&lt;&gt;"",L784&lt;&gt;"(decide)",COUNTIF($L$2:$L$1680,L784)&gt;1),"SAME FINAL NAME AS ANOTHER ROW","")))</f>
      </c>
      <c r="N784" s="6">
        <v>0</v>
      </c>
      <c r="O784" s="6" t="s">
        <v>2</v>
      </c>
    </row>
    <row r="785" spans="1:15" x14ac:dyDescent="0.25">
      <c r="A785">
        <v>784</v>
      </c>
      <c r="B785" t="s">
        <v>1009</v>
      </c>
      <c r="C785" t="s">
        <v>2</v>
      </c>
      <c r="D785" t="s">
        <v>1053</v>
      </c>
      <c r="E785" t="s">
        <v>292</v>
      </c>
      <c r="F785" t="s">
        <v>2</v>
      </c>
      <c r="G785" t="s">
        <v>48</v>
      </c>
      <c r="H785" t="s">
        <v>39</v>
      </c>
      <c r="I785" s="5" t="s">
        <v>294</v>
      </c>
      <c r="J785" s="5" t="s">
        <v>2</v>
      </c>
      <c r="K785" s="5" t="s">
        <v>2</v>
      </c>
      <c r="L785" s="6">
        <f>IF(I785="Cut","",IF(I785="Your call","(decide)",IF(I785="Rename",J785,IF(I785="Keep",IF(D785="",E785,D785),IF(E785="(unchanged)",D785,E785)))))</f>
      </c>
      <c r="M785" s="6">
        <f>IF(AND(I785="Cut",N785&gt;0,K785=""),"USED: say what replaces it (Note)",IF(AND(I785="Rename",J785=""),"type the new name",IF(AND(L785&lt;&gt;"",L785&lt;&gt;"(decide)",COUNTIF($L$2:$L$1680,L785)&gt;1),"SAME FINAL NAME AS ANOTHER ROW","")))</f>
      </c>
      <c r="N785" s="6">
        <v>2</v>
      </c>
      <c r="O785" s="6" t="s">
        <v>2</v>
      </c>
    </row>
    <row r="786" spans="1:15" x14ac:dyDescent="0.25">
      <c r="A786">
        <v>785</v>
      </c>
      <c r="B786" t="s">
        <v>1009</v>
      </c>
      <c r="C786" t="s">
        <v>1054</v>
      </c>
      <c r="D786" t="s">
        <v>1055</v>
      </c>
      <c r="E786" t="s">
        <v>292</v>
      </c>
      <c r="F786" t="s">
        <v>2</v>
      </c>
      <c r="G786" t="s">
        <v>38</v>
      </c>
      <c r="H786" t="s">
        <v>39</v>
      </c>
      <c r="I786" s="5" t="s">
        <v>294</v>
      </c>
      <c r="J786" s="5" t="s">
        <v>2</v>
      </c>
      <c r="K786" s="5" t="s">
        <v>2</v>
      </c>
      <c r="L786" s="6">
        <f>IF(I786="Cut","",IF(I786="Your call","(decide)",IF(I786="Rename",J786,IF(I786="Keep",IF(D786="",E786,D786),IF(E786="(unchanged)",D786,E786)))))</f>
      </c>
      <c r="M786" s="6">
        <f>IF(AND(I786="Cut",N786&gt;0,K786=""),"USED: say what replaces it (Note)",IF(AND(I786="Rename",J786=""),"type the new name",IF(AND(L786&lt;&gt;"",L786&lt;&gt;"(decide)",COUNTIF($L$2:$L$1680,L786)&gt;1),"SAME FINAL NAME AS ANOTHER ROW","")))</f>
      </c>
      <c r="N786" s="6">
        <v>0</v>
      </c>
      <c r="O786" s="6" t="s">
        <v>2</v>
      </c>
    </row>
    <row r="787" spans="1:15" x14ac:dyDescent="0.25">
      <c r="A787">
        <v>786</v>
      </c>
      <c r="B787" t="s">
        <v>1009</v>
      </c>
      <c r="C787" t="s">
        <v>1054</v>
      </c>
      <c r="D787" t="s">
        <v>1056</v>
      </c>
      <c r="E787" t="s">
        <v>292</v>
      </c>
      <c r="F787" t="s">
        <v>2</v>
      </c>
      <c r="G787" t="s">
        <v>94</v>
      </c>
      <c r="H787" t="s">
        <v>39</v>
      </c>
      <c r="I787" s="5" t="s">
        <v>294</v>
      </c>
      <c r="J787" s="5" t="s">
        <v>2</v>
      </c>
      <c r="K787" s="5" t="s">
        <v>2</v>
      </c>
      <c r="L787" s="6">
        <f>IF(I787="Cut","",IF(I787="Your call","(decide)",IF(I787="Rename",J787,IF(I787="Keep",IF(D787="",E787,D787),IF(E787="(unchanged)",D787,E787)))))</f>
      </c>
      <c r="M787" s="6">
        <f>IF(AND(I787="Cut",N787&gt;0,K787=""),"USED: say what replaces it (Note)",IF(AND(I787="Rename",J787=""),"type the new name",IF(AND(L787&lt;&gt;"",L787&lt;&gt;"(decide)",COUNTIF($L$2:$L$1680,L787)&gt;1),"SAME FINAL NAME AS ANOTHER ROW","")))</f>
      </c>
      <c r="N787" s="6">
        <v>1</v>
      </c>
      <c r="O787" s="6" t="s">
        <v>2</v>
      </c>
    </row>
    <row r="788" spans="1:15" x14ac:dyDescent="0.25">
      <c r="A788">
        <v>787</v>
      </c>
      <c r="B788" t="s">
        <v>1009</v>
      </c>
      <c r="C788" t="s">
        <v>1054</v>
      </c>
      <c r="D788" t="s">
        <v>1057</v>
      </c>
      <c r="E788" t="s">
        <v>292</v>
      </c>
      <c r="F788" t="s">
        <v>2</v>
      </c>
      <c r="G788" t="s">
        <v>38</v>
      </c>
      <c r="H788" t="s">
        <v>39</v>
      </c>
      <c r="I788" s="5" t="s">
        <v>294</v>
      </c>
      <c r="J788" s="5" t="s">
        <v>2</v>
      </c>
      <c r="K788" s="5" t="s">
        <v>2</v>
      </c>
      <c r="L788" s="6">
        <f>IF(I788="Cut","",IF(I788="Your call","(decide)",IF(I788="Rename",J788,IF(I788="Keep",IF(D788="",E788,D788),IF(E788="(unchanged)",D788,E788)))))</f>
      </c>
      <c r="M788" s="6">
        <f>IF(AND(I788="Cut",N788&gt;0,K788=""),"USED: say what replaces it (Note)",IF(AND(I788="Rename",J788=""),"type the new name",IF(AND(L788&lt;&gt;"",L788&lt;&gt;"(decide)",COUNTIF($L$2:$L$1680,L788)&gt;1),"SAME FINAL NAME AS ANOTHER ROW","")))</f>
      </c>
      <c r="N788" s="6">
        <v>0</v>
      </c>
      <c r="O788" s="6" t="s">
        <v>2</v>
      </c>
    </row>
    <row r="789" spans="1:15" x14ac:dyDescent="0.25">
      <c r="A789">
        <v>788</v>
      </c>
      <c r="B789" t="s">
        <v>1009</v>
      </c>
      <c r="C789" t="s">
        <v>1054</v>
      </c>
      <c r="D789" t="s">
        <v>1058</v>
      </c>
      <c r="E789" t="s">
        <v>292</v>
      </c>
      <c r="F789" t="s">
        <v>2</v>
      </c>
      <c r="G789" t="s">
        <v>94</v>
      </c>
      <c r="H789" t="s">
        <v>39</v>
      </c>
      <c r="I789" s="5" t="s">
        <v>294</v>
      </c>
      <c r="J789" s="5" t="s">
        <v>2</v>
      </c>
      <c r="K789" s="5" t="s">
        <v>2</v>
      </c>
      <c r="L789" s="6">
        <f>IF(I789="Cut","",IF(I789="Your call","(decide)",IF(I789="Rename",J789,IF(I789="Keep",IF(D789="",E789,D789),IF(E789="(unchanged)",D789,E789)))))</f>
      </c>
      <c r="M789" s="6">
        <f>IF(AND(I789="Cut",N789&gt;0,K789=""),"USED: say what replaces it (Note)",IF(AND(I789="Rename",J789=""),"type the new name",IF(AND(L789&lt;&gt;"",L789&lt;&gt;"(decide)",COUNTIF($L$2:$L$1680,L789)&gt;1),"SAME FINAL NAME AS ANOTHER ROW","")))</f>
      </c>
      <c r="N789" s="6">
        <v>1</v>
      </c>
      <c r="O789" s="6" t="s">
        <v>2</v>
      </c>
    </row>
    <row r="790" spans="1:15" x14ac:dyDescent="0.25">
      <c r="A790">
        <v>789</v>
      </c>
      <c r="B790" t="s">
        <v>1009</v>
      </c>
      <c r="C790" t="s">
        <v>1054</v>
      </c>
      <c r="D790" t="s">
        <v>1059</v>
      </c>
      <c r="E790" t="s">
        <v>292</v>
      </c>
      <c r="F790" t="s">
        <v>2</v>
      </c>
      <c r="G790" t="s">
        <v>38</v>
      </c>
      <c r="H790" t="s">
        <v>39</v>
      </c>
      <c r="I790" s="5" t="s">
        <v>294</v>
      </c>
      <c r="J790" s="5" t="s">
        <v>2</v>
      </c>
      <c r="K790" s="5" t="s">
        <v>2</v>
      </c>
      <c r="L790" s="6">
        <f>IF(I790="Cut","",IF(I790="Your call","(decide)",IF(I790="Rename",J790,IF(I790="Keep",IF(D790="",E790,D790),IF(E790="(unchanged)",D790,E790)))))</f>
      </c>
      <c r="M790" s="6">
        <f>IF(AND(I790="Cut",N790&gt;0,K790=""),"USED: say what replaces it (Note)",IF(AND(I790="Rename",J790=""),"type the new name",IF(AND(L790&lt;&gt;"",L790&lt;&gt;"(decide)",COUNTIF($L$2:$L$1680,L790)&gt;1),"SAME FINAL NAME AS ANOTHER ROW","")))</f>
      </c>
      <c r="N790" s="6">
        <v>0</v>
      </c>
      <c r="O790" s="6" t="s">
        <v>2</v>
      </c>
    </row>
    <row r="791" spans="1:15" x14ac:dyDescent="0.25">
      <c r="A791">
        <v>790</v>
      </c>
      <c r="B791" t="s">
        <v>1009</v>
      </c>
      <c r="C791" t="s">
        <v>1054</v>
      </c>
      <c r="D791" t="s">
        <v>1060</v>
      </c>
      <c r="E791" t="s">
        <v>292</v>
      </c>
      <c r="F791" t="s">
        <v>2</v>
      </c>
      <c r="G791" t="s">
        <v>38</v>
      </c>
      <c r="H791" t="s">
        <v>39</v>
      </c>
      <c r="I791" s="5" t="s">
        <v>294</v>
      </c>
      <c r="J791" s="5" t="s">
        <v>2</v>
      </c>
      <c r="K791" s="5" t="s">
        <v>2</v>
      </c>
      <c r="L791" s="6">
        <f>IF(I791="Cut","",IF(I791="Your call","(decide)",IF(I791="Rename",J791,IF(I791="Keep",IF(D791="",E791,D791),IF(E791="(unchanged)",D791,E791)))))</f>
      </c>
      <c r="M791" s="6">
        <f>IF(AND(I791="Cut",N791&gt;0,K791=""),"USED: say what replaces it (Note)",IF(AND(I791="Rename",J791=""),"type the new name",IF(AND(L791&lt;&gt;"",L791&lt;&gt;"(decide)",COUNTIF($L$2:$L$1680,L791)&gt;1),"SAME FINAL NAME AS ANOTHER ROW","")))</f>
      </c>
      <c r="N791" s="6">
        <v>0</v>
      </c>
      <c r="O791" s="6" t="s">
        <v>2</v>
      </c>
    </row>
    <row r="792" spans="1:15" x14ac:dyDescent="0.25">
      <c r="A792">
        <v>791</v>
      </c>
      <c r="B792" t="s">
        <v>1009</v>
      </c>
      <c r="C792" t="s">
        <v>1061</v>
      </c>
      <c r="D792" t="s">
        <v>1062</v>
      </c>
      <c r="E792" t="s">
        <v>292</v>
      </c>
      <c r="F792" t="s">
        <v>2</v>
      </c>
      <c r="G792" t="s">
        <v>38</v>
      </c>
      <c r="H792" t="s">
        <v>39</v>
      </c>
      <c r="I792" s="5" t="s">
        <v>294</v>
      </c>
      <c r="J792" s="5" t="s">
        <v>2</v>
      </c>
      <c r="K792" s="5" t="s">
        <v>2</v>
      </c>
      <c r="L792" s="6">
        <f>IF(I792="Cut","",IF(I792="Your call","(decide)",IF(I792="Rename",J792,IF(I792="Keep",IF(D792="",E792,D792),IF(E792="(unchanged)",D792,E792)))))</f>
      </c>
      <c r="M792" s="6">
        <f>IF(AND(I792="Cut",N792&gt;0,K792=""),"USED: say what replaces it (Note)",IF(AND(I792="Rename",J792=""),"type the new name",IF(AND(L792&lt;&gt;"",L792&lt;&gt;"(decide)",COUNTIF($L$2:$L$1680,L792)&gt;1),"SAME FINAL NAME AS ANOTHER ROW","")))</f>
      </c>
      <c r="N792" s="6">
        <v>0</v>
      </c>
      <c r="O792" s="6" t="s">
        <v>2</v>
      </c>
    </row>
    <row r="793" spans="1:15" x14ac:dyDescent="0.25">
      <c r="A793">
        <v>792</v>
      </c>
      <c r="B793" t="s">
        <v>1009</v>
      </c>
      <c r="C793" t="s">
        <v>1061</v>
      </c>
      <c r="D793" t="s">
        <v>1063</v>
      </c>
      <c r="E793" t="s">
        <v>292</v>
      </c>
      <c r="F793" t="s">
        <v>2</v>
      </c>
      <c r="G793" t="s">
        <v>38</v>
      </c>
      <c r="H793" t="s">
        <v>39</v>
      </c>
      <c r="I793" s="5" t="s">
        <v>294</v>
      </c>
      <c r="J793" s="5" t="s">
        <v>2</v>
      </c>
      <c r="K793" s="5" t="s">
        <v>2</v>
      </c>
      <c r="L793" s="6">
        <f>IF(I793="Cut","",IF(I793="Your call","(decide)",IF(I793="Rename",J793,IF(I793="Keep",IF(D793="",E793,D793),IF(E793="(unchanged)",D793,E793)))))</f>
      </c>
      <c r="M793" s="6">
        <f>IF(AND(I793="Cut",N793&gt;0,K793=""),"USED: say what replaces it (Note)",IF(AND(I793="Rename",J793=""),"type the new name",IF(AND(L793&lt;&gt;"",L793&lt;&gt;"(decide)",COUNTIF($L$2:$L$1680,L793)&gt;1),"SAME FINAL NAME AS ANOTHER ROW","")))</f>
      </c>
      <c r="N793" s="6">
        <v>0</v>
      </c>
      <c r="O793" s="6" t="s">
        <v>2</v>
      </c>
    </row>
    <row r="794" spans="1:15" x14ac:dyDescent="0.25">
      <c r="A794">
        <v>793</v>
      </c>
      <c r="B794" t="s">
        <v>1009</v>
      </c>
      <c r="C794" t="s">
        <v>1061</v>
      </c>
      <c r="D794" t="s">
        <v>1064</v>
      </c>
      <c r="E794" t="s">
        <v>292</v>
      </c>
      <c r="F794" t="s">
        <v>2</v>
      </c>
      <c r="G794" t="s">
        <v>38</v>
      </c>
      <c r="H794" t="s">
        <v>39</v>
      </c>
      <c r="I794" s="5" t="s">
        <v>294</v>
      </c>
      <c r="J794" s="5" t="s">
        <v>2</v>
      </c>
      <c r="K794" s="5" t="s">
        <v>2</v>
      </c>
      <c r="L794" s="6">
        <f>IF(I794="Cut","",IF(I794="Your call","(decide)",IF(I794="Rename",J794,IF(I794="Keep",IF(D794="",E794,D794),IF(E794="(unchanged)",D794,E794)))))</f>
      </c>
      <c r="M794" s="6">
        <f>IF(AND(I794="Cut",N794&gt;0,K794=""),"USED: say what replaces it (Note)",IF(AND(I794="Rename",J794=""),"type the new name",IF(AND(L794&lt;&gt;"",L794&lt;&gt;"(decide)",COUNTIF($L$2:$L$1680,L794)&gt;1),"SAME FINAL NAME AS ANOTHER ROW","")))</f>
      </c>
      <c r="N794" s="6">
        <v>0</v>
      </c>
      <c r="O794" s="6" t="s">
        <v>2</v>
      </c>
    </row>
    <row r="795" spans="1:15" x14ac:dyDescent="0.25">
      <c r="A795">
        <v>794</v>
      </c>
      <c r="B795" t="s">
        <v>1009</v>
      </c>
      <c r="C795" t="s">
        <v>1065</v>
      </c>
      <c r="D795" t="s">
        <v>1066</v>
      </c>
      <c r="E795" t="s">
        <v>292</v>
      </c>
      <c r="F795" t="s">
        <v>2</v>
      </c>
      <c r="G795" t="s">
        <v>38</v>
      </c>
      <c r="H795" t="s">
        <v>39</v>
      </c>
      <c r="I795" s="5" t="s">
        <v>294</v>
      </c>
      <c r="J795" s="5" t="s">
        <v>2</v>
      </c>
      <c r="K795" s="5" t="s">
        <v>2</v>
      </c>
      <c r="L795" s="6">
        <f>IF(I795="Cut","",IF(I795="Your call","(decide)",IF(I795="Rename",J795,IF(I795="Keep",IF(D795="",E795,D795),IF(E795="(unchanged)",D795,E795)))))</f>
      </c>
      <c r="M795" s="6">
        <f>IF(AND(I795="Cut",N795&gt;0,K795=""),"USED: say what replaces it (Note)",IF(AND(I795="Rename",J795=""),"type the new name",IF(AND(L795&lt;&gt;"",L795&lt;&gt;"(decide)",COUNTIF($L$2:$L$1680,L795)&gt;1),"SAME FINAL NAME AS ANOTHER ROW","")))</f>
      </c>
      <c r="N795" s="6">
        <v>0</v>
      </c>
      <c r="O795" s="6" t="s">
        <v>2</v>
      </c>
    </row>
    <row r="796" spans="1:15" x14ac:dyDescent="0.25">
      <c r="A796">
        <v>795</v>
      </c>
      <c r="B796" t="s">
        <v>1009</v>
      </c>
      <c r="C796" t="s">
        <v>1065</v>
      </c>
      <c r="D796" t="s">
        <v>1067</v>
      </c>
      <c r="E796" t="s">
        <v>292</v>
      </c>
      <c r="F796" t="s">
        <v>2</v>
      </c>
      <c r="G796" t="s">
        <v>38</v>
      </c>
      <c r="H796" t="s">
        <v>39</v>
      </c>
      <c r="I796" s="5" t="s">
        <v>294</v>
      </c>
      <c r="J796" s="5" t="s">
        <v>2</v>
      </c>
      <c r="K796" s="5" t="s">
        <v>2</v>
      </c>
      <c r="L796" s="6">
        <f>IF(I796="Cut","",IF(I796="Your call","(decide)",IF(I796="Rename",J796,IF(I796="Keep",IF(D796="",E796,D796),IF(E796="(unchanged)",D796,E796)))))</f>
      </c>
      <c r="M796" s="6">
        <f>IF(AND(I796="Cut",N796&gt;0,K796=""),"USED: say what replaces it (Note)",IF(AND(I796="Rename",J796=""),"type the new name",IF(AND(L796&lt;&gt;"",L796&lt;&gt;"(decide)",COUNTIF($L$2:$L$1680,L796)&gt;1),"SAME FINAL NAME AS ANOTHER ROW","")))</f>
      </c>
      <c r="N796" s="6">
        <v>0</v>
      </c>
      <c r="O796" s="6" t="s">
        <v>2</v>
      </c>
    </row>
    <row r="797" spans="1:15" x14ac:dyDescent="0.25">
      <c r="A797">
        <v>796</v>
      </c>
      <c r="B797" t="s">
        <v>1009</v>
      </c>
      <c r="C797" t="s">
        <v>1065</v>
      </c>
      <c r="D797" t="s">
        <v>1068</v>
      </c>
      <c r="E797" t="s">
        <v>292</v>
      </c>
      <c r="F797" t="s">
        <v>2</v>
      </c>
      <c r="G797" t="s">
        <v>38</v>
      </c>
      <c r="H797" t="s">
        <v>39</v>
      </c>
      <c r="I797" s="5" t="s">
        <v>294</v>
      </c>
      <c r="J797" s="5" t="s">
        <v>2</v>
      </c>
      <c r="K797" s="5" t="s">
        <v>2</v>
      </c>
      <c r="L797" s="6">
        <f>IF(I797="Cut","",IF(I797="Your call","(decide)",IF(I797="Rename",J797,IF(I797="Keep",IF(D797="",E797,D797),IF(E797="(unchanged)",D797,E797)))))</f>
      </c>
      <c r="M797" s="6">
        <f>IF(AND(I797="Cut",N797&gt;0,K797=""),"USED: say what replaces it (Note)",IF(AND(I797="Rename",J797=""),"type the new name",IF(AND(L797&lt;&gt;"",L797&lt;&gt;"(decide)",COUNTIF($L$2:$L$1680,L797)&gt;1),"SAME FINAL NAME AS ANOTHER ROW","")))</f>
      </c>
      <c r="N797" s="6">
        <v>0</v>
      </c>
      <c r="O797" s="6" t="s">
        <v>2</v>
      </c>
    </row>
    <row r="798" spans="1:15" x14ac:dyDescent="0.25">
      <c r="A798">
        <v>797</v>
      </c>
      <c r="B798" t="s">
        <v>1009</v>
      </c>
      <c r="C798" t="s">
        <v>1065</v>
      </c>
      <c r="D798" t="s">
        <v>1069</v>
      </c>
      <c r="E798" t="s">
        <v>292</v>
      </c>
      <c r="F798" t="s">
        <v>2</v>
      </c>
      <c r="G798" t="s">
        <v>38</v>
      </c>
      <c r="H798" t="s">
        <v>39</v>
      </c>
      <c r="I798" s="5" t="s">
        <v>294</v>
      </c>
      <c r="J798" s="5" t="s">
        <v>2</v>
      </c>
      <c r="K798" s="5" t="s">
        <v>2</v>
      </c>
      <c r="L798" s="6">
        <f>IF(I798="Cut","",IF(I798="Your call","(decide)",IF(I798="Rename",J798,IF(I798="Keep",IF(D798="",E798,D798),IF(E798="(unchanged)",D798,E798)))))</f>
      </c>
      <c r="M798" s="6">
        <f>IF(AND(I798="Cut",N798&gt;0,K798=""),"USED: say what replaces it (Note)",IF(AND(I798="Rename",J798=""),"type the new name",IF(AND(L798&lt;&gt;"",L798&lt;&gt;"(decide)",COUNTIF($L$2:$L$1680,L798)&gt;1),"SAME FINAL NAME AS ANOTHER ROW","")))</f>
      </c>
      <c r="N798" s="6">
        <v>0</v>
      </c>
      <c r="O798" s="6" t="s">
        <v>2</v>
      </c>
    </row>
    <row r="799" spans="1:15" x14ac:dyDescent="0.25">
      <c r="A799">
        <v>798</v>
      </c>
      <c r="B799" t="s">
        <v>1009</v>
      </c>
      <c r="C799" t="s">
        <v>2</v>
      </c>
      <c r="D799" t="s">
        <v>1070</v>
      </c>
      <c r="E799" t="s">
        <v>292</v>
      </c>
      <c r="F799" t="s">
        <v>2</v>
      </c>
      <c r="G799" t="s">
        <v>38</v>
      </c>
      <c r="H799" t="s">
        <v>39</v>
      </c>
      <c r="I799" s="5" t="s">
        <v>294</v>
      </c>
      <c r="J799" s="5" t="s">
        <v>2</v>
      </c>
      <c r="K799" s="5" t="s">
        <v>2</v>
      </c>
      <c r="L799" s="6">
        <f>IF(I799="Cut","",IF(I799="Your call","(decide)",IF(I799="Rename",J799,IF(I799="Keep",IF(D799="",E799,D799),IF(E799="(unchanged)",D799,E799)))))</f>
      </c>
      <c r="M799" s="6">
        <f>IF(AND(I799="Cut",N799&gt;0,K799=""),"USED: say what replaces it (Note)",IF(AND(I799="Rename",J799=""),"type the new name",IF(AND(L799&lt;&gt;"",L799&lt;&gt;"(decide)",COUNTIF($L$2:$L$1680,L799)&gt;1),"SAME FINAL NAME AS ANOTHER ROW","")))</f>
      </c>
      <c r="N799" s="6">
        <v>0</v>
      </c>
      <c r="O799" s="6" t="s">
        <v>2</v>
      </c>
    </row>
    <row r="800" spans="1:15" x14ac:dyDescent="0.25">
      <c r="A800">
        <v>799</v>
      </c>
      <c r="B800" t="s">
        <v>1009</v>
      </c>
      <c r="C800" t="s">
        <v>1071</v>
      </c>
      <c r="D800" t="s">
        <v>1072</v>
      </c>
      <c r="E800" t="s">
        <v>292</v>
      </c>
      <c r="F800" t="s">
        <v>2</v>
      </c>
      <c r="G800" t="s">
        <v>38</v>
      </c>
      <c r="H800" t="s">
        <v>39</v>
      </c>
      <c r="I800" s="5" t="s">
        <v>294</v>
      </c>
      <c r="J800" s="5" t="s">
        <v>2</v>
      </c>
      <c r="K800" s="5" t="s">
        <v>2</v>
      </c>
      <c r="L800" s="6">
        <f>IF(I800="Cut","",IF(I800="Your call","(decide)",IF(I800="Rename",J800,IF(I800="Keep",IF(D800="",E800,D800),IF(E800="(unchanged)",D800,E800)))))</f>
      </c>
      <c r="M800" s="6">
        <f>IF(AND(I800="Cut",N800&gt;0,K800=""),"USED: say what replaces it (Note)",IF(AND(I800="Rename",J800=""),"type the new name",IF(AND(L800&lt;&gt;"",L800&lt;&gt;"(decide)",COUNTIF($L$2:$L$1680,L800)&gt;1),"SAME FINAL NAME AS ANOTHER ROW","")))</f>
      </c>
      <c r="N800" s="6">
        <v>0</v>
      </c>
      <c r="O800" s="6" t="s">
        <v>2</v>
      </c>
    </row>
    <row r="801" spans="1:15" x14ac:dyDescent="0.25">
      <c r="A801">
        <v>800</v>
      </c>
      <c r="B801" t="s">
        <v>1009</v>
      </c>
      <c r="C801" t="s">
        <v>1073</v>
      </c>
      <c r="D801" t="s">
        <v>1074</v>
      </c>
      <c r="E801" t="s">
        <v>292</v>
      </c>
      <c r="F801" t="s">
        <v>2</v>
      </c>
      <c r="G801" t="s">
        <v>38</v>
      </c>
      <c r="H801" t="s">
        <v>39</v>
      </c>
      <c r="I801" s="5" t="s">
        <v>294</v>
      </c>
      <c r="J801" s="5" t="s">
        <v>2</v>
      </c>
      <c r="K801" s="5" t="s">
        <v>2</v>
      </c>
      <c r="L801" s="6">
        <f>IF(I801="Cut","",IF(I801="Your call","(decide)",IF(I801="Rename",J801,IF(I801="Keep",IF(D801="",E801,D801),IF(E801="(unchanged)",D801,E801)))))</f>
      </c>
      <c r="M801" s="6">
        <f>IF(AND(I801="Cut",N801&gt;0,K801=""),"USED: say what replaces it (Note)",IF(AND(I801="Rename",J801=""),"type the new name",IF(AND(L801&lt;&gt;"",L801&lt;&gt;"(decide)",COUNTIF($L$2:$L$1680,L801)&gt;1),"SAME FINAL NAME AS ANOTHER ROW","")))</f>
      </c>
      <c r="N801" s="6">
        <v>0</v>
      </c>
      <c r="O801" s="6" t="s">
        <v>2</v>
      </c>
    </row>
    <row r="802" spans="1:15" x14ac:dyDescent="0.25">
      <c r="A802">
        <v>801</v>
      </c>
      <c r="B802" t="s">
        <v>1009</v>
      </c>
      <c r="C802" t="s">
        <v>2</v>
      </c>
      <c r="D802" t="s">
        <v>1075</v>
      </c>
      <c r="E802" t="s">
        <v>292</v>
      </c>
      <c r="F802" t="s">
        <v>2</v>
      </c>
      <c r="G802" t="s">
        <v>94</v>
      </c>
      <c r="H802" t="s">
        <v>39</v>
      </c>
      <c r="I802" s="5" t="s">
        <v>294</v>
      </c>
      <c r="J802" s="5" t="s">
        <v>2</v>
      </c>
      <c r="K802" s="5" t="s">
        <v>2</v>
      </c>
      <c r="L802" s="6">
        <f>IF(I802="Cut","",IF(I802="Your call","(decide)",IF(I802="Rename",J802,IF(I802="Keep",IF(D802="",E802,D802),IF(E802="(unchanged)",D802,E802)))))</f>
      </c>
      <c r="M802" s="6">
        <f>IF(AND(I802="Cut",N802&gt;0,K802=""),"USED: say what replaces it (Note)",IF(AND(I802="Rename",J802=""),"type the new name",IF(AND(L802&lt;&gt;"",L802&lt;&gt;"(decide)",COUNTIF($L$2:$L$1680,L802)&gt;1),"SAME FINAL NAME AS ANOTHER ROW","")))</f>
      </c>
      <c r="N802" s="6">
        <v>1</v>
      </c>
      <c r="O802" s="6" t="s">
        <v>2</v>
      </c>
    </row>
    <row r="803" spans="1:15" x14ac:dyDescent="0.25">
      <c r="A803">
        <v>802</v>
      </c>
      <c r="B803" t="s">
        <v>1009</v>
      </c>
      <c r="C803" t="s">
        <v>2</v>
      </c>
      <c r="D803" t="s">
        <v>1076</v>
      </c>
      <c r="E803" t="s">
        <v>292</v>
      </c>
      <c r="F803" t="s">
        <v>2</v>
      </c>
      <c r="G803" t="s">
        <v>48</v>
      </c>
      <c r="H803" t="s">
        <v>39</v>
      </c>
      <c r="I803" s="5" t="s">
        <v>294</v>
      </c>
      <c r="J803" s="5" t="s">
        <v>2</v>
      </c>
      <c r="K803" s="5" t="s">
        <v>2</v>
      </c>
      <c r="L803" s="6">
        <f>IF(I803="Cut","",IF(I803="Your call","(decide)",IF(I803="Rename",J803,IF(I803="Keep",IF(D803="",E803,D803),IF(E803="(unchanged)",D803,E803)))))</f>
      </c>
      <c r="M803" s="6">
        <f>IF(AND(I803="Cut",N803&gt;0,K803=""),"USED: say what replaces it (Note)",IF(AND(I803="Rename",J803=""),"type the new name",IF(AND(L803&lt;&gt;"",L803&lt;&gt;"(decide)",COUNTIF($L$2:$L$1680,L803)&gt;1),"SAME FINAL NAME AS ANOTHER ROW","")))</f>
      </c>
      <c r="N803" s="6">
        <v>2</v>
      </c>
      <c r="O803" s="6" t="s">
        <v>2</v>
      </c>
    </row>
    <row r="804" spans="1:15" x14ac:dyDescent="0.25">
      <c r="A804">
        <v>803</v>
      </c>
      <c r="B804" t="s">
        <v>1009</v>
      </c>
      <c r="C804" t="s">
        <v>2</v>
      </c>
      <c r="D804" t="s">
        <v>1077</v>
      </c>
      <c r="E804" t="s">
        <v>292</v>
      </c>
      <c r="F804" t="s">
        <v>2</v>
      </c>
      <c r="G804" t="s">
        <v>1078</v>
      </c>
      <c r="H804" t="s">
        <v>39</v>
      </c>
      <c r="I804" s="5" t="s">
        <v>294</v>
      </c>
      <c r="J804" s="5" t="s">
        <v>2</v>
      </c>
      <c r="K804" s="5" t="s">
        <v>2</v>
      </c>
      <c r="L804" s="6">
        <f>IF(I804="Cut","",IF(I804="Your call","(decide)",IF(I804="Rename",J804,IF(I804="Keep",IF(D804="",E804,D804),IF(E804="(unchanged)",D804,E804)))))</f>
      </c>
      <c r="M804" s="6">
        <f>IF(AND(I804="Cut",N804&gt;0,K804=""),"USED: say what replaces it (Note)",IF(AND(I804="Rename",J804=""),"type the new name",IF(AND(L804&lt;&gt;"",L804&lt;&gt;"(decide)",COUNTIF($L$2:$L$1680,L804)&gt;1),"SAME FINAL NAME AS ANOTHER ROW","")))</f>
      </c>
      <c r="N804" s="6">
        <v>20</v>
      </c>
      <c r="O804" s="6" t="s">
        <v>2</v>
      </c>
    </row>
    <row r="805" spans="1:15" x14ac:dyDescent="0.25">
      <c r="A805">
        <v>804</v>
      </c>
      <c r="B805" t="s">
        <v>1009</v>
      </c>
      <c r="C805" t="s">
        <v>2</v>
      </c>
      <c r="D805" t="s">
        <v>1079</v>
      </c>
      <c r="E805" t="s">
        <v>292</v>
      </c>
      <c r="F805" t="s">
        <v>2</v>
      </c>
      <c r="G805" t="s">
        <v>38</v>
      </c>
      <c r="H805" t="s">
        <v>39</v>
      </c>
      <c r="I805" s="5" t="s">
        <v>294</v>
      </c>
      <c r="J805" s="5" t="s">
        <v>2</v>
      </c>
      <c r="K805" s="5" t="s">
        <v>2</v>
      </c>
      <c r="L805" s="6">
        <f>IF(I805="Cut","",IF(I805="Your call","(decide)",IF(I805="Rename",J805,IF(I805="Keep",IF(D805="",E805,D805),IF(E805="(unchanged)",D805,E805)))))</f>
      </c>
      <c r="M805" s="6">
        <f>IF(AND(I805="Cut",N805&gt;0,K805=""),"USED: say what replaces it (Note)",IF(AND(I805="Rename",J805=""),"type the new name",IF(AND(L805&lt;&gt;"",L805&lt;&gt;"(decide)",COUNTIF($L$2:$L$1680,L805)&gt;1),"SAME FINAL NAME AS ANOTHER ROW","")))</f>
      </c>
      <c r="N805" s="6">
        <v>0</v>
      </c>
      <c r="O805" s="6" t="s">
        <v>2</v>
      </c>
    </row>
    <row r="806" spans="1:15" x14ac:dyDescent="0.25">
      <c r="A806">
        <v>805</v>
      </c>
      <c r="B806" t="s">
        <v>1009</v>
      </c>
      <c r="C806" t="s">
        <v>2</v>
      </c>
      <c r="D806" t="s">
        <v>1080</v>
      </c>
      <c r="E806" t="s">
        <v>292</v>
      </c>
      <c r="F806" t="s">
        <v>2</v>
      </c>
      <c r="G806" t="s">
        <v>38</v>
      </c>
      <c r="H806" t="s">
        <v>39</v>
      </c>
      <c r="I806" s="5" t="s">
        <v>294</v>
      </c>
      <c r="J806" s="5" t="s">
        <v>2</v>
      </c>
      <c r="K806" s="5" t="s">
        <v>2</v>
      </c>
      <c r="L806" s="6">
        <f>IF(I806="Cut","",IF(I806="Your call","(decide)",IF(I806="Rename",J806,IF(I806="Keep",IF(D806="",E806,D806),IF(E806="(unchanged)",D806,E806)))))</f>
      </c>
      <c r="M806" s="6">
        <f>IF(AND(I806="Cut",N806&gt;0,K806=""),"USED: say what replaces it (Note)",IF(AND(I806="Rename",J806=""),"type the new name",IF(AND(L806&lt;&gt;"",L806&lt;&gt;"(decide)",COUNTIF($L$2:$L$1680,L806)&gt;1),"SAME FINAL NAME AS ANOTHER ROW","")))</f>
      </c>
      <c r="N806" s="6">
        <v>0</v>
      </c>
      <c r="O806" s="6" t="s">
        <v>2</v>
      </c>
    </row>
    <row r="807" spans="1:15" x14ac:dyDescent="0.25">
      <c r="A807">
        <v>806</v>
      </c>
      <c r="B807" t="s">
        <v>1009</v>
      </c>
      <c r="C807" t="s">
        <v>2</v>
      </c>
      <c r="D807" t="s">
        <v>1081</v>
      </c>
      <c r="E807" t="s">
        <v>292</v>
      </c>
      <c r="F807" t="s">
        <v>2</v>
      </c>
      <c r="G807" t="s">
        <v>38</v>
      </c>
      <c r="H807" t="s">
        <v>39</v>
      </c>
      <c r="I807" s="5" t="s">
        <v>294</v>
      </c>
      <c r="J807" s="5" t="s">
        <v>2</v>
      </c>
      <c r="K807" s="5" t="s">
        <v>2</v>
      </c>
      <c r="L807" s="6">
        <f>IF(I807="Cut","",IF(I807="Your call","(decide)",IF(I807="Rename",J807,IF(I807="Keep",IF(D807="",E807,D807),IF(E807="(unchanged)",D807,E807)))))</f>
      </c>
      <c r="M807" s="6">
        <f>IF(AND(I807="Cut",N807&gt;0,K807=""),"USED: say what replaces it (Note)",IF(AND(I807="Rename",J807=""),"type the new name",IF(AND(L807&lt;&gt;"",L807&lt;&gt;"(decide)",COUNTIF($L$2:$L$1680,L807)&gt;1),"SAME FINAL NAME AS ANOTHER ROW","")))</f>
      </c>
      <c r="N807" s="6">
        <v>0</v>
      </c>
      <c r="O807" s="6" t="s">
        <v>2</v>
      </c>
    </row>
    <row r="808" spans="1:15" x14ac:dyDescent="0.25">
      <c r="A808">
        <v>807</v>
      </c>
      <c r="B808" t="s">
        <v>1009</v>
      </c>
      <c r="C808" t="s">
        <v>2</v>
      </c>
      <c r="D808" t="s">
        <v>1082</v>
      </c>
      <c r="E808" t="s">
        <v>292</v>
      </c>
      <c r="F808" t="s">
        <v>2</v>
      </c>
      <c r="G808" t="s">
        <v>94</v>
      </c>
      <c r="H808" t="s">
        <v>39</v>
      </c>
      <c r="I808" s="5" t="s">
        <v>294</v>
      </c>
      <c r="J808" s="5" t="s">
        <v>2</v>
      </c>
      <c r="K808" s="5" t="s">
        <v>2</v>
      </c>
      <c r="L808" s="6">
        <f>IF(I808="Cut","",IF(I808="Your call","(decide)",IF(I808="Rename",J808,IF(I808="Keep",IF(D808="",E808,D808),IF(E808="(unchanged)",D808,E808)))))</f>
      </c>
      <c r="M808" s="6">
        <f>IF(AND(I808="Cut",N808&gt;0,K808=""),"USED: say what replaces it (Note)",IF(AND(I808="Rename",J808=""),"type the new name",IF(AND(L808&lt;&gt;"",L808&lt;&gt;"(decide)",COUNTIF($L$2:$L$1680,L808)&gt;1),"SAME FINAL NAME AS ANOTHER ROW","")))</f>
      </c>
      <c r="N808" s="6">
        <v>1</v>
      </c>
      <c r="O808" s="6" t="s">
        <v>2</v>
      </c>
    </row>
    <row r="809" spans="1:15" x14ac:dyDescent="0.25">
      <c r="A809">
        <v>808</v>
      </c>
      <c r="B809" t="s">
        <v>1009</v>
      </c>
      <c r="C809" t="s">
        <v>1083</v>
      </c>
      <c r="D809" t="s">
        <v>1084</v>
      </c>
      <c r="E809" t="s">
        <v>292</v>
      </c>
      <c r="F809" t="s">
        <v>2</v>
      </c>
      <c r="G809" t="s">
        <v>204</v>
      </c>
      <c r="H809" t="s">
        <v>39</v>
      </c>
      <c r="I809" s="5" t="s">
        <v>294</v>
      </c>
      <c r="J809" s="5" t="s">
        <v>2</v>
      </c>
      <c r="K809" s="5" t="s">
        <v>2</v>
      </c>
      <c r="L809" s="6">
        <f>IF(I809="Cut","",IF(I809="Your call","(decide)",IF(I809="Rename",J809,IF(I809="Keep",IF(D809="",E809,D809),IF(E809="(unchanged)",D809,E809)))))</f>
      </c>
      <c r="M809" s="6">
        <f>IF(AND(I809="Cut",N809&gt;0,K809=""),"USED: say what replaces it (Note)",IF(AND(I809="Rename",J809=""),"type the new name",IF(AND(L809&lt;&gt;"",L809&lt;&gt;"(decide)",COUNTIF($L$2:$L$1680,L809)&gt;1),"SAME FINAL NAME AS ANOTHER ROW","")))</f>
      </c>
      <c r="N809" s="6">
        <v>7</v>
      </c>
      <c r="O809" s="6" t="s">
        <v>2</v>
      </c>
    </row>
    <row r="810" spans="1:15" x14ac:dyDescent="0.25">
      <c r="A810">
        <v>809</v>
      </c>
      <c r="B810" t="s">
        <v>1009</v>
      </c>
      <c r="C810" t="s">
        <v>1083</v>
      </c>
      <c r="D810" t="s">
        <v>1085</v>
      </c>
      <c r="E810" t="s">
        <v>292</v>
      </c>
      <c r="F810" t="s">
        <v>2</v>
      </c>
      <c r="G810" t="s">
        <v>38</v>
      </c>
      <c r="H810" t="s">
        <v>39</v>
      </c>
      <c r="I810" s="5" t="s">
        <v>294</v>
      </c>
      <c r="J810" s="5" t="s">
        <v>2</v>
      </c>
      <c r="K810" s="5" t="s">
        <v>2</v>
      </c>
      <c r="L810" s="6">
        <f>IF(I810="Cut","",IF(I810="Your call","(decide)",IF(I810="Rename",J810,IF(I810="Keep",IF(D810="",E810,D810),IF(E810="(unchanged)",D810,E810)))))</f>
      </c>
      <c r="M810" s="6">
        <f>IF(AND(I810="Cut",N810&gt;0,K810=""),"USED: say what replaces it (Note)",IF(AND(I810="Rename",J810=""),"type the new name",IF(AND(L810&lt;&gt;"",L810&lt;&gt;"(decide)",COUNTIF($L$2:$L$1680,L810)&gt;1),"SAME FINAL NAME AS ANOTHER ROW","")))</f>
      </c>
      <c r="N810" s="6">
        <v>0</v>
      </c>
      <c r="O810" s="6" t="s">
        <v>2</v>
      </c>
    </row>
    <row r="811" spans="1:15" x14ac:dyDescent="0.25">
      <c r="A811">
        <v>810</v>
      </c>
      <c r="B811" t="s">
        <v>1009</v>
      </c>
      <c r="C811" t="s">
        <v>1086</v>
      </c>
      <c r="D811" t="s">
        <v>1087</v>
      </c>
      <c r="E811" t="s">
        <v>292</v>
      </c>
      <c r="F811" t="s">
        <v>2</v>
      </c>
      <c r="G811" t="s">
        <v>1088</v>
      </c>
      <c r="H811" t="s">
        <v>39</v>
      </c>
      <c r="I811" s="5" t="s">
        <v>294</v>
      </c>
      <c r="J811" s="5" t="s">
        <v>2</v>
      </c>
      <c r="K811" s="5" t="s">
        <v>2</v>
      </c>
      <c r="L811" s="6">
        <f>IF(I811="Cut","",IF(I811="Your call","(decide)",IF(I811="Rename",J811,IF(I811="Keep",IF(D811="",E811,D811),IF(E811="(unchanged)",D811,E811)))))</f>
      </c>
      <c r="M811" s="6">
        <f>IF(AND(I811="Cut",N811&gt;0,K811=""),"USED: say what replaces it (Note)",IF(AND(I811="Rename",J811=""),"type the new name",IF(AND(L811&lt;&gt;"",L811&lt;&gt;"(decide)",COUNTIF($L$2:$L$1680,L811)&gt;1),"SAME FINAL NAME AS ANOTHER ROW","")))</f>
      </c>
      <c r="N811" s="6">
        <v>28</v>
      </c>
      <c r="O811" s="6" t="s">
        <v>2</v>
      </c>
    </row>
    <row r="812" spans="1:15" x14ac:dyDescent="0.25">
      <c r="A812">
        <v>811</v>
      </c>
      <c r="B812" t="s">
        <v>1009</v>
      </c>
      <c r="C812" t="s">
        <v>1086</v>
      </c>
      <c r="D812" t="s">
        <v>1089</v>
      </c>
      <c r="E812" t="s">
        <v>292</v>
      </c>
      <c r="F812" t="s">
        <v>2</v>
      </c>
      <c r="G812" t="s">
        <v>48</v>
      </c>
      <c r="H812" t="s">
        <v>39</v>
      </c>
      <c r="I812" s="5" t="s">
        <v>294</v>
      </c>
      <c r="J812" s="5" t="s">
        <v>2</v>
      </c>
      <c r="K812" s="5" t="s">
        <v>2</v>
      </c>
      <c r="L812" s="6">
        <f>IF(I812="Cut","",IF(I812="Your call","(decide)",IF(I812="Rename",J812,IF(I812="Keep",IF(D812="",E812,D812),IF(E812="(unchanged)",D812,E812)))))</f>
      </c>
      <c r="M812" s="6">
        <f>IF(AND(I812="Cut",N812&gt;0,K812=""),"USED: say what replaces it (Note)",IF(AND(I812="Rename",J812=""),"type the new name",IF(AND(L812&lt;&gt;"",L812&lt;&gt;"(decide)",COUNTIF($L$2:$L$1680,L812)&gt;1),"SAME FINAL NAME AS ANOTHER ROW","")))</f>
      </c>
      <c r="N812" s="6">
        <v>2</v>
      </c>
      <c r="O812" s="6" t="s">
        <v>2</v>
      </c>
    </row>
    <row r="813" spans="1:15" x14ac:dyDescent="0.25">
      <c r="A813">
        <v>812</v>
      </c>
      <c r="B813" t="s">
        <v>1009</v>
      </c>
      <c r="C813" t="s">
        <v>1090</v>
      </c>
      <c r="D813" t="s">
        <v>1091</v>
      </c>
      <c r="E813" t="s">
        <v>292</v>
      </c>
      <c r="F813" t="s">
        <v>2</v>
      </c>
      <c r="G813" t="s">
        <v>38</v>
      </c>
      <c r="H813" t="s">
        <v>39</v>
      </c>
      <c r="I813" s="5" t="s">
        <v>294</v>
      </c>
      <c r="J813" s="5" t="s">
        <v>2</v>
      </c>
      <c r="K813" s="5" t="s">
        <v>2</v>
      </c>
      <c r="L813" s="6">
        <f>IF(I813="Cut","",IF(I813="Your call","(decide)",IF(I813="Rename",J813,IF(I813="Keep",IF(D813="",E813,D813),IF(E813="(unchanged)",D813,E813)))))</f>
      </c>
      <c r="M813" s="6">
        <f>IF(AND(I813="Cut",N813&gt;0,K813=""),"USED: say what replaces it (Note)",IF(AND(I813="Rename",J813=""),"type the new name",IF(AND(L813&lt;&gt;"",L813&lt;&gt;"(decide)",COUNTIF($L$2:$L$1680,L813)&gt;1),"SAME FINAL NAME AS ANOTHER ROW","")))</f>
      </c>
      <c r="N813" s="6">
        <v>0</v>
      </c>
      <c r="O813" s="6" t="s">
        <v>2</v>
      </c>
    </row>
    <row r="814" spans="1:15" x14ac:dyDescent="0.25">
      <c r="A814">
        <v>813</v>
      </c>
      <c r="B814" t="s">
        <v>1009</v>
      </c>
      <c r="C814" t="s">
        <v>1092</v>
      </c>
      <c r="D814" t="s">
        <v>1093</v>
      </c>
      <c r="E814" t="s">
        <v>292</v>
      </c>
      <c r="F814" t="s">
        <v>2</v>
      </c>
      <c r="G814" t="s">
        <v>38</v>
      </c>
      <c r="H814" t="s">
        <v>39</v>
      </c>
      <c r="I814" s="5" t="s">
        <v>294</v>
      </c>
      <c r="J814" s="5" t="s">
        <v>2</v>
      </c>
      <c r="K814" s="5" t="s">
        <v>2</v>
      </c>
      <c r="L814" s="6">
        <f>IF(I814="Cut","",IF(I814="Your call","(decide)",IF(I814="Rename",J814,IF(I814="Keep",IF(D814="",E814,D814),IF(E814="(unchanged)",D814,E814)))))</f>
      </c>
      <c r="M814" s="6">
        <f>IF(AND(I814="Cut",N814&gt;0,K814=""),"USED: say what replaces it (Note)",IF(AND(I814="Rename",J814=""),"type the new name",IF(AND(L814&lt;&gt;"",L814&lt;&gt;"(decide)",COUNTIF($L$2:$L$1680,L814)&gt;1),"SAME FINAL NAME AS ANOTHER ROW","")))</f>
      </c>
      <c r="N814" s="6">
        <v>0</v>
      </c>
      <c r="O814" s="6" t="s">
        <v>2</v>
      </c>
    </row>
    <row r="815" spans="1:15" x14ac:dyDescent="0.25">
      <c r="A815">
        <v>814</v>
      </c>
      <c r="B815" t="s">
        <v>1009</v>
      </c>
      <c r="C815" t="s">
        <v>1092</v>
      </c>
      <c r="D815" t="s">
        <v>1094</v>
      </c>
      <c r="E815" t="s">
        <v>292</v>
      </c>
      <c r="F815" t="s">
        <v>2</v>
      </c>
      <c r="G815" t="s">
        <v>38</v>
      </c>
      <c r="H815" t="s">
        <v>39</v>
      </c>
      <c r="I815" s="5" t="s">
        <v>294</v>
      </c>
      <c r="J815" s="5" t="s">
        <v>2</v>
      </c>
      <c r="K815" s="5" t="s">
        <v>2</v>
      </c>
      <c r="L815" s="6">
        <f>IF(I815="Cut","",IF(I815="Your call","(decide)",IF(I815="Rename",J815,IF(I815="Keep",IF(D815="",E815,D815),IF(E815="(unchanged)",D815,E815)))))</f>
      </c>
      <c r="M815" s="6">
        <f>IF(AND(I815="Cut",N815&gt;0,K815=""),"USED: say what replaces it (Note)",IF(AND(I815="Rename",J815=""),"type the new name",IF(AND(L815&lt;&gt;"",L815&lt;&gt;"(decide)",COUNTIF($L$2:$L$1680,L815)&gt;1),"SAME FINAL NAME AS ANOTHER ROW","")))</f>
      </c>
      <c r="N815" s="6">
        <v>0</v>
      </c>
      <c r="O815" s="6" t="s">
        <v>2</v>
      </c>
    </row>
    <row r="816" spans="1:15" x14ac:dyDescent="0.25">
      <c r="A816">
        <v>815</v>
      </c>
      <c r="B816" t="s">
        <v>1009</v>
      </c>
      <c r="C816" t="s">
        <v>1095</v>
      </c>
      <c r="D816" t="s">
        <v>1096</v>
      </c>
      <c r="E816" t="s">
        <v>292</v>
      </c>
      <c r="F816" t="s">
        <v>2</v>
      </c>
      <c r="G816" t="s">
        <v>1097</v>
      </c>
      <c r="H816" t="s">
        <v>39</v>
      </c>
      <c r="I816" s="5" t="s">
        <v>294</v>
      </c>
      <c r="J816" s="5" t="s">
        <v>2</v>
      </c>
      <c r="K816" s="5" t="s">
        <v>2</v>
      </c>
      <c r="L816" s="6">
        <f>IF(I816="Cut","",IF(I816="Your call","(decide)",IF(I816="Rename",J816,IF(I816="Keep",IF(D816="",E816,D816),IF(E816="(unchanged)",D816,E816)))))</f>
      </c>
      <c r="M816" s="6">
        <f>IF(AND(I816="Cut",N816&gt;0,K816=""),"USED: say what replaces it (Note)",IF(AND(I816="Rename",J816=""),"type the new name",IF(AND(L816&lt;&gt;"",L816&lt;&gt;"(decide)",COUNTIF($L$2:$L$1680,L816)&gt;1),"SAME FINAL NAME AS ANOTHER ROW","")))</f>
      </c>
      <c r="N816" s="6">
        <v>14</v>
      </c>
      <c r="O816" s="6" t="s">
        <v>2</v>
      </c>
    </row>
    <row r="817" spans="1:15" x14ac:dyDescent="0.25">
      <c r="A817">
        <v>816</v>
      </c>
      <c r="B817" t="s">
        <v>1009</v>
      </c>
      <c r="C817" t="s">
        <v>1095</v>
      </c>
      <c r="D817" t="s">
        <v>1098</v>
      </c>
      <c r="E817" t="s">
        <v>292</v>
      </c>
      <c r="F817" t="s">
        <v>2</v>
      </c>
      <c r="G817" t="s">
        <v>38</v>
      </c>
      <c r="H817" t="s">
        <v>39</v>
      </c>
      <c r="I817" s="5" t="s">
        <v>294</v>
      </c>
      <c r="J817" s="5" t="s">
        <v>2</v>
      </c>
      <c r="K817" s="5" t="s">
        <v>2</v>
      </c>
      <c r="L817" s="6">
        <f>IF(I817="Cut","",IF(I817="Your call","(decide)",IF(I817="Rename",J817,IF(I817="Keep",IF(D817="",E817,D817),IF(E817="(unchanged)",D817,E817)))))</f>
      </c>
      <c r="M817" s="6">
        <f>IF(AND(I817="Cut",N817&gt;0,K817=""),"USED: say what replaces it (Note)",IF(AND(I817="Rename",J817=""),"type the new name",IF(AND(L817&lt;&gt;"",L817&lt;&gt;"(decide)",COUNTIF($L$2:$L$1680,L817)&gt;1),"SAME FINAL NAME AS ANOTHER ROW","")))</f>
      </c>
      <c r="N817" s="6">
        <v>0</v>
      </c>
      <c r="O817" s="6" t="s">
        <v>2</v>
      </c>
    </row>
    <row r="818" spans="1:15" x14ac:dyDescent="0.25">
      <c r="A818">
        <v>817</v>
      </c>
      <c r="B818" t="s">
        <v>1009</v>
      </c>
      <c r="C818" t="s">
        <v>1099</v>
      </c>
      <c r="D818" t="s">
        <v>1100</v>
      </c>
      <c r="E818" t="s">
        <v>292</v>
      </c>
      <c r="F818" t="s">
        <v>2</v>
      </c>
      <c r="G818" t="s">
        <v>94</v>
      </c>
      <c r="H818" t="s">
        <v>39</v>
      </c>
      <c r="I818" s="5" t="s">
        <v>294</v>
      </c>
      <c r="J818" s="5" t="s">
        <v>2</v>
      </c>
      <c r="K818" s="5" t="s">
        <v>2</v>
      </c>
      <c r="L818" s="6">
        <f>IF(I818="Cut","",IF(I818="Your call","(decide)",IF(I818="Rename",J818,IF(I818="Keep",IF(D818="",E818,D818),IF(E818="(unchanged)",D818,E818)))))</f>
      </c>
      <c r="M818" s="6">
        <f>IF(AND(I818="Cut",N818&gt;0,K818=""),"USED: say what replaces it (Note)",IF(AND(I818="Rename",J818=""),"type the new name",IF(AND(L818&lt;&gt;"",L818&lt;&gt;"(decide)",COUNTIF($L$2:$L$1680,L818)&gt;1),"SAME FINAL NAME AS ANOTHER ROW","")))</f>
      </c>
      <c r="N818" s="6">
        <v>1</v>
      </c>
      <c r="O818" s="6" t="s">
        <v>2</v>
      </c>
    </row>
    <row r="819" spans="1:15" x14ac:dyDescent="0.25">
      <c r="A819">
        <v>818</v>
      </c>
      <c r="B819" t="s">
        <v>1009</v>
      </c>
      <c r="C819" t="s">
        <v>1099</v>
      </c>
      <c r="D819" t="s">
        <v>1101</v>
      </c>
      <c r="E819" t="s">
        <v>292</v>
      </c>
      <c r="F819" t="s">
        <v>2</v>
      </c>
      <c r="G819" t="s">
        <v>94</v>
      </c>
      <c r="H819" t="s">
        <v>39</v>
      </c>
      <c r="I819" s="5" t="s">
        <v>294</v>
      </c>
      <c r="J819" s="5" t="s">
        <v>2</v>
      </c>
      <c r="K819" s="5" t="s">
        <v>2</v>
      </c>
      <c r="L819" s="6">
        <f>IF(I819="Cut","",IF(I819="Your call","(decide)",IF(I819="Rename",J819,IF(I819="Keep",IF(D819="",E819,D819),IF(E819="(unchanged)",D819,E819)))))</f>
      </c>
      <c r="M819" s="6">
        <f>IF(AND(I819="Cut",N819&gt;0,K819=""),"USED: say what replaces it (Note)",IF(AND(I819="Rename",J819=""),"type the new name",IF(AND(L819&lt;&gt;"",L819&lt;&gt;"(decide)",COUNTIF($L$2:$L$1680,L819)&gt;1),"SAME FINAL NAME AS ANOTHER ROW","")))</f>
      </c>
      <c r="N819" s="6">
        <v>1</v>
      </c>
      <c r="O819" s="6" t="s">
        <v>2</v>
      </c>
    </row>
    <row r="820" spans="1:15" x14ac:dyDescent="0.25">
      <c r="A820">
        <v>819</v>
      </c>
      <c r="B820" t="s">
        <v>1009</v>
      </c>
      <c r="C820" t="s">
        <v>1102</v>
      </c>
      <c r="D820" t="s">
        <v>1103</v>
      </c>
      <c r="E820" t="s">
        <v>292</v>
      </c>
      <c r="F820" t="s">
        <v>2</v>
      </c>
      <c r="G820" t="s">
        <v>151</v>
      </c>
      <c r="H820" t="s">
        <v>39</v>
      </c>
      <c r="I820" s="5" t="s">
        <v>294</v>
      </c>
      <c r="J820" s="5" t="s">
        <v>2</v>
      </c>
      <c r="K820" s="5" t="s">
        <v>2</v>
      </c>
      <c r="L820" s="6">
        <f>IF(I820="Cut","",IF(I820="Your call","(decide)",IF(I820="Rename",J820,IF(I820="Keep",IF(D820="",E820,D820),IF(E820="(unchanged)",D820,E820)))))</f>
      </c>
      <c r="M820" s="6">
        <f>IF(AND(I820="Cut",N820&gt;0,K820=""),"USED: say what replaces it (Note)",IF(AND(I820="Rename",J820=""),"type the new name",IF(AND(L820&lt;&gt;"",L820&lt;&gt;"(decide)",COUNTIF($L$2:$L$1680,L820)&gt;1),"SAME FINAL NAME AS ANOTHER ROW","")))</f>
      </c>
      <c r="N820" s="6">
        <v>5</v>
      </c>
      <c r="O820" s="6" t="s">
        <v>2</v>
      </c>
    </row>
    <row r="821" spans="1:15" x14ac:dyDescent="0.25">
      <c r="A821">
        <v>820</v>
      </c>
      <c r="B821" t="s">
        <v>1009</v>
      </c>
      <c r="C821" t="s">
        <v>1104</v>
      </c>
      <c r="D821" t="s">
        <v>1105</v>
      </c>
      <c r="E821" t="s">
        <v>292</v>
      </c>
      <c r="F821" t="s">
        <v>2</v>
      </c>
      <c r="G821" t="s">
        <v>38</v>
      </c>
      <c r="H821" t="s">
        <v>39</v>
      </c>
      <c r="I821" s="5" t="s">
        <v>294</v>
      </c>
      <c r="J821" s="5" t="s">
        <v>2</v>
      </c>
      <c r="K821" s="5" t="s">
        <v>2</v>
      </c>
      <c r="L821" s="6">
        <f>IF(I821="Cut","",IF(I821="Your call","(decide)",IF(I821="Rename",J821,IF(I821="Keep",IF(D821="",E821,D821),IF(E821="(unchanged)",D821,E821)))))</f>
      </c>
      <c r="M821" s="6">
        <f>IF(AND(I821="Cut",N821&gt;0,K821=""),"USED: say what replaces it (Note)",IF(AND(I821="Rename",J821=""),"type the new name",IF(AND(L821&lt;&gt;"",L821&lt;&gt;"(decide)",COUNTIF($L$2:$L$1680,L821)&gt;1),"SAME FINAL NAME AS ANOTHER ROW","")))</f>
      </c>
      <c r="N821" s="6">
        <v>0</v>
      </c>
      <c r="O821" s="6" t="s">
        <v>2</v>
      </c>
    </row>
    <row r="822" spans="1:15" x14ac:dyDescent="0.25">
      <c r="A822">
        <v>821</v>
      </c>
      <c r="B822" t="s">
        <v>1009</v>
      </c>
      <c r="C822" t="s">
        <v>1106</v>
      </c>
      <c r="D822" t="s">
        <v>1107</v>
      </c>
      <c r="E822" t="s">
        <v>292</v>
      </c>
      <c r="F822" t="s">
        <v>2</v>
      </c>
      <c r="G822" t="s">
        <v>38</v>
      </c>
      <c r="H822" t="s">
        <v>39</v>
      </c>
      <c r="I822" s="5" t="s">
        <v>294</v>
      </c>
      <c r="J822" s="5" t="s">
        <v>2</v>
      </c>
      <c r="K822" s="5" t="s">
        <v>2</v>
      </c>
      <c r="L822" s="6">
        <f>IF(I822="Cut","",IF(I822="Your call","(decide)",IF(I822="Rename",J822,IF(I822="Keep",IF(D822="",E822,D822),IF(E822="(unchanged)",D822,E822)))))</f>
      </c>
      <c r="M822" s="6">
        <f>IF(AND(I822="Cut",N822&gt;0,K822=""),"USED: say what replaces it (Note)",IF(AND(I822="Rename",J822=""),"type the new name",IF(AND(L822&lt;&gt;"",L822&lt;&gt;"(decide)",COUNTIF($L$2:$L$1680,L822)&gt;1),"SAME FINAL NAME AS ANOTHER ROW","")))</f>
      </c>
      <c r="N822" s="6">
        <v>0</v>
      </c>
      <c r="O822" s="6" t="s">
        <v>2</v>
      </c>
    </row>
    <row r="823" spans="1:15" x14ac:dyDescent="0.25">
      <c r="A823">
        <v>822</v>
      </c>
      <c r="B823" t="s">
        <v>1009</v>
      </c>
      <c r="C823" t="s">
        <v>1108</v>
      </c>
      <c r="D823" t="s">
        <v>1109</v>
      </c>
      <c r="E823" t="s">
        <v>292</v>
      </c>
      <c r="F823" t="s">
        <v>2</v>
      </c>
      <c r="G823" t="s">
        <v>58</v>
      </c>
      <c r="H823" t="s">
        <v>39</v>
      </c>
      <c r="I823" s="5" t="s">
        <v>294</v>
      </c>
      <c r="J823" s="5" t="s">
        <v>2</v>
      </c>
      <c r="K823" s="5" t="s">
        <v>2</v>
      </c>
      <c r="L823" s="6">
        <f>IF(I823="Cut","",IF(I823="Your call","(decide)",IF(I823="Rename",J823,IF(I823="Keep",IF(D823="",E823,D823),IF(E823="(unchanged)",D823,E823)))))</f>
      </c>
      <c r="M823" s="6">
        <f>IF(AND(I823="Cut",N823&gt;0,K823=""),"USED: say what replaces it (Note)",IF(AND(I823="Rename",J823=""),"type the new name",IF(AND(L823&lt;&gt;"",L823&lt;&gt;"(decide)",COUNTIF($L$2:$L$1680,L823)&gt;1),"SAME FINAL NAME AS ANOTHER ROW","")))</f>
      </c>
      <c r="N823" s="6">
        <v>3</v>
      </c>
      <c r="O823" s="6" t="s">
        <v>2</v>
      </c>
    </row>
    <row r="824" spans="1:15" x14ac:dyDescent="0.25">
      <c r="A824">
        <v>823</v>
      </c>
      <c r="B824" t="s">
        <v>1009</v>
      </c>
      <c r="C824" t="s">
        <v>1110</v>
      </c>
      <c r="D824" t="s">
        <v>1111</v>
      </c>
      <c r="E824" t="s">
        <v>292</v>
      </c>
      <c r="F824" t="s">
        <v>2</v>
      </c>
      <c r="G824" t="s">
        <v>38</v>
      </c>
      <c r="H824" t="s">
        <v>39</v>
      </c>
      <c r="I824" s="5" t="s">
        <v>294</v>
      </c>
      <c r="J824" s="5" t="s">
        <v>2</v>
      </c>
      <c r="K824" s="5" t="s">
        <v>2</v>
      </c>
      <c r="L824" s="6">
        <f>IF(I824="Cut","",IF(I824="Your call","(decide)",IF(I824="Rename",J824,IF(I824="Keep",IF(D824="",E824,D824),IF(E824="(unchanged)",D824,E824)))))</f>
      </c>
      <c r="M824" s="6">
        <f>IF(AND(I824="Cut",N824&gt;0,K824=""),"USED: say what replaces it (Note)",IF(AND(I824="Rename",J824=""),"type the new name",IF(AND(L824&lt;&gt;"",L824&lt;&gt;"(decide)",COUNTIF($L$2:$L$1680,L824)&gt;1),"SAME FINAL NAME AS ANOTHER ROW","")))</f>
      </c>
      <c r="N824" s="6">
        <v>0</v>
      </c>
      <c r="O824" s="6" t="s">
        <v>2</v>
      </c>
    </row>
    <row r="825" spans="1:15" x14ac:dyDescent="0.25">
      <c r="A825">
        <v>824</v>
      </c>
      <c r="B825" t="s">
        <v>1009</v>
      </c>
      <c r="C825" t="s">
        <v>1112</v>
      </c>
      <c r="D825" t="s">
        <v>1113</v>
      </c>
      <c r="E825" t="s">
        <v>292</v>
      </c>
      <c r="F825" t="s">
        <v>2</v>
      </c>
      <c r="G825" t="s">
        <v>38</v>
      </c>
      <c r="H825" t="s">
        <v>39</v>
      </c>
      <c r="I825" s="5" t="s">
        <v>294</v>
      </c>
      <c r="J825" s="5" t="s">
        <v>2</v>
      </c>
      <c r="K825" s="5" t="s">
        <v>2</v>
      </c>
      <c r="L825" s="6">
        <f>IF(I825="Cut","",IF(I825="Your call","(decide)",IF(I825="Rename",J825,IF(I825="Keep",IF(D825="",E825,D825),IF(E825="(unchanged)",D825,E825)))))</f>
      </c>
      <c r="M825" s="6">
        <f>IF(AND(I825="Cut",N825&gt;0,K825=""),"USED: say what replaces it (Note)",IF(AND(I825="Rename",J825=""),"type the new name",IF(AND(L825&lt;&gt;"",L825&lt;&gt;"(decide)",COUNTIF($L$2:$L$1680,L825)&gt;1),"SAME FINAL NAME AS ANOTHER ROW","")))</f>
      </c>
      <c r="N825" s="6">
        <v>0</v>
      </c>
      <c r="O825" s="6" t="s">
        <v>2</v>
      </c>
    </row>
    <row r="826" spans="1:15" x14ac:dyDescent="0.25">
      <c r="A826">
        <v>825</v>
      </c>
      <c r="B826" t="s">
        <v>1009</v>
      </c>
      <c r="C826" t="s">
        <v>1114</v>
      </c>
      <c r="D826" t="s">
        <v>1115</v>
      </c>
      <c r="E826" t="s">
        <v>292</v>
      </c>
      <c r="F826" t="s">
        <v>2</v>
      </c>
      <c r="G826" t="s">
        <v>38</v>
      </c>
      <c r="H826" t="s">
        <v>39</v>
      </c>
      <c r="I826" s="5" t="s">
        <v>294</v>
      </c>
      <c r="J826" s="5" t="s">
        <v>2</v>
      </c>
      <c r="K826" s="5" t="s">
        <v>2</v>
      </c>
      <c r="L826" s="6">
        <f>IF(I826="Cut","",IF(I826="Your call","(decide)",IF(I826="Rename",J826,IF(I826="Keep",IF(D826="",E826,D826),IF(E826="(unchanged)",D826,E826)))))</f>
      </c>
      <c r="M826" s="6">
        <f>IF(AND(I826="Cut",N826&gt;0,K826=""),"USED: say what replaces it (Note)",IF(AND(I826="Rename",J826=""),"type the new name",IF(AND(L826&lt;&gt;"",L826&lt;&gt;"(decide)",COUNTIF($L$2:$L$1680,L826)&gt;1),"SAME FINAL NAME AS ANOTHER ROW","")))</f>
      </c>
      <c r="N826" s="6">
        <v>0</v>
      </c>
      <c r="O826" s="6" t="s">
        <v>2</v>
      </c>
    </row>
    <row r="827" spans="1:15" x14ac:dyDescent="0.25">
      <c r="A827">
        <v>826</v>
      </c>
      <c r="B827" t="s">
        <v>1009</v>
      </c>
      <c r="C827" t="s">
        <v>2</v>
      </c>
      <c r="D827" t="s">
        <v>1116</v>
      </c>
      <c r="E827" t="s">
        <v>292</v>
      </c>
      <c r="F827" t="s">
        <v>2</v>
      </c>
      <c r="G827" t="s">
        <v>38</v>
      </c>
      <c r="H827" t="s">
        <v>39</v>
      </c>
      <c r="I827" s="5" t="s">
        <v>294</v>
      </c>
      <c r="J827" s="5" t="s">
        <v>2</v>
      </c>
      <c r="K827" s="5" t="s">
        <v>2</v>
      </c>
      <c r="L827" s="6">
        <f>IF(I827="Cut","",IF(I827="Your call","(decide)",IF(I827="Rename",J827,IF(I827="Keep",IF(D827="",E827,D827),IF(E827="(unchanged)",D827,E827)))))</f>
      </c>
      <c r="M827" s="6">
        <f>IF(AND(I827="Cut",N827&gt;0,K827=""),"USED: say what replaces it (Note)",IF(AND(I827="Rename",J827=""),"type the new name",IF(AND(L827&lt;&gt;"",L827&lt;&gt;"(decide)",COUNTIF($L$2:$L$1680,L827)&gt;1),"SAME FINAL NAME AS ANOTHER ROW","")))</f>
      </c>
      <c r="N827" s="6">
        <v>0</v>
      </c>
      <c r="O827" s="6" t="s">
        <v>2</v>
      </c>
    </row>
    <row r="828" spans="1:15" x14ac:dyDescent="0.25">
      <c r="A828">
        <v>827</v>
      </c>
      <c r="B828" t="s">
        <v>1009</v>
      </c>
      <c r="C828" t="s">
        <v>2</v>
      </c>
      <c r="D828" t="s">
        <v>1117</v>
      </c>
      <c r="E828" t="s">
        <v>292</v>
      </c>
      <c r="F828" t="s">
        <v>2</v>
      </c>
      <c r="G828" t="s">
        <v>94</v>
      </c>
      <c r="H828" t="s">
        <v>39</v>
      </c>
      <c r="I828" s="5" t="s">
        <v>294</v>
      </c>
      <c r="J828" s="5" t="s">
        <v>2</v>
      </c>
      <c r="K828" s="5" t="s">
        <v>2</v>
      </c>
      <c r="L828" s="6">
        <f>IF(I828="Cut","",IF(I828="Your call","(decide)",IF(I828="Rename",J828,IF(I828="Keep",IF(D828="",E828,D828),IF(E828="(unchanged)",D828,E828)))))</f>
      </c>
      <c r="M828" s="6">
        <f>IF(AND(I828="Cut",N828&gt;0,K828=""),"USED: say what replaces it (Note)",IF(AND(I828="Rename",J828=""),"type the new name",IF(AND(L828&lt;&gt;"",L828&lt;&gt;"(decide)",COUNTIF($L$2:$L$1680,L828)&gt;1),"SAME FINAL NAME AS ANOTHER ROW","")))</f>
      </c>
      <c r="N828" s="6">
        <v>1</v>
      </c>
      <c r="O828" s="6" t="s">
        <v>2</v>
      </c>
    </row>
    <row r="829" spans="1:15" x14ac:dyDescent="0.25">
      <c r="A829">
        <v>828</v>
      </c>
      <c r="B829" t="s">
        <v>1009</v>
      </c>
      <c r="C829" t="s">
        <v>2</v>
      </c>
      <c r="D829" t="s">
        <v>1118</v>
      </c>
      <c r="E829" t="s">
        <v>292</v>
      </c>
      <c r="F829" t="s">
        <v>2</v>
      </c>
      <c r="G829" t="s">
        <v>38</v>
      </c>
      <c r="H829" t="s">
        <v>39</v>
      </c>
      <c r="I829" s="5" t="s">
        <v>294</v>
      </c>
      <c r="J829" s="5" t="s">
        <v>2</v>
      </c>
      <c r="K829" s="5" t="s">
        <v>2</v>
      </c>
      <c r="L829" s="6">
        <f>IF(I829="Cut","",IF(I829="Your call","(decide)",IF(I829="Rename",J829,IF(I829="Keep",IF(D829="",E829,D829),IF(E829="(unchanged)",D829,E829)))))</f>
      </c>
      <c r="M829" s="6">
        <f>IF(AND(I829="Cut",N829&gt;0,K829=""),"USED: say what replaces it (Note)",IF(AND(I829="Rename",J829=""),"type the new name",IF(AND(L829&lt;&gt;"",L829&lt;&gt;"(decide)",COUNTIF($L$2:$L$1680,L829)&gt;1),"SAME FINAL NAME AS ANOTHER ROW","")))</f>
      </c>
      <c r="N829" s="6">
        <v>0</v>
      </c>
      <c r="O829" s="6" t="s">
        <v>2</v>
      </c>
    </row>
    <row r="830" spans="1:15" x14ac:dyDescent="0.25">
      <c r="A830">
        <v>829</v>
      </c>
      <c r="B830" t="s">
        <v>1009</v>
      </c>
      <c r="C830" t="s">
        <v>2</v>
      </c>
      <c r="D830" t="s">
        <v>1119</v>
      </c>
      <c r="E830" t="s">
        <v>292</v>
      </c>
      <c r="F830" t="s">
        <v>2</v>
      </c>
      <c r="G830" t="s">
        <v>38</v>
      </c>
      <c r="H830" t="s">
        <v>39</v>
      </c>
      <c r="I830" s="5" t="s">
        <v>294</v>
      </c>
      <c r="J830" s="5" t="s">
        <v>2</v>
      </c>
      <c r="K830" s="5" t="s">
        <v>2</v>
      </c>
      <c r="L830" s="6">
        <f>IF(I830="Cut","",IF(I830="Your call","(decide)",IF(I830="Rename",J830,IF(I830="Keep",IF(D830="",E830,D830),IF(E830="(unchanged)",D830,E830)))))</f>
      </c>
      <c r="M830" s="6">
        <f>IF(AND(I830="Cut",N830&gt;0,K830=""),"USED: say what replaces it (Note)",IF(AND(I830="Rename",J830=""),"type the new name",IF(AND(L830&lt;&gt;"",L830&lt;&gt;"(decide)",COUNTIF($L$2:$L$1680,L830)&gt;1),"SAME FINAL NAME AS ANOTHER ROW","")))</f>
      </c>
      <c r="N830" s="6">
        <v>0</v>
      </c>
      <c r="O830" s="6" t="s">
        <v>2</v>
      </c>
    </row>
    <row r="831" spans="1:15" x14ac:dyDescent="0.25">
      <c r="A831">
        <v>830</v>
      </c>
      <c r="B831" t="s">
        <v>1009</v>
      </c>
      <c r="C831" t="s">
        <v>2</v>
      </c>
      <c r="D831" t="s">
        <v>1120</v>
      </c>
      <c r="E831" t="s">
        <v>292</v>
      </c>
      <c r="F831" t="s">
        <v>2</v>
      </c>
      <c r="G831" t="s">
        <v>38</v>
      </c>
      <c r="H831" t="s">
        <v>39</v>
      </c>
      <c r="I831" s="5" t="s">
        <v>294</v>
      </c>
      <c r="J831" s="5" t="s">
        <v>2</v>
      </c>
      <c r="K831" s="5" t="s">
        <v>2</v>
      </c>
      <c r="L831" s="6">
        <f>IF(I831="Cut","",IF(I831="Your call","(decide)",IF(I831="Rename",J831,IF(I831="Keep",IF(D831="",E831,D831),IF(E831="(unchanged)",D831,E831)))))</f>
      </c>
      <c r="M831" s="6">
        <f>IF(AND(I831="Cut",N831&gt;0,K831=""),"USED: say what replaces it (Note)",IF(AND(I831="Rename",J831=""),"type the new name",IF(AND(L831&lt;&gt;"",L831&lt;&gt;"(decide)",COUNTIF($L$2:$L$1680,L831)&gt;1),"SAME FINAL NAME AS ANOTHER ROW","")))</f>
      </c>
      <c r="N831" s="6">
        <v>0</v>
      </c>
      <c r="O831" s="6" t="s">
        <v>2</v>
      </c>
    </row>
    <row r="832" spans="1:15" x14ac:dyDescent="0.25">
      <c r="A832">
        <v>831</v>
      </c>
      <c r="B832" t="s">
        <v>1009</v>
      </c>
      <c r="C832" t="s">
        <v>2</v>
      </c>
      <c r="D832" t="s">
        <v>1121</v>
      </c>
      <c r="E832" t="s">
        <v>292</v>
      </c>
      <c r="F832" t="s">
        <v>2</v>
      </c>
      <c r="G832" t="s">
        <v>38</v>
      </c>
      <c r="H832" t="s">
        <v>39</v>
      </c>
      <c r="I832" s="5" t="s">
        <v>294</v>
      </c>
      <c r="J832" s="5" t="s">
        <v>2</v>
      </c>
      <c r="K832" s="5" t="s">
        <v>2</v>
      </c>
      <c r="L832" s="6">
        <f>IF(I832="Cut","",IF(I832="Your call","(decide)",IF(I832="Rename",J832,IF(I832="Keep",IF(D832="",E832,D832),IF(E832="(unchanged)",D832,E832)))))</f>
      </c>
      <c r="M832" s="6">
        <f>IF(AND(I832="Cut",N832&gt;0,K832=""),"USED: say what replaces it (Note)",IF(AND(I832="Rename",J832=""),"type the new name",IF(AND(L832&lt;&gt;"",L832&lt;&gt;"(decide)",COUNTIF($L$2:$L$1680,L832)&gt;1),"SAME FINAL NAME AS ANOTHER ROW","")))</f>
      </c>
      <c r="N832" s="6">
        <v>0</v>
      </c>
      <c r="O832" s="6" t="s">
        <v>2</v>
      </c>
    </row>
    <row r="833" spans="1:15" x14ac:dyDescent="0.25">
      <c r="A833">
        <v>832</v>
      </c>
      <c r="B833" t="s">
        <v>1009</v>
      </c>
      <c r="C833" t="s">
        <v>1122</v>
      </c>
      <c r="D833" t="s">
        <v>1123</v>
      </c>
      <c r="E833" t="s">
        <v>292</v>
      </c>
      <c r="F833" t="s">
        <v>2</v>
      </c>
      <c r="G833" t="s">
        <v>94</v>
      </c>
      <c r="H833" t="s">
        <v>39</v>
      </c>
      <c r="I833" s="5" t="s">
        <v>294</v>
      </c>
      <c r="J833" s="5" t="s">
        <v>2</v>
      </c>
      <c r="K833" s="5" t="s">
        <v>2</v>
      </c>
      <c r="L833" s="6">
        <f>IF(I833="Cut","",IF(I833="Your call","(decide)",IF(I833="Rename",J833,IF(I833="Keep",IF(D833="",E833,D833),IF(E833="(unchanged)",D833,E833)))))</f>
      </c>
      <c r="M833" s="6">
        <f>IF(AND(I833="Cut",N833&gt;0,K833=""),"USED: say what replaces it (Note)",IF(AND(I833="Rename",J833=""),"type the new name",IF(AND(L833&lt;&gt;"",L833&lt;&gt;"(decide)",COUNTIF($L$2:$L$1680,L833)&gt;1),"SAME FINAL NAME AS ANOTHER ROW","")))</f>
      </c>
      <c r="N833" s="6">
        <v>1</v>
      </c>
      <c r="O833" s="6" t="s">
        <v>2</v>
      </c>
    </row>
    <row r="834" spans="1:15" x14ac:dyDescent="0.25">
      <c r="A834">
        <v>833</v>
      </c>
      <c r="B834" t="s">
        <v>1009</v>
      </c>
      <c r="C834" t="s">
        <v>1122</v>
      </c>
      <c r="D834" t="s">
        <v>1124</v>
      </c>
      <c r="E834" t="s">
        <v>292</v>
      </c>
      <c r="F834" t="s">
        <v>2</v>
      </c>
      <c r="G834" t="s">
        <v>38</v>
      </c>
      <c r="H834" t="s">
        <v>39</v>
      </c>
      <c r="I834" s="5" t="s">
        <v>294</v>
      </c>
      <c r="J834" s="5" t="s">
        <v>2</v>
      </c>
      <c r="K834" s="5" t="s">
        <v>2</v>
      </c>
      <c r="L834" s="6">
        <f>IF(I834="Cut","",IF(I834="Your call","(decide)",IF(I834="Rename",J834,IF(I834="Keep",IF(D834="",E834,D834),IF(E834="(unchanged)",D834,E834)))))</f>
      </c>
      <c r="M834" s="6">
        <f>IF(AND(I834="Cut",N834&gt;0,K834=""),"USED: say what replaces it (Note)",IF(AND(I834="Rename",J834=""),"type the new name",IF(AND(L834&lt;&gt;"",L834&lt;&gt;"(decide)",COUNTIF($L$2:$L$1680,L834)&gt;1),"SAME FINAL NAME AS ANOTHER ROW","")))</f>
      </c>
      <c r="N834" s="6">
        <v>0</v>
      </c>
      <c r="O834" s="6" t="s">
        <v>2</v>
      </c>
    </row>
    <row r="835" spans="1:15" x14ac:dyDescent="0.25">
      <c r="A835">
        <v>834</v>
      </c>
      <c r="B835" t="s">
        <v>1009</v>
      </c>
      <c r="C835" t="s">
        <v>1125</v>
      </c>
      <c r="D835" t="s">
        <v>1126</v>
      </c>
      <c r="E835" t="s">
        <v>292</v>
      </c>
      <c r="F835" t="s">
        <v>2</v>
      </c>
      <c r="G835" t="s">
        <v>48</v>
      </c>
      <c r="H835" t="s">
        <v>39</v>
      </c>
      <c r="I835" s="5" t="s">
        <v>294</v>
      </c>
      <c r="J835" s="5" t="s">
        <v>2</v>
      </c>
      <c r="K835" s="5" t="s">
        <v>2</v>
      </c>
      <c r="L835" s="6">
        <f>IF(I835="Cut","",IF(I835="Your call","(decide)",IF(I835="Rename",J835,IF(I835="Keep",IF(D835="",E835,D835),IF(E835="(unchanged)",D835,E835)))))</f>
      </c>
      <c r="M835" s="6">
        <f>IF(AND(I835="Cut",N835&gt;0,K835=""),"USED: say what replaces it (Note)",IF(AND(I835="Rename",J835=""),"type the new name",IF(AND(L835&lt;&gt;"",L835&lt;&gt;"(decide)",COUNTIF($L$2:$L$1680,L835)&gt;1),"SAME FINAL NAME AS ANOTHER ROW","")))</f>
      </c>
      <c r="N835" s="6">
        <v>2</v>
      </c>
      <c r="O835" s="6" t="s">
        <v>2</v>
      </c>
    </row>
    <row r="836" spans="1:15" x14ac:dyDescent="0.25">
      <c r="A836">
        <v>835</v>
      </c>
      <c r="B836" t="s">
        <v>1009</v>
      </c>
      <c r="C836" t="s">
        <v>1125</v>
      </c>
      <c r="D836" t="s">
        <v>1127</v>
      </c>
      <c r="E836" t="s">
        <v>292</v>
      </c>
      <c r="F836" t="s">
        <v>2</v>
      </c>
      <c r="G836" t="s">
        <v>38</v>
      </c>
      <c r="H836" t="s">
        <v>39</v>
      </c>
      <c r="I836" s="5" t="s">
        <v>294</v>
      </c>
      <c r="J836" s="5" t="s">
        <v>2</v>
      </c>
      <c r="K836" s="5" t="s">
        <v>2</v>
      </c>
      <c r="L836" s="6">
        <f>IF(I836="Cut","",IF(I836="Your call","(decide)",IF(I836="Rename",J836,IF(I836="Keep",IF(D836="",E836,D836),IF(E836="(unchanged)",D836,E836)))))</f>
      </c>
      <c r="M836" s="6">
        <f>IF(AND(I836="Cut",N836&gt;0,K836=""),"USED: say what replaces it (Note)",IF(AND(I836="Rename",J836=""),"type the new name",IF(AND(L836&lt;&gt;"",L836&lt;&gt;"(decide)",COUNTIF($L$2:$L$1680,L836)&gt;1),"SAME FINAL NAME AS ANOTHER ROW","")))</f>
      </c>
      <c r="N836" s="6">
        <v>0</v>
      </c>
      <c r="O836" s="6" t="s">
        <v>2</v>
      </c>
    </row>
    <row r="837" spans="1:15" x14ac:dyDescent="0.25">
      <c r="A837">
        <v>836</v>
      </c>
      <c r="B837" t="s">
        <v>1009</v>
      </c>
      <c r="C837" t="s">
        <v>1128</v>
      </c>
      <c r="D837" t="s">
        <v>1129</v>
      </c>
      <c r="E837" t="s">
        <v>292</v>
      </c>
      <c r="F837" t="s">
        <v>2</v>
      </c>
      <c r="G837" t="s">
        <v>38</v>
      </c>
      <c r="H837" t="s">
        <v>39</v>
      </c>
      <c r="I837" s="5" t="s">
        <v>294</v>
      </c>
      <c r="J837" s="5" t="s">
        <v>2</v>
      </c>
      <c r="K837" s="5" t="s">
        <v>2</v>
      </c>
      <c r="L837" s="6">
        <f>IF(I837="Cut","",IF(I837="Your call","(decide)",IF(I837="Rename",J837,IF(I837="Keep",IF(D837="",E837,D837),IF(E837="(unchanged)",D837,E837)))))</f>
      </c>
      <c r="M837" s="6">
        <f>IF(AND(I837="Cut",N837&gt;0,K837=""),"USED: say what replaces it (Note)",IF(AND(I837="Rename",J837=""),"type the new name",IF(AND(L837&lt;&gt;"",L837&lt;&gt;"(decide)",COUNTIF($L$2:$L$1680,L837)&gt;1),"SAME FINAL NAME AS ANOTHER ROW","")))</f>
      </c>
      <c r="N837" s="6">
        <v>0</v>
      </c>
      <c r="O837" s="6" t="s">
        <v>2</v>
      </c>
    </row>
    <row r="838" spans="1:15" x14ac:dyDescent="0.25">
      <c r="A838">
        <v>837</v>
      </c>
      <c r="B838" t="s">
        <v>1009</v>
      </c>
      <c r="C838" t="s">
        <v>1128</v>
      </c>
      <c r="D838" t="s">
        <v>1130</v>
      </c>
      <c r="E838" t="s">
        <v>292</v>
      </c>
      <c r="F838" t="s">
        <v>2</v>
      </c>
      <c r="G838" t="s">
        <v>38</v>
      </c>
      <c r="H838" t="s">
        <v>39</v>
      </c>
      <c r="I838" s="5" t="s">
        <v>294</v>
      </c>
      <c r="J838" s="5" t="s">
        <v>2</v>
      </c>
      <c r="K838" s="5" t="s">
        <v>2</v>
      </c>
      <c r="L838" s="6">
        <f>IF(I838="Cut","",IF(I838="Your call","(decide)",IF(I838="Rename",J838,IF(I838="Keep",IF(D838="",E838,D838),IF(E838="(unchanged)",D838,E838)))))</f>
      </c>
      <c r="M838" s="6">
        <f>IF(AND(I838="Cut",N838&gt;0,K838=""),"USED: say what replaces it (Note)",IF(AND(I838="Rename",J838=""),"type the new name",IF(AND(L838&lt;&gt;"",L838&lt;&gt;"(decide)",COUNTIF($L$2:$L$1680,L838)&gt;1),"SAME FINAL NAME AS ANOTHER ROW","")))</f>
      </c>
      <c r="N838" s="6">
        <v>0</v>
      </c>
      <c r="O838" s="6" t="s">
        <v>2</v>
      </c>
    </row>
    <row r="839" spans="1:15" x14ac:dyDescent="0.25">
      <c r="A839">
        <v>838</v>
      </c>
      <c r="B839" t="s">
        <v>1009</v>
      </c>
      <c r="C839" t="s">
        <v>1131</v>
      </c>
      <c r="D839" t="s">
        <v>1132</v>
      </c>
      <c r="E839" t="s">
        <v>292</v>
      </c>
      <c r="F839" t="s">
        <v>2</v>
      </c>
      <c r="G839" t="s">
        <v>38</v>
      </c>
      <c r="H839" t="s">
        <v>39</v>
      </c>
      <c r="I839" s="5" t="s">
        <v>294</v>
      </c>
      <c r="J839" s="5" t="s">
        <v>2</v>
      </c>
      <c r="K839" s="5" t="s">
        <v>2</v>
      </c>
      <c r="L839" s="6">
        <f>IF(I839="Cut","",IF(I839="Your call","(decide)",IF(I839="Rename",J839,IF(I839="Keep",IF(D839="",E839,D839),IF(E839="(unchanged)",D839,E839)))))</f>
      </c>
      <c r="M839" s="6">
        <f>IF(AND(I839="Cut",N839&gt;0,K839=""),"USED: say what replaces it (Note)",IF(AND(I839="Rename",J839=""),"type the new name",IF(AND(L839&lt;&gt;"",L839&lt;&gt;"(decide)",COUNTIF($L$2:$L$1680,L839)&gt;1),"SAME FINAL NAME AS ANOTHER ROW","")))</f>
      </c>
      <c r="N839" s="6">
        <v>0</v>
      </c>
      <c r="O839" s="6" t="s">
        <v>2</v>
      </c>
    </row>
    <row r="840" spans="1:15" x14ac:dyDescent="0.25">
      <c r="A840">
        <v>839</v>
      </c>
      <c r="B840" t="s">
        <v>1009</v>
      </c>
      <c r="C840" t="s">
        <v>2</v>
      </c>
      <c r="D840" t="s">
        <v>1133</v>
      </c>
      <c r="E840" t="s">
        <v>292</v>
      </c>
      <c r="F840" t="s">
        <v>2</v>
      </c>
      <c r="G840" t="s">
        <v>38</v>
      </c>
      <c r="H840" t="s">
        <v>39</v>
      </c>
      <c r="I840" s="5" t="s">
        <v>294</v>
      </c>
      <c r="J840" s="5" t="s">
        <v>2</v>
      </c>
      <c r="K840" s="5" t="s">
        <v>2</v>
      </c>
      <c r="L840" s="6">
        <f>IF(I840="Cut","",IF(I840="Your call","(decide)",IF(I840="Rename",J840,IF(I840="Keep",IF(D840="",E840,D840),IF(E840="(unchanged)",D840,E840)))))</f>
      </c>
      <c r="M840" s="6">
        <f>IF(AND(I840="Cut",N840&gt;0,K840=""),"USED: say what replaces it (Note)",IF(AND(I840="Rename",J840=""),"type the new name",IF(AND(L840&lt;&gt;"",L840&lt;&gt;"(decide)",COUNTIF($L$2:$L$1680,L840)&gt;1),"SAME FINAL NAME AS ANOTHER ROW","")))</f>
      </c>
      <c r="N840" s="6">
        <v>0</v>
      </c>
      <c r="O840" s="6" t="s">
        <v>2</v>
      </c>
    </row>
    <row r="841" spans="1:15" x14ac:dyDescent="0.25">
      <c r="A841">
        <v>840</v>
      </c>
      <c r="B841" t="s">
        <v>1009</v>
      </c>
      <c r="C841" t="s">
        <v>1134</v>
      </c>
      <c r="D841" t="s">
        <v>1135</v>
      </c>
      <c r="E841" t="s">
        <v>292</v>
      </c>
      <c r="F841" t="s">
        <v>2</v>
      </c>
      <c r="G841" t="s">
        <v>48</v>
      </c>
      <c r="H841" t="s">
        <v>39</v>
      </c>
      <c r="I841" s="5" t="s">
        <v>294</v>
      </c>
      <c r="J841" s="5" t="s">
        <v>2</v>
      </c>
      <c r="K841" s="5" t="s">
        <v>2</v>
      </c>
      <c r="L841" s="6">
        <f>IF(I841="Cut","",IF(I841="Your call","(decide)",IF(I841="Rename",J841,IF(I841="Keep",IF(D841="",E841,D841),IF(E841="(unchanged)",D841,E841)))))</f>
      </c>
      <c r="M841" s="6">
        <f>IF(AND(I841="Cut",N841&gt;0,K841=""),"USED: say what replaces it (Note)",IF(AND(I841="Rename",J841=""),"type the new name",IF(AND(L841&lt;&gt;"",L841&lt;&gt;"(decide)",COUNTIF($L$2:$L$1680,L841)&gt;1),"SAME FINAL NAME AS ANOTHER ROW","")))</f>
      </c>
      <c r="N841" s="6">
        <v>2</v>
      </c>
      <c r="O841" s="6" t="s">
        <v>2</v>
      </c>
    </row>
    <row r="842" spans="1:15" x14ac:dyDescent="0.25">
      <c r="A842">
        <v>841</v>
      </c>
      <c r="B842" t="s">
        <v>1009</v>
      </c>
      <c r="C842" t="s">
        <v>1134</v>
      </c>
      <c r="D842" t="s">
        <v>1136</v>
      </c>
      <c r="E842" t="s">
        <v>292</v>
      </c>
      <c r="F842" t="s">
        <v>2</v>
      </c>
      <c r="G842" t="s">
        <v>38</v>
      </c>
      <c r="H842" t="s">
        <v>39</v>
      </c>
      <c r="I842" s="5" t="s">
        <v>294</v>
      </c>
      <c r="J842" s="5" t="s">
        <v>2</v>
      </c>
      <c r="K842" s="5" t="s">
        <v>2</v>
      </c>
      <c r="L842" s="6">
        <f>IF(I842="Cut","",IF(I842="Your call","(decide)",IF(I842="Rename",J842,IF(I842="Keep",IF(D842="",E842,D842),IF(E842="(unchanged)",D842,E842)))))</f>
      </c>
      <c r="M842" s="6">
        <f>IF(AND(I842="Cut",N842&gt;0,K842=""),"USED: say what replaces it (Note)",IF(AND(I842="Rename",J842=""),"type the new name",IF(AND(L842&lt;&gt;"",L842&lt;&gt;"(decide)",COUNTIF($L$2:$L$1680,L842)&gt;1),"SAME FINAL NAME AS ANOTHER ROW","")))</f>
      </c>
      <c r="N842" s="6">
        <v>0</v>
      </c>
      <c r="O842" s="6" t="s">
        <v>2</v>
      </c>
    </row>
    <row r="843" spans="1:15" x14ac:dyDescent="0.25">
      <c r="A843">
        <v>842</v>
      </c>
      <c r="B843" t="s">
        <v>1137</v>
      </c>
      <c r="C843" t="s">
        <v>2</v>
      </c>
      <c r="D843" t="s">
        <v>1138</v>
      </c>
      <c r="E843" t="s">
        <v>292</v>
      </c>
      <c r="F843" t="s">
        <v>2</v>
      </c>
      <c r="G843" t="s">
        <v>94</v>
      </c>
      <c r="H843" t="s">
        <v>39</v>
      </c>
      <c r="I843" s="5" t="s">
        <v>294</v>
      </c>
      <c r="J843" s="5" t="s">
        <v>2</v>
      </c>
      <c r="K843" s="5" t="s">
        <v>2</v>
      </c>
      <c r="L843" s="6">
        <f>IF(I843="Cut","",IF(I843="Your call","(decide)",IF(I843="Rename",J843,IF(I843="Keep",IF(D843="",E843,D843),IF(E843="(unchanged)",D843,E843)))))</f>
      </c>
      <c r="M843" s="6">
        <f>IF(AND(I843="Cut",N843&gt;0,K843=""),"USED: say what replaces it (Note)",IF(AND(I843="Rename",J843=""),"type the new name",IF(AND(L843&lt;&gt;"",L843&lt;&gt;"(decide)",COUNTIF($L$2:$L$1680,L843)&gt;1),"SAME FINAL NAME AS ANOTHER ROW","")))</f>
      </c>
      <c r="N843" s="6">
        <v>1</v>
      </c>
      <c r="O843" s="6" t="s">
        <v>2</v>
      </c>
    </row>
    <row r="844" spans="1:15" x14ac:dyDescent="0.25">
      <c r="A844">
        <v>843</v>
      </c>
      <c r="B844" t="s">
        <v>1137</v>
      </c>
      <c r="C844" t="s">
        <v>2</v>
      </c>
      <c r="D844" t="s">
        <v>1139</v>
      </c>
      <c r="E844" t="s">
        <v>292</v>
      </c>
      <c r="F844" t="s">
        <v>2</v>
      </c>
      <c r="G844" t="s">
        <v>94</v>
      </c>
      <c r="H844" t="s">
        <v>39</v>
      </c>
      <c r="I844" s="5" t="s">
        <v>294</v>
      </c>
      <c r="J844" s="5" t="s">
        <v>2</v>
      </c>
      <c r="K844" s="5" t="s">
        <v>2</v>
      </c>
      <c r="L844" s="6">
        <f>IF(I844="Cut","",IF(I844="Your call","(decide)",IF(I844="Rename",J844,IF(I844="Keep",IF(D844="",E844,D844),IF(E844="(unchanged)",D844,E844)))))</f>
      </c>
      <c r="M844" s="6">
        <f>IF(AND(I844="Cut",N844&gt;0,K844=""),"USED: say what replaces it (Note)",IF(AND(I844="Rename",J844=""),"type the new name",IF(AND(L844&lt;&gt;"",L844&lt;&gt;"(decide)",COUNTIF($L$2:$L$1680,L844)&gt;1),"SAME FINAL NAME AS ANOTHER ROW","")))</f>
      </c>
      <c r="N844" s="6">
        <v>1</v>
      </c>
      <c r="O844" s="6" t="s">
        <v>2</v>
      </c>
    </row>
    <row r="845" spans="1:15" x14ac:dyDescent="0.25">
      <c r="A845">
        <v>844</v>
      </c>
      <c r="B845" t="s">
        <v>1137</v>
      </c>
      <c r="C845" t="s">
        <v>2</v>
      </c>
      <c r="D845" t="s">
        <v>1140</v>
      </c>
      <c r="E845" t="s">
        <v>292</v>
      </c>
      <c r="F845" t="s">
        <v>2</v>
      </c>
      <c r="G845" t="s">
        <v>38</v>
      </c>
      <c r="H845" t="s">
        <v>39</v>
      </c>
      <c r="I845" s="5" t="s">
        <v>294</v>
      </c>
      <c r="J845" s="5" t="s">
        <v>2</v>
      </c>
      <c r="K845" s="5" t="s">
        <v>2</v>
      </c>
      <c r="L845" s="6">
        <f>IF(I845="Cut","",IF(I845="Your call","(decide)",IF(I845="Rename",J845,IF(I845="Keep",IF(D845="",E845,D845),IF(E845="(unchanged)",D845,E845)))))</f>
      </c>
      <c r="M845" s="6">
        <f>IF(AND(I845="Cut",N845&gt;0,K845=""),"USED: say what replaces it (Note)",IF(AND(I845="Rename",J845=""),"type the new name",IF(AND(L845&lt;&gt;"",L845&lt;&gt;"(decide)",COUNTIF($L$2:$L$1680,L845)&gt;1),"SAME FINAL NAME AS ANOTHER ROW","")))</f>
      </c>
      <c r="N845" s="6">
        <v>0</v>
      </c>
      <c r="O845" s="6" t="s">
        <v>2</v>
      </c>
    </row>
    <row r="846" spans="1:15" x14ac:dyDescent="0.25">
      <c r="A846">
        <v>845</v>
      </c>
      <c r="B846" t="s">
        <v>1137</v>
      </c>
      <c r="C846" t="s">
        <v>1141</v>
      </c>
      <c r="D846" t="s">
        <v>1142</v>
      </c>
      <c r="E846" t="s">
        <v>292</v>
      </c>
      <c r="F846" t="s">
        <v>2</v>
      </c>
      <c r="G846" t="s">
        <v>94</v>
      </c>
      <c r="H846" t="s">
        <v>39</v>
      </c>
      <c r="I846" s="5" t="s">
        <v>294</v>
      </c>
      <c r="J846" s="5" t="s">
        <v>2</v>
      </c>
      <c r="K846" s="5" t="s">
        <v>2</v>
      </c>
      <c r="L846" s="6">
        <f>IF(I846="Cut","",IF(I846="Your call","(decide)",IF(I846="Rename",J846,IF(I846="Keep",IF(D846="",E846,D846),IF(E846="(unchanged)",D846,E846)))))</f>
      </c>
      <c r="M846" s="6">
        <f>IF(AND(I846="Cut",N846&gt;0,K846=""),"USED: say what replaces it (Note)",IF(AND(I846="Rename",J846=""),"type the new name",IF(AND(L846&lt;&gt;"",L846&lt;&gt;"(decide)",COUNTIF($L$2:$L$1680,L846)&gt;1),"SAME FINAL NAME AS ANOTHER ROW","")))</f>
      </c>
      <c r="N846" s="6">
        <v>1</v>
      </c>
      <c r="O846" s="6" t="s">
        <v>2</v>
      </c>
    </row>
    <row r="847" spans="1:15" x14ac:dyDescent="0.25">
      <c r="A847">
        <v>846</v>
      </c>
      <c r="B847" t="s">
        <v>1137</v>
      </c>
      <c r="C847" t="s">
        <v>1143</v>
      </c>
      <c r="D847" t="s">
        <v>1144</v>
      </c>
      <c r="E847" t="s">
        <v>292</v>
      </c>
      <c r="F847" t="s">
        <v>2</v>
      </c>
      <c r="G847" t="s">
        <v>1145</v>
      </c>
      <c r="H847" t="s">
        <v>39</v>
      </c>
      <c r="I847" s="5" t="s">
        <v>294</v>
      </c>
      <c r="J847" s="5" t="s">
        <v>2</v>
      </c>
      <c r="K847" s="5" t="s">
        <v>2</v>
      </c>
      <c r="L847" s="6">
        <f>IF(I847="Cut","",IF(I847="Your call","(decide)",IF(I847="Rename",J847,IF(I847="Keep",IF(D847="",E847,D847),IF(E847="(unchanged)",D847,E847)))))</f>
      </c>
      <c r="M847" s="6">
        <f>IF(AND(I847="Cut",N847&gt;0,K847=""),"USED: say what replaces it (Note)",IF(AND(I847="Rename",J847=""),"type the new name",IF(AND(L847&lt;&gt;"",L847&lt;&gt;"(decide)",COUNTIF($L$2:$L$1680,L847)&gt;1),"SAME FINAL NAME AS ANOTHER ROW","")))</f>
      </c>
      <c r="N847" s="6">
        <v>9</v>
      </c>
      <c r="O847" s="6" t="s">
        <v>2</v>
      </c>
    </row>
    <row r="848" spans="1:15" x14ac:dyDescent="0.25">
      <c r="A848">
        <v>847</v>
      </c>
      <c r="B848" t="s">
        <v>1137</v>
      </c>
      <c r="C848" t="s">
        <v>2</v>
      </c>
      <c r="D848" t="s">
        <v>1146</v>
      </c>
      <c r="E848" t="s">
        <v>292</v>
      </c>
      <c r="F848" t="s">
        <v>2</v>
      </c>
      <c r="G848" t="s">
        <v>151</v>
      </c>
      <c r="H848" t="s">
        <v>39</v>
      </c>
      <c r="I848" s="5" t="s">
        <v>294</v>
      </c>
      <c r="J848" s="5" t="s">
        <v>2</v>
      </c>
      <c r="K848" s="5" t="s">
        <v>2</v>
      </c>
      <c r="L848" s="6">
        <f>IF(I848="Cut","",IF(I848="Your call","(decide)",IF(I848="Rename",J848,IF(I848="Keep",IF(D848="",E848,D848),IF(E848="(unchanged)",D848,E848)))))</f>
      </c>
      <c r="M848" s="6">
        <f>IF(AND(I848="Cut",N848&gt;0,K848=""),"USED: say what replaces it (Note)",IF(AND(I848="Rename",J848=""),"type the new name",IF(AND(L848&lt;&gt;"",L848&lt;&gt;"(decide)",COUNTIF($L$2:$L$1680,L848)&gt;1),"SAME FINAL NAME AS ANOTHER ROW","")))</f>
      </c>
      <c r="N848" s="6">
        <v>5</v>
      </c>
      <c r="O848" s="6" t="s">
        <v>2</v>
      </c>
    </row>
    <row r="849" spans="1:15" x14ac:dyDescent="0.25">
      <c r="A849">
        <v>848</v>
      </c>
      <c r="B849" t="s">
        <v>1137</v>
      </c>
      <c r="C849" t="s">
        <v>1147</v>
      </c>
      <c r="D849" t="s">
        <v>1148</v>
      </c>
      <c r="E849" t="s">
        <v>292</v>
      </c>
      <c r="F849" t="s">
        <v>2</v>
      </c>
      <c r="G849" t="s">
        <v>38</v>
      </c>
      <c r="H849" t="s">
        <v>39</v>
      </c>
      <c r="I849" s="5" t="s">
        <v>294</v>
      </c>
      <c r="J849" s="5" t="s">
        <v>2</v>
      </c>
      <c r="K849" s="5" t="s">
        <v>2</v>
      </c>
      <c r="L849" s="6">
        <f>IF(I849="Cut","",IF(I849="Your call","(decide)",IF(I849="Rename",J849,IF(I849="Keep",IF(D849="",E849,D849),IF(E849="(unchanged)",D849,E849)))))</f>
      </c>
      <c r="M849" s="6">
        <f>IF(AND(I849="Cut",N849&gt;0,K849=""),"USED: say what replaces it (Note)",IF(AND(I849="Rename",J849=""),"type the new name",IF(AND(L849&lt;&gt;"",L849&lt;&gt;"(decide)",COUNTIF($L$2:$L$1680,L849)&gt;1),"SAME FINAL NAME AS ANOTHER ROW","")))</f>
      </c>
      <c r="N849" s="6">
        <v>0</v>
      </c>
      <c r="O849" s="6" t="s">
        <v>2</v>
      </c>
    </row>
    <row r="850" spans="1:15" x14ac:dyDescent="0.25">
      <c r="A850">
        <v>849</v>
      </c>
      <c r="B850" t="s">
        <v>1137</v>
      </c>
      <c r="C850" t="s">
        <v>2</v>
      </c>
      <c r="D850" t="s">
        <v>1149</v>
      </c>
      <c r="E850" t="s">
        <v>292</v>
      </c>
      <c r="F850" t="s">
        <v>2</v>
      </c>
      <c r="G850" t="s">
        <v>38</v>
      </c>
      <c r="H850" t="s">
        <v>39</v>
      </c>
      <c r="I850" s="5" t="s">
        <v>294</v>
      </c>
      <c r="J850" s="5" t="s">
        <v>2</v>
      </c>
      <c r="K850" s="5" t="s">
        <v>2</v>
      </c>
      <c r="L850" s="6">
        <f>IF(I850="Cut","",IF(I850="Your call","(decide)",IF(I850="Rename",J850,IF(I850="Keep",IF(D850="",E850,D850),IF(E850="(unchanged)",D850,E850)))))</f>
      </c>
      <c r="M850" s="6">
        <f>IF(AND(I850="Cut",N850&gt;0,K850=""),"USED: say what replaces it (Note)",IF(AND(I850="Rename",J850=""),"type the new name",IF(AND(L850&lt;&gt;"",L850&lt;&gt;"(decide)",COUNTIF($L$2:$L$1680,L850)&gt;1),"SAME FINAL NAME AS ANOTHER ROW","")))</f>
      </c>
      <c r="N850" s="6">
        <v>0</v>
      </c>
      <c r="O850" s="6" t="s">
        <v>2</v>
      </c>
    </row>
    <row r="851" spans="1:15" x14ac:dyDescent="0.25">
      <c r="A851">
        <v>850</v>
      </c>
      <c r="B851" t="s">
        <v>1137</v>
      </c>
      <c r="C851" t="s">
        <v>2</v>
      </c>
      <c r="D851" t="s">
        <v>1150</v>
      </c>
      <c r="E851" t="s">
        <v>292</v>
      </c>
      <c r="F851" t="s">
        <v>2</v>
      </c>
      <c r="G851" t="s">
        <v>38</v>
      </c>
      <c r="H851" t="s">
        <v>39</v>
      </c>
      <c r="I851" s="5" t="s">
        <v>294</v>
      </c>
      <c r="J851" s="5" t="s">
        <v>2</v>
      </c>
      <c r="K851" s="5" t="s">
        <v>2</v>
      </c>
      <c r="L851" s="6">
        <f>IF(I851="Cut","",IF(I851="Your call","(decide)",IF(I851="Rename",J851,IF(I851="Keep",IF(D851="",E851,D851),IF(E851="(unchanged)",D851,E851)))))</f>
      </c>
      <c r="M851" s="6">
        <f>IF(AND(I851="Cut",N851&gt;0,K851=""),"USED: say what replaces it (Note)",IF(AND(I851="Rename",J851=""),"type the new name",IF(AND(L851&lt;&gt;"",L851&lt;&gt;"(decide)",COUNTIF($L$2:$L$1680,L851)&gt;1),"SAME FINAL NAME AS ANOTHER ROW","")))</f>
      </c>
      <c r="N851" s="6">
        <v>0</v>
      </c>
      <c r="O851" s="6" t="s">
        <v>2</v>
      </c>
    </row>
    <row r="852" spans="1:15" x14ac:dyDescent="0.25">
      <c r="A852">
        <v>851</v>
      </c>
      <c r="B852" t="s">
        <v>1137</v>
      </c>
      <c r="C852" t="s">
        <v>1151</v>
      </c>
      <c r="D852" t="s">
        <v>1152</v>
      </c>
      <c r="E852" t="s">
        <v>292</v>
      </c>
      <c r="F852" t="s">
        <v>2</v>
      </c>
      <c r="G852" t="s">
        <v>58</v>
      </c>
      <c r="H852" t="s">
        <v>39</v>
      </c>
      <c r="I852" s="5" t="s">
        <v>294</v>
      </c>
      <c r="J852" s="5" t="s">
        <v>2</v>
      </c>
      <c r="K852" s="5" t="s">
        <v>2</v>
      </c>
      <c r="L852" s="6">
        <f>IF(I852="Cut","",IF(I852="Your call","(decide)",IF(I852="Rename",J852,IF(I852="Keep",IF(D852="",E852,D852),IF(E852="(unchanged)",D852,E852)))))</f>
      </c>
      <c r="M852" s="6">
        <f>IF(AND(I852="Cut",N852&gt;0,K852=""),"USED: say what replaces it (Note)",IF(AND(I852="Rename",J852=""),"type the new name",IF(AND(L852&lt;&gt;"",L852&lt;&gt;"(decide)",COUNTIF($L$2:$L$1680,L852)&gt;1),"SAME FINAL NAME AS ANOTHER ROW","")))</f>
      </c>
      <c r="N852" s="6">
        <v>3</v>
      </c>
      <c r="O852" s="6" t="s">
        <v>2</v>
      </c>
    </row>
    <row r="853" spans="1:15" x14ac:dyDescent="0.25">
      <c r="A853">
        <v>852</v>
      </c>
      <c r="B853" t="s">
        <v>1137</v>
      </c>
      <c r="C853" t="s">
        <v>2</v>
      </c>
      <c r="D853" t="s">
        <v>1151</v>
      </c>
      <c r="E853" t="s">
        <v>292</v>
      </c>
      <c r="F853" t="s">
        <v>2</v>
      </c>
      <c r="G853" t="s">
        <v>94</v>
      </c>
      <c r="H853" t="s">
        <v>39</v>
      </c>
      <c r="I853" s="5" t="s">
        <v>294</v>
      </c>
      <c r="J853" s="5" t="s">
        <v>2</v>
      </c>
      <c r="K853" s="5" t="s">
        <v>2</v>
      </c>
      <c r="L853" s="6">
        <f>IF(I853="Cut","",IF(I853="Your call","(decide)",IF(I853="Rename",J853,IF(I853="Keep",IF(D853="",E853,D853),IF(E853="(unchanged)",D853,E853)))))</f>
      </c>
      <c r="M853" s="6">
        <f>IF(AND(I853="Cut",N853&gt;0,K853=""),"USED: say what replaces it (Note)",IF(AND(I853="Rename",J853=""),"type the new name",IF(AND(L853&lt;&gt;"",L853&lt;&gt;"(decide)",COUNTIF($L$2:$L$1680,L853)&gt;1),"SAME FINAL NAME AS ANOTHER ROW","")))</f>
      </c>
      <c r="N853" s="6">
        <v>1</v>
      </c>
      <c r="O853" s="6" t="s">
        <v>2</v>
      </c>
    </row>
    <row r="854" spans="1:15" x14ac:dyDescent="0.25">
      <c r="A854">
        <v>853</v>
      </c>
      <c r="B854" t="s">
        <v>1137</v>
      </c>
      <c r="C854" t="s">
        <v>1153</v>
      </c>
      <c r="D854" t="s">
        <v>1154</v>
      </c>
      <c r="E854" t="s">
        <v>292</v>
      </c>
      <c r="F854" t="s">
        <v>2</v>
      </c>
      <c r="G854" t="s">
        <v>94</v>
      </c>
      <c r="H854" t="s">
        <v>39</v>
      </c>
      <c r="I854" s="5" t="s">
        <v>294</v>
      </c>
      <c r="J854" s="5" t="s">
        <v>2</v>
      </c>
      <c r="K854" s="5" t="s">
        <v>2</v>
      </c>
      <c r="L854" s="6">
        <f>IF(I854="Cut","",IF(I854="Your call","(decide)",IF(I854="Rename",J854,IF(I854="Keep",IF(D854="",E854,D854),IF(E854="(unchanged)",D854,E854)))))</f>
      </c>
      <c r="M854" s="6">
        <f>IF(AND(I854="Cut",N854&gt;0,K854=""),"USED: say what replaces it (Note)",IF(AND(I854="Rename",J854=""),"type the new name",IF(AND(L854&lt;&gt;"",L854&lt;&gt;"(decide)",COUNTIF($L$2:$L$1680,L854)&gt;1),"SAME FINAL NAME AS ANOTHER ROW","")))</f>
      </c>
      <c r="N854" s="6">
        <v>1</v>
      </c>
      <c r="O854" s="6" t="s">
        <v>2</v>
      </c>
    </row>
    <row r="855" spans="1:15" x14ac:dyDescent="0.25">
      <c r="A855">
        <v>854</v>
      </c>
      <c r="B855" t="s">
        <v>1137</v>
      </c>
      <c r="C855" t="s">
        <v>2</v>
      </c>
      <c r="D855" t="s">
        <v>1153</v>
      </c>
      <c r="E855" t="s">
        <v>292</v>
      </c>
      <c r="F855" t="s">
        <v>2</v>
      </c>
      <c r="G855" t="s">
        <v>58</v>
      </c>
      <c r="H855" t="s">
        <v>39</v>
      </c>
      <c r="I855" s="5" t="s">
        <v>294</v>
      </c>
      <c r="J855" s="5" t="s">
        <v>2</v>
      </c>
      <c r="K855" s="5" t="s">
        <v>2</v>
      </c>
      <c r="L855" s="6">
        <f>IF(I855="Cut","",IF(I855="Your call","(decide)",IF(I855="Rename",J855,IF(I855="Keep",IF(D855="",E855,D855),IF(E855="(unchanged)",D855,E855)))))</f>
      </c>
      <c r="M855" s="6">
        <f>IF(AND(I855="Cut",N855&gt;0,K855=""),"USED: say what replaces it (Note)",IF(AND(I855="Rename",J855=""),"type the new name",IF(AND(L855&lt;&gt;"",L855&lt;&gt;"(decide)",COUNTIF($L$2:$L$1680,L855)&gt;1),"SAME FINAL NAME AS ANOTHER ROW","")))</f>
      </c>
      <c r="N855" s="6">
        <v>3</v>
      </c>
      <c r="O855" s="6" t="s">
        <v>2</v>
      </c>
    </row>
    <row r="856" spans="1:15" x14ac:dyDescent="0.25">
      <c r="A856">
        <v>855</v>
      </c>
      <c r="B856" t="s">
        <v>1137</v>
      </c>
      <c r="C856" t="s">
        <v>2</v>
      </c>
      <c r="D856" t="s">
        <v>1155</v>
      </c>
      <c r="E856" t="s">
        <v>292</v>
      </c>
      <c r="F856" t="s">
        <v>2</v>
      </c>
      <c r="G856" t="s">
        <v>38</v>
      </c>
      <c r="H856" t="s">
        <v>39</v>
      </c>
      <c r="I856" s="5" t="s">
        <v>294</v>
      </c>
      <c r="J856" s="5" t="s">
        <v>2</v>
      </c>
      <c r="K856" s="5" t="s">
        <v>2</v>
      </c>
      <c r="L856" s="6">
        <f>IF(I856="Cut","",IF(I856="Your call","(decide)",IF(I856="Rename",J856,IF(I856="Keep",IF(D856="",E856,D856),IF(E856="(unchanged)",D856,E856)))))</f>
      </c>
      <c r="M856" s="6">
        <f>IF(AND(I856="Cut",N856&gt;0,K856=""),"USED: say what replaces it (Note)",IF(AND(I856="Rename",J856=""),"type the new name",IF(AND(L856&lt;&gt;"",L856&lt;&gt;"(decide)",COUNTIF($L$2:$L$1680,L856)&gt;1),"SAME FINAL NAME AS ANOTHER ROW","")))</f>
      </c>
      <c r="N856" s="6">
        <v>0</v>
      </c>
      <c r="O856" s="6" t="s">
        <v>2</v>
      </c>
    </row>
    <row r="857" spans="1:15" x14ac:dyDescent="0.25">
      <c r="A857">
        <v>856</v>
      </c>
      <c r="B857" t="s">
        <v>1137</v>
      </c>
      <c r="C857" t="s">
        <v>2</v>
      </c>
      <c r="D857" t="s">
        <v>1156</v>
      </c>
      <c r="E857" t="s">
        <v>292</v>
      </c>
      <c r="F857" t="s">
        <v>2</v>
      </c>
      <c r="G857" t="s">
        <v>94</v>
      </c>
      <c r="H857" t="s">
        <v>39</v>
      </c>
      <c r="I857" s="5" t="s">
        <v>294</v>
      </c>
      <c r="J857" s="5" t="s">
        <v>2</v>
      </c>
      <c r="K857" s="5" t="s">
        <v>2</v>
      </c>
      <c r="L857" s="6">
        <f>IF(I857="Cut","",IF(I857="Your call","(decide)",IF(I857="Rename",J857,IF(I857="Keep",IF(D857="",E857,D857),IF(E857="(unchanged)",D857,E857)))))</f>
      </c>
      <c r="M857" s="6">
        <f>IF(AND(I857="Cut",N857&gt;0,K857=""),"USED: say what replaces it (Note)",IF(AND(I857="Rename",J857=""),"type the new name",IF(AND(L857&lt;&gt;"",L857&lt;&gt;"(decide)",COUNTIF($L$2:$L$1680,L857)&gt;1),"SAME FINAL NAME AS ANOTHER ROW","")))</f>
      </c>
      <c r="N857" s="6">
        <v>1</v>
      </c>
      <c r="O857" s="6" t="s">
        <v>2</v>
      </c>
    </row>
    <row r="858" spans="1:15" x14ac:dyDescent="0.25">
      <c r="A858">
        <v>857</v>
      </c>
      <c r="B858" t="s">
        <v>1137</v>
      </c>
      <c r="C858" t="s">
        <v>2</v>
      </c>
      <c r="D858" t="s">
        <v>1157</v>
      </c>
      <c r="E858" t="s">
        <v>292</v>
      </c>
      <c r="F858" t="s">
        <v>2</v>
      </c>
      <c r="G858" t="s">
        <v>94</v>
      </c>
      <c r="H858" t="s">
        <v>39</v>
      </c>
      <c r="I858" s="5" t="s">
        <v>294</v>
      </c>
      <c r="J858" s="5" t="s">
        <v>2</v>
      </c>
      <c r="K858" s="5" t="s">
        <v>2</v>
      </c>
      <c r="L858" s="6">
        <f>IF(I858="Cut","",IF(I858="Your call","(decide)",IF(I858="Rename",J858,IF(I858="Keep",IF(D858="",E858,D858),IF(E858="(unchanged)",D858,E858)))))</f>
      </c>
      <c r="M858" s="6">
        <f>IF(AND(I858="Cut",N858&gt;0,K858=""),"USED: say what replaces it (Note)",IF(AND(I858="Rename",J858=""),"type the new name",IF(AND(L858&lt;&gt;"",L858&lt;&gt;"(decide)",COUNTIF($L$2:$L$1680,L858)&gt;1),"SAME FINAL NAME AS ANOTHER ROW","")))</f>
      </c>
      <c r="N858" s="6">
        <v>1</v>
      </c>
      <c r="O858" s="6" t="s">
        <v>2</v>
      </c>
    </row>
    <row r="859" spans="1:15" x14ac:dyDescent="0.25">
      <c r="A859">
        <v>858</v>
      </c>
      <c r="B859" t="s">
        <v>1137</v>
      </c>
      <c r="C859" t="s">
        <v>2</v>
      </c>
      <c r="D859" t="s">
        <v>1158</v>
      </c>
      <c r="E859" t="s">
        <v>292</v>
      </c>
      <c r="F859" t="s">
        <v>2</v>
      </c>
      <c r="G859" t="s">
        <v>94</v>
      </c>
      <c r="H859" t="s">
        <v>39</v>
      </c>
      <c r="I859" s="5" t="s">
        <v>294</v>
      </c>
      <c r="J859" s="5" t="s">
        <v>2</v>
      </c>
      <c r="K859" s="5" t="s">
        <v>2</v>
      </c>
      <c r="L859" s="6">
        <f>IF(I859="Cut","",IF(I859="Your call","(decide)",IF(I859="Rename",J859,IF(I859="Keep",IF(D859="",E859,D859),IF(E859="(unchanged)",D859,E859)))))</f>
      </c>
      <c r="M859" s="6">
        <f>IF(AND(I859="Cut",N859&gt;0,K859=""),"USED: say what replaces it (Note)",IF(AND(I859="Rename",J859=""),"type the new name",IF(AND(L859&lt;&gt;"",L859&lt;&gt;"(decide)",COUNTIF($L$2:$L$1680,L859)&gt;1),"SAME FINAL NAME AS ANOTHER ROW","")))</f>
      </c>
      <c r="N859" s="6">
        <v>1</v>
      </c>
      <c r="O859" s="6" t="s">
        <v>2</v>
      </c>
    </row>
    <row r="860" spans="1:15" x14ac:dyDescent="0.25">
      <c r="A860">
        <v>859</v>
      </c>
      <c r="B860" t="s">
        <v>1137</v>
      </c>
      <c r="C860" t="s">
        <v>2</v>
      </c>
      <c r="D860" t="s">
        <v>1159</v>
      </c>
      <c r="E860" t="s">
        <v>292</v>
      </c>
      <c r="F860" t="s">
        <v>2</v>
      </c>
      <c r="G860" t="s">
        <v>94</v>
      </c>
      <c r="H860" t="s">
        <v>39</v>
      </c>
      <c r="I860" s="5" t="s">
        <v>294</v>
      </c>
      <c r="J860" s="5" t="s">
        <v>2</v>
      </c>
      <c r="K860" s="5" t="s">
        <v>2</v>
      </c>
      <c r="L860" s="6">
        <f>IF(I860="Cut","",IF(I860="Your call","(decide)",IF(I860="Rename",J860,IF(I860="Keep",IF(D860="",E860,D860),IF(E860="(unchanged)",D860,E860)))))</f>
      </c>
      <c r="M860" s="6">
        <f>IF(AND(I860="Cut",N860&gt;0,K860=""),"USED: say what replaces it (Note)",IF(AND(I860="Rename",J860=""),"type the new name",IF(AND(L860&lt;&gt;"",L860&lt;&gt;"(decide)",COUNTIF($L$2:$L$1680,L860)&gt;1),"SAME FINAL NAME AS ANOTHER ROW","")))</f>
      </c>
      <c r="N860" s="6">
        <v>1</v>
      </c>
      <c r="O860" s="6" t="s">
        <v>2</v>
      </c>
    </row>
    <row r="861" spans="1:15" x14ac:dyDescent="0.25">
      <c r="A861">
        <v>860</v>
      </c>
      <c r="B861" t="s">
        <v>1137</v>
      </c>
      <c r="C861" t="s">
        <v>2</v>
      </c>
      <c r="D861" t="s">
        <v>1160</v>
      </c>
      <c r="E861" t="s">
        <v>292</v>
      </c>
      <c r="F861" t="s">
        <v>2</v>
      </c>
      <c r="G861" t="s">
        <v>38</v>
      </c>
      <c r="H861" t="s">
        <v>39</v>
      </c>
      <c r="I861" s="5" t="s">
        <v>294</v>
      </c>
      <c r="J861" s="5" t="s">
        <v>2</v>
      </c>
      <c r="K861" s="5" t="s">
        <v>2</v>
      </c>
      <c r="L861" s="6">
        <f>IF(I861="Cut","",IF(I861="Your call","(decide)",IF(I861="Rename",J861,IF(I861="Keep",IF(D861="",E861,D861),IF(E861="(unchanged)",D861,E861)))))</f>
      </c>
      <c r="M861" s="6">
        <f>IF(AND(I861="Cut",N861&gt;0,K861=""),"USED: say what replaces it (Note)",IF(AND(I861="Rename",J861=""),"type the new name",IF(AND(L861&lt;&gt;"",L861&lt;&gt;"(decide)",COUNTIF($L$2:$L$1680,L861)&gt;1),"SAME FINAL NAME AS ANOTHER ROW","")))</f>
      </c>
      <c r="N861" s="6">
        <v>0</v>
      </c>
      <c r="O861" s="6" t="s">
        <v>2</v>
      </c>
    </row>
    <row r="862" spans="1:15" x14ac:dyDescent="0.25">
      <c r="A862">
        <v>861</v>
      </c>
      <c r="B862" t="s">
        <v>1137</v>
      </c>
      <c r="C862" t="s">
        <v>1161</v>
      </c>
      <c r="D862" t="s">
        <v>1162</v>
      </c>
      <c r="E862" t="s">
        <v>292</v>
      </c>
      <c r="F862" t="s">
        <v>2</v>
      </c>
      <c r="G862" t="s">
        <v>38</v>
      </c>
      <c r="H862" t="s">
        <v>39</v>
      </c>
      <c r="I862" s="5" t="s">
        <v>294</v>
      </c>
      <c r="J862" s="5" t="s">
        <v>2</v>
      </c>
      <c r="K862" s="5" t="s">
        <v>2</v>
      </c>
      <c r="L862" s="6">
        <f>IF(I862="Cut","",IF(I862="Your call","(decide)",IF(I862="Rename",J862,IF(I862="Keep",IF(D862="",E862,D862),IF(E862="(unchanged)",D862,E862)))))</f>
      </c>
      <c r="M862" s="6">
        <f>IF(AND(I862="Cut",N862&gt;0,K862=""),"USED: say what replaces it (Note)",IF(AND(I862="Rename",J862=""),"type the new name",IF(AND(L862&lt;&gt;"",L862&lt;&gt;"(decide)",COUNTIF($L$2:$L$1680,L862)&gt;1),"SAME FINAL NAME AS ANOTHER ROW","")))</f>
      </c>
      <c r="N862" s="6">
        <v>0</v>
      </c>
      <c r="O862" s="6" t="s">
        <v>2</v>
      </c>
    </row>
    <row r="863" spans="1:15" x14ac:dyDescent="0.25">
      <c r="A863">
        <v>862</v>
      </c>
      <c r="B863" t="s">
        <v>1137</v>
      </c>
      <c r="C863" t="s">
        <v>2</v>
      </c>
      <c r="D863" t="s">
        <v>1163</v>
      </c>
      <c r="E863" t="s">
        <v>292</v>
      </c>
      <c r="F863" t="s">
        <v>2</v>
      </c>
      <c r="G863" t="s">
        <v>94</v>
      </c>
      <c r="H863" t="s">
        <v>39</v>
      </c>
      <c r="I863" s="5" t="s">
        <v>294</v>
      </c>
      <c r="J863" s="5" t="s">
        <v>2</v>
      </c>
      <c r="K863" s="5" t="s">
        <v>2</v>
      </c>
      <c r="L863" s="6">
        <f>IF(I863="Cut","",IF(I863="Your call","(decide)",IF(I863="Rename",J863,IF(I863="Keep",IF(D863="",E863,D863),IF(E863="(unchanged)",D863,E863)))))</f>
      </c>
      <c r="M863" s="6">
        <f>IF(AND(I863="Cut",N863&gt;0,K863=""),"USED: say what replaces it (Note)",IF(AND(I863="Rename",J863=""),"type the new name",IF(AND(L863&lt;&gt;"",L863&lt;&gt;"(decide)",COUNTIF($L$2:$L$1680,L863)&gt;1),"SAME FINAL NAME AS ANOTHER ROW","")))</f>
      </c>
      <c r="N863" s="6">
        <v>1</v>
      </c>
      <c r="O863" s="6" t="s">
        <v>2</v>
      </c>
    </row>
    <row r="864" spans="1:15" x14ac:dyDescent="0.25">
      <c r="A864">
        <v>863</v>
      </c>
      <c r="B864" t="s">
        <v>1137</v>
      </c>
      <c r="C864" t="s">
        <v>1164</v>
      </c>
      <c r="D864" t="s">
        <v>1165</v>
      </c>
      <c r="E864" t="s">
        <v>292</v>
      </c>
      <c r="F864" t="s">
        <v>2</v>
      </c>
      <c r="G864" t="s">
        <v>94</v>
      </c>
      <c r="H864" t="s">
        <v>39</v>
      </c>
      <c r="I864" s="5" t="s">
        <v>294</v>
      </c>
      <c r="J864" s="5" t="s">
        <v>2</v>
      </c>
      <c r="K864" s="5" t="s">
        <v>2</v>
      </c>
      <c r="L864" s="6">
        <f>IF(I864="Cut","",IF(I864="Your call","(decide)",IF(I864="Rename",J864,IF(I864="Keep",IF(D864="",E864,D864),IF(E864="(unchanged)",D864,E864)))))</f>
      </c>
      <c r="M864" s="6">
        <f>IF(AND(I864="Cut",N864&gt;0,K864=""),"USED: say what replaces it (Note)",IF(AND(I864="Rename",J864=""),"type the new name",IF(AND(L864&lt;&gt;"",L864&lt;&gt;"(decide)",COUNTIF($L$2:$L$1680,L864)&gt;1),"SAME FINAL NAME AS ANOTHER ROW","")))</f>
      </c>
      <c r="N864" s="6">
        <v>1</v>
      </c>
      <c r="O864" s="6" t="s">
        <v>2</v>
      </c>
    </row>
    <row r="865" spans="1:15" x14ac:dyDescent="0.25">
      <c r="A865">
        <v>864</v>
      </c>
      <c r="B865" t="s">
        <v>1137</v>
      </c>
      <c r="C865" t="s">
        <v>2</v>
      </c>
      <c r="D865" t="s">
        <v>1166</v>
      </c>
      <c r="E865" t="s">
        <v>292</v>
      </c>
      <c r="F865" t="s">
        <v>2</v>
      </c>
      <c r="G865" t="s">
        <v>38</v>
      </c>
      <c r="H865" t="s">
        <v>39</v>
      </c>
      <c r="I865" s="5" t="s">
        <v>294</v>
      </c>
      <c r="J865" s="5" t="s">
        <v>2</v>
      </c>
      <c r="K865" s="5" t="s">
        <v>2</v>
      </c>
      <c r="L865" s="6">
        <f>IF(I865="Cut","",IF(I865="Your call","(decide)",IF(I865="Rename",J865,IF(I865="Keep",IF(D865="",E865,D865),IF(E865="(unchanged)",D865,E865)))))</f>
      </c>
      <c r="M865" s="6">
        <f>IF(AND(I865="Cut",N865&gt;0,K865=""),"USED: say what replaces it (Note)",IF(AND(I865="Rename",J865=""),"type the new name",IF(AND(L865&lt;&gt;"",L865&lt;&gt;"(decide)",COUNTIF($L$2:$L$1680,L865)&gt;1),"SAME FINAL NAME AS ANOTHER ROW","")))</f>
      </c>
      <c r="N865" s="6">
        <v>0</v>
      </c>
      <c r="O865" s="6" t="s">
        <v>2</v>
      </c>
    </row>
    <row r="866" spans="1:15" x14ac:dyDescent="0.25">
      <c r="A866">
        <v>865</v>
      </c>
      <c r="B866" t="s">
        <v>1137</v>
      </c>
      <c r="C866" t="s">
        <v>2</v>
      </c>
      <c r="D866" t="s">
        <v>1167</v>
      </c>
      <c r="E866" t="s">
        <v>292</v>
      </c>
      <c r="F866" t="s">
        <v>2</v>
      </c>
      <c r="G866" t="s">
        <v>38</v>
      </c>
      <c r="H866" t="s">
        <v>39</v>
      </c>
      <c r="I866" s="5" t="s">
        <v>294</v>
      </c>
      <c r="J866" s="5" t="s">
        <v>2</v>
      </c>
      <c r="K866" s="5" t="s">
        <v>2</v>
      </c>
      <c r="L866" s="6">
        <f>IF(I866="Cut","",IF(I866="Your call","(decide)",IF(I866="Rename",J866,IF(I866="Keep",IF(D866="",E866,D866),IF(E866="(unchanged)",D866,E866)))))</f>
      </c>
      <c r="M866" s="6">
        <f>IF(AND(I866="Cut",N866&gt;0,K866=""),"USED: say what replaces it (Note)",IF(AND(I866="Rename",J866=""),"type the new name",IF(AND(L866&lt;&gt;"",L866&lt;&gt;"(decide)",COUNTIF($L$2:$L$1680,L866)&gt;1),"SAME FINAL NAME AS ANOTHER ROW","")))</f>
      </c>
      <c r="N866" s="6">
        <v>0</v>
      </c>
      <c r="O866" s="6" t="s">
        <v>2</v>
      </c>
    </row>
    <row r="867" spans="1:15" x14ac:dyDescent="0.25">
      <c r="A867">
        <v>866</v>
      </c>
      <c r="B867" t="s">
        <v>1137</v>
      </c>
      <c r="C867" t="s">
        <v>1168</v>
      </c>
      <c r="D867" t="s">
        <v>1169</v>
      </c>
      <c r="E867" t="s">
        <v>292</v>
      </c>
      <c r="F867" t="s">
        <v>2</v>
      </c>
      <c r="G867" t="s">
        <v>38</v>
      </c>
      <c r="H867" t="s">
        <v>39</v>
      </c>
      <c r="I867" s="5" t="s">
        <v>294</v>
      </c>
      <c r="J867" s="5" t="s">
        <v>2</v>
      </c>
      <c r="K867" s="5" t="s">
        <v>2</v>
      </c>
      <c r="L867" s="6">
        <f>IF(I867="Cut","",IF(I867="Your call","(decide)",IF(I867="Rename",J867,IF(I867="Keep",IF(D867="",E867,D867),IF(E867="(unchanged)",D867,E867)))))</f>
      </c>
      <c r="M867" s="6">
        <f>IF(AND(I867="Cut",N867&gt;0,K867=""),"USED: say what replaces it (Note)",IF(AND(I867="Rename",J867=""),"type the new name",IF(AND(L867&lt;&gt;"",L867&lt;&gt;"(decide)",COUNTIF($L$2:$L$1680,L867)&gt;1),"SAME FINAL NAME AS ANOTHER ROW","")))</f>
      </c>
      <c r="N867" s="6">
        <v>0</v>
      </c>
      <c r="O867" s="6" t="s">
        <v>2</v>
      </c>
    </row>
    <row r="868" spans="1:15" x14ac:dyDescent="0.25">
      <c r="A868">
        <v>867</v>
      </c>
      <c r="B868" t="s">
        <v>1137</v>
      </c>
      <c r="C868" t="s">
        <v>1168</v>
      </c>
      <c r="D868" t="s">
        <v>1170</v>
      </c>
      <c r="E868" t="s">
        <v>292</v>
      </c>
      <c r="F868" t="s">
        <v>2</v>
      </c>
      <c r="G868" t="s">
        <v>94</v>
      </c>
      <c r="H868" t="s">
        <v>39</v>
      </c>
      <c r="I868" s="5" t="s">
        <v>294</v>
      </c>
      <c r="J868" s="5" t="s">
        <v>2</v>
      </c>
      <c r="K868" s="5" t="s">
        <v>2</v>
      </c>
      <c r="L868" s="6">
        <f>IF(I868="Cut","",IF(I868="Your call","(decide)",IF(I868="Rename",J868,IF(I868="Keep",IF(D868="",E868,D868),IF(E868="(unchanged)",D868,E868)))))</f>
      </c>
      <c r="M868" s="6">
        <f>IF(AND(I868="Cut",N868&gt;0,K868=""),"USED: say what replaces it (Note)",IF(AND(I868="Rename",J868=""),"type the new name",IF(AND(L868&lt;&gt;"",L868&lt;&gt;"(decide)",COUNTIF($L$2:$L$1680,L868)&gt;1),"SAME FINAL NAME AS ANOTHER ROW","")))</f>
      </c>
      <c r="N868" s="6">
        <v>1</v>
      </c>
      <c r="O868" s="6" t="s">
        <v>2</v>
      </c>
    </row>
    <row r="869" spans="1:15" x14ac:dyDescent="0.25">
      <c r="A869">
        <v>868</v>
      </c>
      <c r="B869" t="s">
        <v>1137</v>
      </c>
      <c r="C869" t="s">
        <v>1171</v>
      </c>
      <c r="D869" t="s">
        <v>1172</v>
      </c>
      <c r="E869" t="s">
        <v>292</v>
      </c>
      <c r="F869" t="s">
        <v>2</v>
      </c>
      <c r="G869" t="s">
        <v>48</v>
      </c>
      <c r="H869" t="s">
        <v>39</v>
      </c>
      <c r="I869" s="5" t="s">
        <v>294</v>
      </c>
      <c r="J869" s="5" t="s">
        <v>2</v>
      </c>
      <c r="K869" s="5" t="s">
        <v>2</v>
      </c>
      <c r="L869" s="6">
        <f>IF(I869="Cut","",IF(I869="Your call","(decide)",IF(I869="Rename",J869,IF(I869="Keep",IF(D869="",E869,D869),IF(E869="(unchanged)",D869,E869)))))</f>
      </c>
      <c r="M869" s="6">
        <f>IF(AND(I869="Cut",N869&gt;0,K869=""),"USED: say what replaces it (Note)",IF(AND(I869="Rename",J869=""),"type the new name",IF(AND(L869&lt;&gt;"",L869&lt;&gt;"(decide)",COUNTIF($L$2:$L$1680,L869)&gt;1),"SAME FINAL NAME AS ANOTHER ROW","")))</f>
      </c>
      <c r="N869" s="6">
        <v>2</v>
      </c>
      <c r="O869" s="6" t="s">
        <v>2</v>
      </c>
    </row>
    <row r="870" spans="1:15" x14ac:dyDescent="0.25">
      <c r="A870">
        <v>869</v>
      </c>
      <c r="B870" t="s">
        <v>1137</v>
      </c>
      <c r="C870" t="s">
        <v>2</v>
      </c>
      <c r="D870" t="s">
        <v>1173</v>
      </c>
      <c r="E870" t="s">
        <v>292</v>
      </c>
      <c r="F870" t="s">
        <v>2</v>
      </c>
      <c r="G870" t="s">
        <v>38</v>
      </c>
      <c r="H870" t="s">
        <v>39</v>
      </c>
      <c r="I870" s="5" t="s">
        <v>294</v>
      </c>
      <c r="J870" s="5" t="s">
        <v>2</v>
      </c>
      <c r="K870" s="5" t="s">
        <v>2</v>
      </c>
      <c r="L870" s="6">
        <f>IF(I870="Cut","",IF(I870="Your call","(decide)",IF(I870="Rename",J870,IF(I870="Keep",IF(D870="",E870,D870),IF(E870="(unchanged)",D870,E870)))))</f>
      </c>
      <c r="M870" s="6">
        <f>IF(AND(I870="Cut",N870&gt;0,K870=""),"USED: say what replaces it (Note)",IF(AND(I870="Rename",J870=""),"type the new name",IF(AND(L870&lt;&gt;"",L870&lt;&gt;"(decide)",COUNTIF($L$2:$L$1680,L870)&gt;1),"SAME FINAL NAME AS ANOTHER ROW","")))</f>
      </c>
      <c r="N870" s="6">
        <v>0</v>
      </c>
      <c r="O870" s="6" t="s">
        <v>2</v>
      </c>
    </row>
    <row r="871" spans="1:15" x14ac:dyDescent="0.25">
      <c r="A871">
        <v>870</v>
      </c>
      <c r="B871" t="s">
        <v>1137</v>
      </c>
      <c r="C871" t="s">
        <v>2</v>
      </c>
      <c r="D871" t="s">
        <v>1174</v>
      </c>
      <c r="E871" t="s">
        <v>292</v>
      </c>
      <c r="F871" t="s">
        <v>2</v>
      </c>
      <c r="G871" t="s">
        <v>38</v>
      </c>
      <c r="H871" t="s">
        <v>39</v>
      </c>
      <c r="I871" s="5" t="s">
        <v>294</v>
      </c>
      <c r="J871" s="5" t="s">
        <v>2</v>
      </c>
      <c r="K871" s="5" t="s">
        <v>2</v>
      </c>
      <c r="L871" s="6">
        <f>IF(I871="Cut","",IF(I871="Your call","(decide)",IF(I871="Rename",J871,IF(I871="Keep",IF(D871="",E871,D871),IF(E871="(unchanged)",D871,E871)))))</f>
      </c>
      <c r="M871" s="6">
        <f>IF(AND(I871="Cut",N871&gt;0,K871=""),"USED: say what replaces it (Note)",IF(AND(I871="Rename",J871=""),"type the new name",IF(AND(L871&lt;&gt;"",L871&lt;&gt;"(decide)",COUNTIF($L$2:$L$1680,L871)&gt;1),"SAME FINAL NAME AS ANOTHER ROW","")))</f>
      </c>
      <c r="N871" s="6">
        <v>0</v>
      </c>
      <c r="O871" s="6" t="s">
        <v>2</v>
      </c>
    </row>
    <row r="872" spans="1:15" x14ac:dyDescent="0.25">
      <c r="A872">
        <v>871</v>
      </c>
      <c r="B872" t="s">
        <v>1137</v>
      </c>
      <c r="C872" t="s">
        <v>2</v>
      </c>
      <c r="D872" t="s">
        <v>1175</v>
      </c>
      <c r="E872" t="s">
        <v>292</v>
      </c>
      <c r="F872" t="s">
        <v>2</v>
      </c>
      <c r="G872" t="s">
        <v>94</v>
      </c>
      <c r="H872" t="s">
        <v>39</v>
      </c>
      <c r="I872" s="5" t="s">
        <v>294</v>
      </c>
      <c r="J872" s="5" t="s">
        <v>2</v>
      </c>
      <c r="K872" s="5" t="s">
        <v>2</v>
      </c>
      <c r="L872" s="6">
        <f>IF(I872="Cut","",IF(I872="Your call","(decide)",IF(I872="Rename",J872,IF(I872="Keep",IF(D872="",E872,D872),IF(E872="(unchanged)",D872,E872)))))</f>
      </c>
      <c r="M872" s="6">
        <f>IF(AND(I872="Cut",N872&gt;0,K872=""),"USED: say what replaces it (Note)",IF(AND(I872="Rename",J872=""),"type the new name",IF(AND(L872&lt;&gt;"",L872&lt;&gt;"(decide)",COUNTIF($L$2:$L$1680,L872)&gt;1),"SAME FINAL NAME AS ANOTHER ROW","")))</f>
      </c>
      <c r="N872" s="6">
        <v>1</v>
      </c>
      <c r="O872" s="6" t="s">
        <v>2</v>
      </c>
    </row>
    <row r="873" spans="1:15" x14ac:dyDescent="0.25">
      <c r="A873">
        <v>872</v>
      </c>
      <c r="B873" t="s">
        <v>1137</v>
      </c>
      <c r="C873" t="s">
        <v>2</v>
      </c>
      <c r="D873" t="s">
        <v>1176</v>
      </c>
      <c r="E873" t="s">
        <v>292</v>
      </c>
      <c r="F873" t="s">
        <v>2</v>
      </c>
      <c r="G873" t="s">
        <v>38</v>
      </c>
      <c r="H873" t="s">
        <v>39</v>
      </c>
      <c r="I873" s="5" t="s">
        <v>294</v>
      </c>
      <c r="J873" s="5" t="s">
        <v>2</v>
      </c>
      <c r="K873" s="5" t="s">
        <v>2</v>
      </c>
      <c r="L873" s="6">
        <f>IF(I873="Cut","",IF(I873="Your call","(decide)",IF(I873="Rename",J873,IF(I873="Keep",IF(D873="",E873,D873),IF(E873="(unchanged)",D873,E873)))))</f>
      </c>
      <c r="M873" s="6">
        <f>IF(AND(I873="Cut",N873&gt;0,K873=""),"USED: say what replaces it (Note)",IF(AND(I873="Rename",J873=""),"type the new name",IF(AND(L873&lt;&gt;"",L873&lt;&gt;"(decide)",COUNTIF($L$2:$L$1680,L873)&gt;1),"SAME FINAL NAME AS ANOTHER ROW","")))</f>
      </c>
      <c r="N873" s="6">
        <v>0</v>
      </c>
      <c r="O873" s="6" t="s">
        <v>2</v>
      </c>
    </row>
    <row r="874" spans="1:15" x14ac:dyDescent="0.25">
      <c r="A874">
        <v>873</v>
      </c>
      <c r="B874" t="s">
        <v>1137</v>
      </c>
      <c r="C874" t="s">
        <v>2</v>
      </c>
      <c r="D874" t="s">
        <v>1177</v>
      </c>
      <c r="E874" t="s">
        <v>292</v>
      </c>
      <c r="F874" t="s">
        <v>2</v>
      </c>
      <c r="G874" t="s">
        <v>94</v>
      </c>
      <c r="H874" t="s">
        <v>39</v>
      </c>
      <c r="I874" s="5" t="s">
        <v>294</v>
      </c>
      <c r="J874" s="5" t="s">
        <v>2</v>
      </c>
      <c r="K874" s="5" t="s">
        <v>2</v>
      </c>
      <c r="L874" s="6">
        <f>IF(I874="Cut","",IF(I874="Your call","(decide)",IF(I874="Rename",J874,IF(I874="Keep",IF(D874="",E874,D874),IF(E874="(unchanged)",D874,E874)))))</f>
      </c>
      <c r="M874" s="6">
        <f>IF(AND(I874="Cut",N874&gt;0,K874=""),"USED: say what replaces it (Note)",IF(AND(I874="Rename",J874=""),"type the new name",IF(AND(L874&lt;&gt;"",L874&lt;&gt;"(decide)",COUNTIF($L$2:$L$1680,L874)&gt;1),"SAME FINAL NAME AS ANOTHER ROW","")))</f>
      </c>
      <c r="N874" s="6">
        <v>1</v>
      </c>
      <c r="O874" s="6" t="s">
        <v>2</v>
      </c>
    </row>
    <row r="875" spans="1:15" x14ac:dyDescent="0.25">
      <c r="A875">
        <v>874</v>
      </c>
      <c r="B875" t="s">
        <v>1178</v>
      </c>
      <c r="C875" t="s">
        <v>2</v>
      </c>
      <c r="D875" t="s">
        <v>1179</v>
      </c>
      <c r="E875" t="s">
        <v>292</v>
      </c>
      <c r="F875" t="s">
        <v>2</v>
      </c>
      <c r="G875" t="s">
        <v>94</v>
      </c>
      <c r="H875" t="s">
        <v>39</v>
      </c>
      <c r="I875" s="5" t="s">
        <v>294</v>
      </c>
      <c r="J875" s="5" t="s">
        <v>2</v>
      </c>
      <c r="K875" s="5" t="s">
        <v>2</v>
      </c>
      <c r="L875" s="6">
        <f>IF(I875="Cut","",IF(I875="Your call","(decide)",IF(I875="Rename",J875,IF(I875="Keep",IF(D875="",E875,D875),IF(E875="(unchanged)",D875,E875)))))</f>
      </c>
      <c r="M875" s="6">
        <f>IF(AND(I875="Cut",N875&gt;0,K875=""),"USED: say what replaces it (Note)",IF(AND(I875="Rename",J875=""),"type the new name",IF(AND(L875&lt;&gt;"",L875&lt;&gt;"(decide)",COUNTIF($L$2:$L$1680,L875)&gt;1),"SAME FINAL NAME AS ANOTHER ROW","")))</f>
      </c>
      <c r="N875" s="6">
        <v>1</v>
      </c>
      <c r="O875" s="6" t="s">
        <v>2</v>
      </c>
    </row>
    <row r="876" spans="1:15" x14ac:dyDescent="0.25">
      <c r="A876">
        <v>875</v>
      </c>
      <c r="B876" t="s">
        <v>1178</v>
      </c>
      <c r="C876" t="s">
        <v>2</v>
      </c>
      <c r="D876" t="s">
        <v>1180</v>
      </c>
      <c r="E876" t="s">
        <v>292</v>
      </c>
      <c r="F876" t="s">
        <v>2</v>
      </c>
      <c r="G876" t="s">
        <v>94</v>
      </c>
      <c r="H876" t="s">
        <v>39</v>
      </c>
      <c r="I876" s="5" t="s">
        <v>294</v>
      </c>
      <c r="J876" s="5" t="s">
        <v>2</v>
      </c>
      <c r="K876" s="5" t="s">
        <v>2</v>
      </c>
      <c r="L876" s="6">
        <f>IF(I876="Cut","",IF(I876="Your call","(decide)",IF(I876="Rename",J876,IF(I876="Keep",IF(D876="",E876,D876),IF(E876="(unchanged)",D876,E876)))))</f>
      </c>
      <c r="M876" s="6">
        <f>IF(AND(I876="Cut",N876&gt;0,K876=""),"USED: say what replaces it (Note)",IF(AND(I876="Rename",J876=""),"type the new name",IF(AND(L876&lt;&gt;"",L876&lt;&gt;"(decide)",COUNTIF($L$2:$L$1680,L876)&gt;1),"SAME FINAL NAME AS ANOTHER ROW","")))</f>
      </c>
      <c r="N876" s="6">
        <v>1</v>
      </c>
      <c r="O876" s="6" t="s">
        <v>2</v>
      </c>
    </row>
    <row r="877" spans="1:15" x14ac:dyDescent="0.25">
      <c r="A877">
        <v>876</v>
      </c>
      <c r="B877" t="s">
        <v>1178</v>
      </c>
      <c r="C877" t="s">
        <v>1181</v>
      </c>
      <c r="D877" t="s">
        <v>1182</v>
      </c>
      <c r="E877" t="s">
        <v>292</v>
      </c>
      <c r="F877" t="s">
        <v>2</v>
      </c>
      <c r="G877" t="s">
        <v>94</v>
      </c>
      <c r="H877" t="s">
        <v>39</v>
      </c>
      <c r="I877" s="5" t="s">
        <v>294</v>
      </c>
      <c r="J877" s="5" t="s">
        <v>2</v>
      </c>
      <c r="K877" s="5" t="s">
        <v>2</v>
      </c>
      <c r="L877" s="6">
        <f>IF(I877="Cut","",IF(I877="Your call","(decide)",IF(I877="Rename",J877,IF(I877="Keep",IF(D877="",E877,D877),IF(E877="(unchanged)",D877,E877)))))</f>
      </c>
      <c r="M877" s="6">
        <f>IF(AND(I877="Cut",N877&gt;0,K877=""),"USED: say what replaces it (Note)",IF(AND(I877="Rename",J877=""),"type the new name",IF(AND(L877&lt;&gt;"",L877&lt;&gt;"(decide)",COUNTIF($L$2:$L$1680,L877)&gt;1),"SAME FINAL NAME AS ANOTHER ROW","")))</f>
      </c>
      <c r="N877" s="6">
        <v>1</v>
      </c>
      <c r="O877" s="6" t="s">
        <v>2</v>
      </c>
    </row>
    <row r="878" spans="1:15" x14ac:dyDescent="0.25">
      <c r="A878">
        <v>877</v>
      </c>
      <c r="B878" t="s">
        <v>1178</v>
      </c>
      <c r="C878" t="s">
        <v>2</v>
      </c>
      <c r="D878" t="s">
        <v>1181</v>
      </c>
      <c r="E878" t="s">
        <v>292</v>
      </c>
      <c r="F878" t="s">
        <v>2</v>
      </c>
      <c r="G878" t="s">
        <v>94</v>
      </c>
      <c r="H878" t="s">
        <v>39</v>
      </c>
      <c r="I878" s="5" t="s">
        <v>294</v>
      </c>
      <c r="J878" s="5" t="s">
        <v>2</v>
      </c>
      <c r="K878" s="5" t="s">
        <v>2</v>
      </c>
      <c r="L878" s="6">
        <f>IF(I878="Cut","",IF(I878="Your call","(decide)",IF(I878="Rename",J878,IF(I878="Keep",IF(D878="",E878,D878),IF(E878="(unchanged)",D878,E878)))))</f>
      </c>
      <c r="M878" s="6">
        <f>IF(AND(I878="Cut",N878&gt;0,K878=""),"USED: say what replaces it (Note)",IF(AND(I878="Rename",J878=""),"type the new name",IF(AND(L878&lt;&gt;"",L878&lt;&gt;"(decide)",COUNTIF($L$2:$L$1680,L878)&gt;1),"SAME FINAL NAME AS ANOTHER ROW","")))</f>
      </c>
      <c r="N878" s="6">
        <v>1</v>
      </c>
      <c r="O878" s="6" t="s">
        <v>2</v>
      </c>
    </row>
    <row r="879" spans="1:15" x14ac:dyDescent="0.25">
      <c r="A879">
        <v>878</v>
      </c>
      <c r="B879" t="s">
        <v>1178</v>
      </c>
      <c r="C879" t="s">
        <v>1183</v>
      </c>
      <c r="D879" t="s">
        <v>1184</v>
      </c>
      <c r="E879" t="s">
        <v>292</v>
      </c>
      <c r="F879" t="s">
        <v>2</v>
      </c>
      <c r="G879" t="s">
        <v>38</v>
      </c>
      <c r="H879" t="s">
        <v>39</v>
      </c>
      <c r="I879" s="5" t="s">
        <v>294</v>
      </c>
      <c r="J879" s="5" t="s">
        <v>2</v>
      </c>
      <c r="K879" s="5" t="s">
        <v>2</v>
      </c>
      <c r="L879" s="6">
        <f>IF(I879="Cut","",IF(I879="Your call","(decide)",IF(I879="Rename",J879,IF(I879="Keep",IF(D879="",E879,D879),IF(E879="(unchanged)",D879,E879)))))</f>
      </c>
      <c r="M879" s="6">
        <f>IF(AND(I879="Cut",N879&gt;0,K879=""),"USED: say what replaces it (Note)",IF(AND(I879="Rename",J879=""),"type the new name",IF(AND(L879&lt;&gt;"",L879&lt;&gt;"(decide)",COUNTIF($L$2:$L$1680,L879)&gt;1),"SAME FINAL NAME AS ANOTHER ROW","")))</f>
      </c>
      <c r="N879" s="6">
        <v>0</v>
      </c>
      <c r="O879" s="6" t="s">
        <v>2</v>
      </c>
    </row>
    <row r="880" spans="1:15" x14ac:dyDescent="0.25">
      <c r="A880">
        <v>879</v>
      </c>
      <c r="B880" t="s">
        <v>1178</v>
      </c>
      <c r="C880" t="s">
        <v>2</v>
      </c>
      <c r="D880" t="s">
        <v>1183</v>
      </c>
      <c r="E880" t="s">
        <v>292</v>
      </c>
      <c r="F880" t="s">
        <v>2</v>
      </c>
      <c r="G880" t="s">
        <v>94</v>
      </c>
      <c r="H880" t="s">
        <v>39</v>
      </c>
      <c r="I880" s="5" t="s">
        <v>294</v>
      </c>
      <c r="J880" s="5" t="s">
        <v>2</v>
      </c>
      <c r="K880" s="5" t="s">
        <v>2</v>
      </c>
      <c r="L880" s="6">
        <f>IF(I880="Cut","",IF(I880="Your call","(decide)",IF(I880="Rename",J880,IF(I880="Keep",IF(D880="",E880,D880),IF(E880="(unchanged)",D880,E880)))))</f>
      </c>
      <c r="M880" s="6">
        <f>IF(AND(I880="Cut",N880&gt;0,K880=""),"USED: say what replaces it (Note)",IF(AND(I880="Rename",J880=""),"type the new name",IF(AND(L880&lt;&gt;"",L880&lt;&gt;"(decide)",COUNTIF($L$2:$L$1680,L880)&gt;1),"SAME FINAL NAME AS ANOTHER ROW","")))</f>
      </c>
      <c r="N880" s="6">
        <v>1</v>
      </c>
      <c r="O880" s="6" t="s">
        <v>2</v>
      </c>
    </row>
    <row r="881" spans="1:15" x14ac:dyDescent="0.25">
      <c r="A881">
        <v>880</v>
      </c>
      <c r="B881" t="s">
        <v>1178</v>
      </c>
      <c r="C881" t="s">
        <v>2</v>
      </c>
      <c r="D881" t="s">
        <v>1185</v>
      </c>
      <c r="E881" t="s">
        <v>292</v>
      </c>
      <c r="F881" t="s">
        <v>2</v>
      </c>
      <c r="G881" t="s">
        <v>94</v>
      </c>
      <c r="H881" t="s">
        <v>39</v>
      </c>
      <c r="I881" s="5" t="s">
        <v>294</v>
      </c>
      <c r="J881" s="5" t="s">
        <v>2</v>
      </c>
      <c r="K881" s="5" t="s">
        <v>2</v>
      </c>
      <c r="L881" s="6">
        <f>IF(I881="Cut","",IF(I881="Your call","(decide)",IF(I881="Rename",J881,IF(I881="Keep",IF(D881="",E881,D881),IF(E881="(unchanged)",D881,E881)))))</f>
      </c>
      <c r="M881" s="6">
        <f>IF(AND(I881="Cut",N881&gt;0,K881=""),"USED: say what replaces it (Note)",IF(AND(I881="Rename",J881=""),"type the new name",IF(AND(L881&lt;&gt;"",L881&lt;&gt;"(decide)",COUNTIF($L$2:$L$1680,L881)&gt;1),"SAME FINAL NAME AS ANOTHER ROW","")))</f>
      </c>
      <c r="N881" s="6">
        <v>1</v>
      </c>
      <c r="O881" s="6" t="s">
        <v>2</v>
      </c>
    </row>
    <row r="882" spans="1:15" x14ac:dyDescent="0.25">
      <c r="A882">
        <v>881</v>
      </c>
      <c r="B882" t="s">
        <v>1178</v>
      </c>
      <c r="C882" t="s">
        <v>2</v>
      </c>
      <c r="D882" t="s">
        <v>1186</v>
      </c>
      <c r="E882" t="s">
        <v>292</v>
      </c>
      <c r="F882" t="s">
        <v>2</v>
      </c>
      <c r="G882" t="s">
        <v>38</v>
      </c>
      <c r="H882" t="s">
        <v>39</v>
      </c>
      <c r="I882" s="5" t="s">
        <v>294</v>
      </c>
      <c r="J882" s="5" t="s">
        <v>2</v>
      </c>
      <c r="K882" s="5" t="s">
        <v>2</v>
      </c>
      <c r="L882" s="6">
        <f>IF(I882="Cut","",IF(I882="Your call","(decide)",IF(I882="Rename",J882,IF(I882="Keep",IF(D882="",E882,D882),IF(E882="(unchanged)",D882,E882)))))</f>
      </c>
      <c r="M882" s="6">
        <f>IF(AND(I882="Cut",N882&gt;0,K882=""),"USED: say what replaces it (Note)",IF(AND(I882="Rename",J882=""),"type the new name",IF(AND(L882&lt;&gt;"",L882&lt;&gt;"(decide)",COUNTIF($L$2:$L$1680,L882)&gt;1),"SAME FINAL NAME AS ANOTHER ROW","")))</f>
      </c>
      <c r="N882" s="6">
        <v>0</v>
      </c>
      <c r="O882" s="6" t="s">
        <v>2</v>
      </c>
    </row>
    <row r="883" spans="1:15" x14ac:dyDescent="0.25">
      <c r="A883">
        <v>882</v>
      </c>
      <c r="B883" t="s">
        <v>1178</v>
      </c>
      <c r="C883" t="s">
        <v>2</v>
      </c>
      <c r="D883" t="s">
        <v>1187</v>
      </c>
      <c r="E883" t="s">
        <v>292</v>
      </c>
      <c r="F883" t="s">
        <v>2</v>
      </c>
      <c r="G883" t="s">
        <v>94</v>
      </c>
      <c r="H883" t="s">
        <v>39</v>
      </c>
      <c r="I883" s="5" t="s">
        <v>294</v>
      </c>
      <c r="J883" s="5" t="s">
        <v>2</v>
      </c>
      <c r="K883" s="5" t="s">
        <v>2</v>
      </c>
      <c r="L883" s="6">
        <f>IF(I883="Cut","",IF(I883="Your call","(decide)",IF(I883="Rename",J883,IF(I883="Keep",IF(D883="",E883,D883),IF(E883="(unchanged)",D883,E883)))))</f>
      </c>
      <c r="M883" s="6">
        <f>IF(AND(I883="Cut",N883&gt;0,K883=""),"USED: say what replaces it (Note)",IF(AND(I883="Rename",J883=""),"type the new name",IF(AND(L883&lt;&gt;"",L883&lt;&gt;"(decide)",COUNTIF($L$2:$L$1680,L883)&gt;1),"SAME FINAL NAME AS ANOTHER ROW","")))</f>
      </c>
      <c r="N883" s="6">
        <v>1</v>
      </c>
      <c r="O883" s="6" t="s">
        <v>2</v>
      </c>
    </row>
    <row r="884" spans="1:15" x14ac:dyDescent="0.25">
      <c r="A884">
        <v>883</v>
      </c>
      <c r="B884" t="s">
        <v>1178</v>
      </c>
      <c r="C884" t="s">
        <v>2</v>
      </c>
      <c r="D884" t="s">
        <v>1188</v>
      </c>
      <c r="E884" t="s">
        <v>292</v>
      </c>
      <c r="F884" t="s">
        <v>2</v>
      </c>
      <c r="G884" t="s">
        <v>94</v>
      </c>
      <c r="H884" t="s">
        <v>39</v>
      </c>
      <c r="I884" s="5" t="s">
        <v>294</v>
      </c>
      <c r="J884" s="5" t="s">
        <v>2</v>
      </c>
      <c r="K884" s="5" t="s">
        <v>2</v>
      </c>
      <c r="L884" s="6">
        <f>IF(I884="Cut","",IF(I884="Your call","(decide)",IF(I884="Rename",J884,IF(I884="Keep",IF(D884="",E884,D884),IF(E884="(unchanged)",D884,E884)))))</f>
      </c>
      <c r="M884" s="6">
        <f>IF(AND(I884="Cut",N884&gt;0,K884=""),"USED: say what replaces it (Note)",IF(AND(I884="Rename",J884=""),"type the new name",IF(AND(L884&lt;&gt;"",L884&lt;&gt;"(decide)",COUNTIF($L$2:$L$1680,L884)&gt;1),"SAME FINAL NAME AS ANOTHER ROW","")))</f>
      </c>
      <c r="N884" s="6">
        <v>1</v>
      </c>
      <c r="O884" s="6" t="s">
        <v>2</v>
      </c>
    </row>
    <row r="885" spans="1:15" x14ac:dyDescent="0.25">
      <c r="A885">
        <v>884</v>
      </c>
      <c r="B885" t="s">
        <v>1178</v>
      </c>
      <c r="C885" t="s">
        <v>2</v>
      </c>
      <c r="D885" t="s">
        <v>1189</v>
      </c>
      <c r="E885" t="s">
        <v>292</v>
      </c>
      <c r="F885" t="s">
        <v>2</v>
      </c>
      <c r="G885" t="s">
        <v>38</v>
      </c>
      <c r="H885" t="s">
        <v>39</v>
      </c>
      <c r="I885" s="5" t="s">
        <v>294</v>
      </c>
      <c r="J885" s="5" t="s">
        <v>2</v>
      </c>
      <c r="K885" s="5" t="s">
        <v>2</v>
      </c>
      <c r="L885" s="6">
        <f>IF(I885="Cut","",IF(I885="Your call","(decide)",IF(I885="Rename",J885,IF(I885="Keep",IF(D885="",E885,D885),IF(E885="(unchanged)",D885,E885)))))</f>
      </c>
      <c r="M885" s="6">
        <f>IF(AND(I885="Cut",N885&gt;0,K885=""),"USED: say what replaces it (Note)",IF(AND(I885="Rename",J885=""),"type the new name",IF(AND(L885&lt;&gt;"",L885&lt;&gt;"(decide)",COUNTIF($L$2:$L$1680,L885)&gt;1),"SAME FINAL NAME AS ANOTHER ROW","")))</f>
      </c>
      <c r="N885" s="6">
        <v>0</v>
      </c>
      <c r="O885" s="6" t="s">
        <v>2</v>
      </c>
    </row>
    <row r="886" spans="1:15" x14ac:dyDescent="0.25">
      <c r="A886">
        <v>885</v>
      </c>
      <c r="B886" t="s">
        <v>1178</v>
      </c>
      <c r="C886" t="s">
        <v>2</v>
      </c>
      <c r="D886" t="s">
        <v>1190</v>
      </c>
      <c r="E886" t="s">
        <v>292</v>
      </c>
      <c r="F886" t="s">
        <v>2</v>
      </c>
      <c r="G886" t="s">
        <v>38</v>
      </c>
      <c r="H886" t="s">
        <v>39</v>
      </c>
      <c r="I886" s="5" t="s">
        <v>294</v>
      </c>
      <c r="J886" s="5" t="s">
        <v>2</v>
      </c>
      <c r="K886" s="5" t="s">
        <v>2</v>
      </c>
      <c r="L886" s="6">
        <f>IF(I886="Cut","",IF(I886="Your call","(decide)",IF(I886="Rename",J886,IF(I886="Keep",IF(D886="",E886,D886),IF(E886="(unchanged)",D886,E886)))))</f>
      </c>
      <c r="M886" s="6">
        <f>IF(AND(I886="Cut",N886&gt;0,K886=""),"USED: say what replaces it (Note)",IF(AND(I886="Rename",J886=""),"type the new name",IF(AND(L886&lt;&gt;"",L886&lt;&gt;"(decide)",COUNTIF($L$2:$L$1680,L886)&gt;1),"SAME FINAL NAME AS ANOTHER ROW","")))</f>
      </c>
      <c r="N886" s="6">
        <v>0</v>
      </c>
      <c r="O886" s="6" t="s">
        <v>2</v>
      </c>
    </row>
    <row r="887" spans="1:15" x14ac:dyDescent="0.25">
      <c r="A887">
        <v>886</v>
      </c>
      <c r="B887" t="s">
        <v>1178</v>
      </c>
      <c r="C887" t="s">
        <v>1191</v>
      </c>
      <c r="D887" t="s">
        <v>1192</v>
      </c>
      <c r="E887" t="s">
        <v>292</v>
      </c>
      <c r="F887" t="s">
        <v>2</v>
      </c>
      <c r="G887" t="s">
        <v>38</v>
      </c>
      <c r="H887" t="s">
        <v>39</v>
      </c>
      <c r="I887" s="5" t="s">
        <v>294</v>
      </c>
      <c r="J887" s="5" t="s">
        <v>2</v>
      </c>
      <c r="K887" s="5" t="s">
        <v>2</v>
      </c>
      <c r="L887" s="6">
        <f>IF(I887="Cut","",IF(I887="Your call","(decide)",IF(I887="Rename",J887,IF(I887="Keep",IF(D887="",E887,D887),IF(E887="(unchanged)",D887,E887)))))</f>
      </c>
      <c r="M887" s="6">
        <f>IF(AND(I887="Cut",N887&gt;0,K887=""),"USED: say what replaces it (Note)",IF(AND(I887="Rename",J887=""),"type the new name",IF(AND(L887&lt;&gt;"",L887&lt;&gt;"(decide)",COUNTIF($L$2:$L$1680,L887)&gt;1),"SAME FINAL NAME AS ANOTHER ROW","")))</f>
      </c>
      <c r="N887" s="6">
        <v>0</v>
      </c>
      <c r="O887" s="6" t="s">
        <v>2</v>
      </c>
    </row>
    <row r="888" spans="1:15" x14ac:dyDescent="0.25">
      <c r="A888">
        <v>887</v>
      </c>
      <c r="B888" t="s">
        <v>1178</v>
      </c>
      <c r="C888" t="s">
        <v>2</v>
      </c>
      <c r="D888" t="s">
        <v>1193</v>
      </c>
      <c r="E888" t="s">
        <v>292</v>
      </c>
      <c r="F888" t="s">
        <v>2</v>
      </c>
      <c r="G888" t="s">
        <v>48</v>
      </c>
      <c r="H888" t="s">
        <v>39</v>
      </c>
      <c r="I888" s="5" t="s">
        <v>294</v>
      </c>
      <c r="J888" s="5" t="s">
        <v>2</v>
      </c>
      <c r="K888" s="5" t="s">
        <v>2</v>
      </c>
      <c r="L888" s="6">
        <f>IF(I888="Cut","",IF(I888="Your call","(decide)",IF(I888="Rename",J888,IF(I888="Keep",IF(D888="",E888,D888),IF(E888="(unchanged)",D888,E888)))))</f>
      </c>
      <c r="M888" s="6">
        <f>IF(AND(I888="Cut",N888&gt;0,K888=""),"USED: say what replaces it (Note)",IF(AND(I888="Rename",J888=""),"type the new name",IF(AND(L888&lt;&gt;"",L888&lt;&gt;"(decide)",COUNTIF($L$2:$L$1680,L888)&gt;1),"SAME FINAL NAME AS ANOTHER ROW","")))</f>
      </c>
      <c r="N888" s="6">
        <v>2</v>
      </c>
      <c r="O888" s="6" t="s">
        <v>2</v>
      </c>
    </row>
    <row r="889" spans="1:15" x14ac:dyDescent="0.25">
      <c r="A889">
        <v>888</v>
      </c>
      <c r="B889" t="s">
        <v>1178</v>
      </c>
      <c r="C889" t="s">
        <v>2</v>
      </c>
      <c r="D889" t="s">
        <v>1194</v>
      </c>
      <c r="E889" t="s">
        <v>292</v>
      </c>
      <c r="F889" t="s">
        <v>2</v>
      </c>
      <c r="G889" t="s">
        <v>38</v>
      </c>
      <c r="H889" t="s">
        <v>39</v>
      </c>
      <c r="I889" s="5" t="s">
        <v>294</v>
      </c>
      <c r="J889" s="5" t="s">
        <v>2</v>
      </c>
      <c r="K889" s="5" t="s">
        <v>2</v>
      </c>
      <c r="L889" s="6">
        <f>IF(I889="Cut","",IF(I889="Your call","(decide)",IF(I889="Rename",J889,IF(I889="Keep",IF(D889="",E889,D889),IF(E889="(unchanged)",D889,E889)))))</f>
      </c>
      <c r="M889" s="6">
        <f>IF(AND(I889="Cut",N889&gt;0,K889=""),"USED: say what replaces it (Note)",IF(AND(I889="Rename",J889=""),"type the new name",IF(AND(L889&lt;&gt;"",L889&lt;&gt;"(decide)",COUNTIF($L$2:$L$1680,L889)&gt;1),"SAME FINAL NAME AS ANOTHER ROW","")))</f>
      </c>
      <c r="N889" s="6">
        <v>0</v>
      </c>
      <c r="O889" s="6" t="s">
        <v>2</v>
      </c>
    </row>
    <row r="890" spans="1:15" x14ac:dyDescent="0.25">
      <c r="A890">
        <v>889</v>
      </c>
      <c r="B890" t="s">
        <v>1178</v>
      </c>
      <c r="C890" t="s">
        <v>2</v>
      </c>
      <c r="D890" t="s">
        <v>1195</v>
      </c>
      <c r="E890" t="s">
        <v>292</v>
      </c>
      <c r="F890" t="s">
        <v>2</v>
      </c>
      <c r="G890" t="s">
        <v>38</v>
      </c>
      <c r="H890" t="s">
        <v>39</v>
      </c>
      <c r="I890" s="5" t="s">
        <v>294</v>
      </c>
      <c r="J890" s="5" t="s">
        <v>2</v>
      </c>
      <c r="K890" s="5" t="s">
        <v>2</v>
      </c>
      <c r="L890" s="6">
        <f>IF(I890="Cut","",IF(I890="Your call","(decide)",IF(I890="Rename",J890,IF(I890="Keep",IF(D890="",E890,D890),IF(E890="(unchanged)",D890,E890)))))</f>
      </c>
      <c r="M890" s="6">
        <f>IF(AND(I890="Cut",N890&gt;0,K890=""),"USED: say what replaces it (Note)",IF(AND(I890="Rename",J890=""),"type the new name",IF(AND(L890&lt;&gt;"",L890&lt;&gt;"(decide)",COUNTIF($L$2:$L$1680,L890)&gt;1),"SAME FINAL NAME AS ANOTHER ROW","")))</f>
      </c>
      <c r="N890" s="6">
        <v>0</v>
      </c>
      <c r="O890" s="6" t="s">
        <v>2</v>
      </c>
    </row>
    <row r="891" spans="1:15" x14ac:dyDescent="0.25">
      <c r="A891">
        <v>890</v>
      </c>
      <c r="B891" t="s">
        <v>1178</v>
      </c>
      <c r="C891" t="s">
        <v>2</v>
      </c>
      <c r="D891" t="s">
        <v>1196</v>
      </c>
      <c r="E891" t="s">
        <v>292</v>
      </c>
      <c r="F891" t="s">
        <v>2</v>
      </c>
      <c r="G891" t="s">
        <v>38</v>
      </c>
      <c r="H891" t="s">
        <v>39</v>
      </c>
      <c r="I891" s="5" t="s">
        <v>294</v>
      </c>
      <c r="J891" s="5" t="s">
        <v>2</v>
      </c>
      <c r="K891" s="5" t="s">
        <v>2</v>
      </c>
      <c r="L891" s="6">
        <f>IF(I891="Cut","",IF(I891="Your call","(decide)",IF(I891="Rename",J891,IF(I891="Keep",IF(D891="",E891,D891),IF(E891="(unchanged)",D891,E891)))))</f>
      </c>
      <c r="M891" s="6">
        <f>IF(AND(I891="Cut",N891&gt;0,K891=""),"USED: say what replaces it (Note)",IF(AND(I891="Rename",J891=""),"type the new name",IF(AND(L891&lt;&gt;"",L891&lt;&gt;"(decide)",COUNTIF($L$2:$L$1680,L891)&gt;1),"SAME FINAL NAME AS ANOTHER ROW","")))</f>
      </c>
      <c r="N891" s="6">
        <v>0</v>
      </c>
      <c r="O891" s="6" t="s">
        <v>2</v>
      </c>
    </row>
    <row r="892" spans="1:15" x14ac:dyDescent="0.25">
      <c r="A892">
        <v>891</v>
      </c>
      <c r="B892" t="s">
        <v>1178</v>
      </c>
      <c r="C892" t="s">
        <v>2</v>
      </c>
      <c r="D892" t="s">
        <v>1197</v>
      </c>
      <c r="E892" t="s">
        <v>292</v>
      </c>
      <c r="F892" t="s">
        <v>2</v>
      </c>
      <c r="G892" t="s">
        <v>94</v>
      </c>
      <c r="H892" t="s">
        <v>39</v>
      </c>
      <c r="I892" s="5" t="s">
        <v>294</v>
      </c>
      <c r="J892" s="5" t="s">
        <v>2</v>
      </c>
      <c r="K892" s="5" t="s">
        <v>2</v>
      </c>
      <c r="L892" s="6">
        <f>IF(I892="Cut","",IF(I892="Your call","(decide)",IF(I892="Rename",J892,IF(I892="Keep",IF(D892="",E892,D892),IF(E892="(unchanged)",D892,E892)))))</f>
      </c>
      <c r="M892" s="6">
        <f>IF(AND(I892="Cut",N892&gt;0,K892=""),"USED: say what replaces it (Note)",IF(AND(I892="Rename",J892=""),"type the new name",IF(AND(L892&lt;&gt;"",L892&lt;&gt;"(decide)",COUNTIF($L$2:$L$1680,L892)&gt;1),"SAME FINAL NAME AS ANOTHER ROW","")))</f>
      </c>
      <c r="N892" s="6">
        <v>1</v>
      </c>
      <c r="O892" s="6" t="s">
        <v>2</v>
      </c>
    </row>
    <row r="893" spans="1:15" x14ac:dyDescent="0.25">
      <c r="A893">
        <v>892</v>
      </c>
      <c r="B893" t="s">
        <v>1178</v>
      </c>
      <c r="C893" t="s">
        <v>2</v>
      </c>
      <c r="D893" t="s">
        <v>1198</v>
      </c>
      <c r="E893" t="s">
        <v>292</v>
      </c>
      <c r="F893" t="s">
        <v>2</v>
      </c>
      <c r="G893" t="s">
        <v>38</v>
      </c>
      <c r="H893" t="s">
        <v>39</v>
      </c>
      <c r="I893" s="5" t="s">
        <v>294</v>
      </c>
      <c r="J893" s="5" t="s">
        <v>2</v>
      </c>
      <c r="K893" s="5" t="s">
        <v>2</v>
      </c>
      <c r="L893" s="6">
        <f>IF(I893="Cut","",IF(I893="Your call","(decide)",IF(I893="Rename",J893,IF(I893="Keep",IF(D893="",E893,D893),IF(E893="(unchanged)",D893,E893)))))</f>
      </c>
      <c r="M893" s="6">
        <f>IF(AND(I893="Cut",N893&gt;0,K893=""),"USED: say what replaces it (Note)",IF(AND(I893="Rename",J893=""),"type the new name",IF(AND(L893&lt;&gt;"",L893&lt;&gt;"(decide)",COUNTIF($L$2:$L$1680,L893)&gt;1),"SAME FINAL NAME AS ANOTHER ROW","")))</f>
      </c>
      <c r="N893" s="6">
        <v>0</v>
      </c>
      <c r="O893" s="6" t="s">
        <v>2</v>
      </c>
    </row>
    <row r="894" spans="1:15" x14ac:dyDescent="0.25">
      <c r="A894">
        <v>893</v>
      </c>
      <c r="B894" t="s">
        <v>1178</v>
      </c>
      <c r="C894" t="s">
        <v>2</v>
      </c>
      <c r="D894" t="s">
        <v>1199</v>
      </c>
      <c r="E894" t="s">
        <v>292</v>
      </c>
      <c r="F894" t="s">
        <v>2</v>
      </c>
      <c r="G894" t="s">
        <v>38</v>
      </c>
      <c r="H894" t="s">
        <v>39</v>
      </c>
      <c r="I894" s="5" t="s">
        <v>294</v>
      </c>
      <c r="J894" s="5" t="s">
        <v>2</v>
      </c>
      <c r="K894" s="5" t="s">
        <v>2</v>
      </c>
      <c r="L894" s="6">
        <f>IF(I894="Cut","",IF(I894="Your call","(decide)",IF(I894="Rename",J894,IF(I894="Keep",IF(D894="",E894,D894),IF(E894="(unchanged)",D894,E894)))))</f>
      </c>
      <c r="M894" s="6">
        <f>IF(AND(I894="Cut",N894&gt;0,K894=""),"USED: say what replaces it (Note)",IF(AND(I894="Rename",J894=""),"type the new name",IF(AND(L894&lt;&gt;"",L894&lt;&gt;"(decide)",COUNTIF($L$2:$L$1680,L894)&gt;1),"SAME FINAL NAME AS ANOTHER ROW","")))</f>
      </c>
      <c r="N894" s="6">
        <v>0</v>
      </c>
      <c r="O894" s="6" t="s">
        <v>2</v>
      </c>
    </row>
    <row r="895" spans="1:15" x14ac:dyDescent="0.25">
      <c r="A895">
        <v>894</v>
      </c>
      <c r="B895" t="s">
        <v>1178</v>
      </c>
      <c r="C895" t="s">
        <v>2</v>
      </c>
      <c r="D895" t="s">
        <v>1200</v>
      </c>
      <c r="E895" t="s">
        <v>292</v>
      </c>
      <c r="F895" t="s">
        <v>2</v>
      </c>
      <c r="G895" t="s">
        <v>38</v>
      </c>
      <c r="H895" t="s">
        <v>39</v>
      </c>
      <c r="I895" s="5" t="s">
        <v>294</v>
      </c>
      <c r="J895" s="5" t="s">
        <v>2</v>
      </c>
      <c r="K895" s="5" t="s">
        <v>2</v>
      </c>
      <c r="L895" s="6">
        <f>IF(I895="Cut","",IF(I895="Your call","(decide)",IF(I895="Rename",J895,IF(I895="Keep",IF(D895="",E895,D895),IF(E895="(unchanged)",D895,E895)))))</f>
      </c>
      <c r="M895" s="6">
        <f>IF(AND(I895="Cut",N895&gt;0,K895=""),"USED: say what replaces it (Note)",IF(AND(I895="Rename",J895=""),"type the new name",IF(AND(L895&lt;&gt;"",L895&lt;&gt;"(decide)",COUNTIF($L$2:$L$1680,L895)&gt;1),"SAME FINAL NAME AS ANOTHER ROW","")))</f>
      </c>
      <c r="N895" s="6">
        <v>0</v>
      </c>
      <c r="O895" s="6" t="s">
        <v>2</v>
      </c>
    </row>
    <row r="896" spans="1:15" x14ac:dyDescent="0.25">
      <c r="A896">
        <v>895</v>
      </c>
      <c r="B896" t="s">
        <v>1178</v>
      </c>
      <c r="C896" t="s">
        <v>2</v>
      </c>
      <c r="D896" t="s">
        <v>1201</v>
      </c>
      <c r="E896" t="s">
        <v>292</v>
      </c>
      <c r="F896" t="s">
        <v>2</v>
      </c>
      <c r="G896" t="s">
        <v>48</v>
      </c>
      <c r="H896" t="s">
        <v>39</v>
      </c>
      <c r="I896" s="5" t="s">
        <v>294</v>
      </c>
      <c r="J896" s="5" t="s">
        <v>2</v>
      </c>
      <c r="K896" s="5" t="s">
        <v>2</v>
      </c>
      <c r="L896" s="6">
        <f>IF(I896="Cut","",IF(I896="Your call","(decide)",IF(I896="Rename",J896,IF(I896="Keep",IF(D896="",E896,D896),IF(E896="(unchanged)",D896,E896)))))</f>
      </c>
      <c r="M896" s="6">
        <f>IF(AND(I896="Cut",N896&gt;0,K896=""),"USED: say what replaces it (Note)",IF(AND(I896="Rename",J896=""),"type the new name",IF(AND(L896&lt;&gt;"",L896&lt;&gt;"(decide)",COUNTIF($L$2:$L$1680,L896)&gt;1),"SAME FINAL NAME AS ANOTHER ROW","")))</f>
      </c>
      <c r="N896" s="6">
        <v>2</v>
      </c>
      <c r="O896" s="6" t="s">
        <v>2</v>
      </c>
    </row>
    <row r="897" spans="1:15" x14ac:dyDescent="0.25">
      <c r="A897">
        <v>896</v>
      </c>
      <c r="B897" t="s">
        <v>1178</v>
      </c>
      <c r="C897" t="s">
        <v>2</v>
      </c>
      <c r="D897" t="s">
        <v>1202</v>
      </c>
      <c r="E897" t="s">
        <v>292</v>
      </c>
      <c r="F897" t="s">
        <v>2</v>
      </c>
      <c r="G897" t="s">
        <v>38</v>
      </c>
      <c r="H897" t="s">
        <v>39</v>
      </c>
      <c r="I897" s="5" t="s">
        <v>294</v>
      </c>
      <c r="J897" s="5" t="s">
        <v>2</v>
      </c>
      <c r="K897" s="5" t="s">
        <v>2</v>
      </c>
      <c r="L897" s="6">
        <f>IF(I897="Cut","",IF(I897="Your call","(decide)",IF(I897="Rename",J897,IF(I897="Keep",IF(D897="",E897,D897),IF(E897="(unchanged)",D897,E897)))))</f>
      </c>
      <c r="M897" s="6">
        <f>IF(AND(I897="Cut",N897&gt;0,K897=""),"USED: say what replaces it (Note)",IF(AND(I897="Rename",J897=""),"type the new name",IF(AND(L897&lt;&gt;"",L897&lt;&gt;"(decide)",COUNTIF($L$2:$L$1680,L897)&gt;1),"SAME FINAL NAME AS ANOTHER ROW","")))</f>
      </c>
      <c r="N897" s="6">
        <v>0</v>
      </c>
      <c r="O897" s="6" t="s">
        <v>2</v>
      </c>
    </row>
    <row r="898" spans="1:15" x14ac:dyDescent="0.25">
      <c r="A898">
        <v>897</v>
      </c>
      <c r="B898" t="s">
        <v>1178</v>
      </c>
      <c r="C898" t="s">
        <v>2</v>
      </c>
      <c r="D898" t="s">
        <v>1203</v>
      </c>
      <c r="E898" t="s">
        <v>292</v>
      </c>
      <c r="F898" t="s">
        <v>2</v>
      </c>
      <c r="G898" t="s">
        <v>94</v>
      </c>
      <c r="H898" t="s">
        <v>39</v>
      </c>
      <c r="I898" s="5" t="s">
        <v>294</v>
      </c>
      <c r="J898" s="5" t="s">
        <v>2</v>
      </c>
      <c r="K898" s="5" t="s">
        <v>2</v>
      </c>
      <c r="L898" s="6">
        <f>IF(I898="Cut","",IF(I898="Your call","(decide)",IF(I898="Rename",J898,IF(I898="Keep",IF(D898="",E898,D898),IF(E898="(unchanged)",D898,E898)))))</f>
      </c>
      <c r="M898" s="6">
        <f>IF(AND(I898="Cut",N898&gt;0,K898=""),"USED: say what replaces it (Note)",IF(AND(I898="Rename",J898=""),"type the new name",IF(AND(L898&lt;&gt;"",L898&lt;&gt;"(decide)",COUNTIF($L$2:$L$1680,L898)&gt;1),"SAME FINAL NAME AS ANOTHER ROW","")))</f>
      </c>
      <c r="N898" s="6">
        <v>1</v>
      </c>
      <c r="O898" s="6" t="s">
        <v>2</v>
      </c>
    </row>
    <row r="899" spans="1:15" x14ac:dyDescent="0.25">
      <c r="A899">
        <v>898</v>
      </c>
      <c r="B899" t="s">
        <v>1178</v>
      </c>
      <c r="C899" t="s">
        <v>2</v>
      </c>
      <c r="D899" t="s">
        <v>1204</v>
      </c>
      <c r="E899" t="s">
        <v>292</v>
      </c>
      <c r="F899" t="s">
        <v>2</v>
      </c>
      <c r="G899" t="s">
        <v>38</v>
      </c>
      <c r="H899" t="s">
        <v>39</v>
      </c>
      <c r="I899" s="5" t="s">
        <v>294</v>
      </c>
      <c r="J899" s="5" t="s">
        <v>2</v>
      </c>
      <c r="K899" s="5" t="s">
        <v>2</v>
      </c>
      <c r="L899" s="6">
        <f>IF(I899="Cut","",IF(I899="Your call","(decide)",IF(I899="Rename",J899,IF(I899="Keep",IF(D899="",E899,D899),IF(E899="(unchanged)",D899,E899)))))</f>
      </c>
      <c r="M899" s="6">
        <f>IF(AND(I899="Cut",N899&gt;0,K899=""),"USED: say what replaces it (Note)",IF(AND(I899="Rename",J899=""),"type the new name",IF(AND(L899&lt;&gt;"",L899&lt;&gt;"(decide)",COUNTIF($L$2:$L$1680,L899)&gt;1),"SAME FINAL NAME AS ANOTHER ROW","")))</f>
      </c>
      <c r="N899" s="6">
        <v>0</v>
      </c>
      <c r="O899" s="6" t="s">
        <v>2</v>
      </c>
    </row>
    <row r="900" spans="1:15" x14ac:dyDescent="0.25">
      <c r="A900">
        <v>899</v>
      </c>
      <c r="B900" t="s">
        <v>1178</v>
      </c>
      <c r="C900" t="s">
        <v>2</v>
      </c>
      <c r="D900" t="s">
        <v>1205</v>
      </c>
      <c r="E900" t="s">
        <v>292</v>
      </c>
      <c r="F900" t="s">
        <v>2</v>
      </c>
      <c r="G900" t="s">
        <v>94</v>
      </c>
      <c r="H900" t="s">
        <v>39</v>
      </c>
      <c r="I900" s="5" t="s">
        <v>294</v>
      </c>
      <c r="J900" s="5" t="s">
        <v>2</v>
      </c>
      <c r="K900" s="5" t="s">
        <v>2</v>
      </c>
      <c r="L900" s="6">
        <f>IF(I900="Cut","",IF(I900="Your call","(decide)",IF(I900="Rename",J900,IF(I900="Keep",IF(D900="",E900,D900),IF(E900="(unchanged)",D900,E900)))))</f>
      </c>
      <c r="M900" s="6">
        <f>IF(AND(I900="Cut",N900&gt;0,K900=""),"USED: say what replaces it (Note)",IF(AND(I900="Rename",J900=""),"type the new name",IF(AND(L900&lt;&gt;"",L900&lt;&gt;"(decide)",COUNTIF($L$2:$L$1680,L900)&gt;1),"SAME FINAL NAME AS ANOTHER ROW","")))</f>
      </c>
      <c r="N900" s="6">
        <v>1</v>
      </c>
      <c r="O900" s="6" t="s">
        <v>2</v>
      </c>
    </row>
    <row r="901" spans="1:15" x14ac:dyDescent="0.25">
      <c r="A901">
        <v>900</v>
      </c>
      <c r="B901" t="s">
        <v>1178</v>
      </c>
      <c r="C901" t="s">
        <v>1206</v>
      </c>
      <c r="D901" t="s">
        <v>1207</v>
      </c>
      <c r="E901" t="s">
        <v>292</v>
      </c>
      <c r="F901" t="s">
        <v>2</v>
      </c>
      <c r="G901" t="s">
        <v>94</v>
      </c>
      <c r="H901" t="s">
        <v>39</v>
      </c>
      <c r="I901" s="5" t="s">
        <v>294</v>
      </c>
      <c r="J901" s="5" t="s">
        <v>2</v>
      </c>
      <c r="K901" s="5" t="s">
        <v>2</v>
      </c>
      <c r="L901" s="6">
        <f>IF(I901="Cut","",IF(I901="Your call","(decide)",IF(I901="Rename",J901,IF(I901="Keep",IF(D901="",E901,D901),IF(E901="(unchanged)",D901,E901)))))</f>
      </c>
      <c r="M901" s="6">
        <f>IF(AND(I901="Cut",N901&gt;0,K901=""),"USED: say what replaces it (Note)",IF(AND(I901="Rename",J901=""),"type the new name",IF(AND(L901&lt;&gt;"",L901&lt;&gt;"(decide)",COUNTIF($L$2:$L$1680,L901)&gt;1),"SAME FINAL NAME AS ANOTHER ROW","")))</f>
      </c>
      <c r="N901" s="6">
        <v>1</v>
      </c>
      <c r="O901" s="6" t="s">
        <v>2</v>
      </c>
    </row>
    <row r="902" spans="1:15" x14ac:dyDescent="0.25">
      <c r="A902">
        <v>901</v>
      </c>
      <c r="B902" t="s">
        <v>1178</v>
      </c>
      <c r="C902" t="s">
        <v>2</v>
      </c>
      <c r="D902" t="s">
        <v>1208</v>
      </c>
      <c r="E902" t="s">
        <v>292</v>
      </c>
      <c r="F902" t="s">
        <v>2</v>
      </c>
      <c r="G902" t="s">
        <v>71</v>
      </c>
      <c r="H902" t="s">
        <v>39</v>
      </c>
      <c r="I902" s="5" t="s">
        <v>294</v>
      </c>
      <c r="J902" s="5" t="s">
        <v>2</v>
      </c>
      <c r="K902" s="5" t="s">
        <v>2</v>
      </c>
      <c r="L902" s="6">
        <f>IF(I902="Cut","",IF(I902="Your call","(decide)",IF(I902="Rename",J902,IF(I902="Keep",IF(D902="",E902,D902),IF(E902="(unchanged)",D902,E902)))))</f>
      </c>
      <c r="M902" s="6">
        <f>IF(AND(I902="Cut",N902&gt;0,K902=""),"USED: say what replaces it (Note)",IF(AND(I902="Rename",J902=""),"type the new name",IF(AND(L902&lt;&gt;"",L902&lt;&gt;"(decide)",COUNTIF($L$2:$L$1680,L902)&gt;1),"SAME FINAL NAME AS ANOTHER ROW","")))</f>
      </c>
      <c r="N902" s="6">
        <v>4</v>
      </c>
      <c r="O902" s="6" t="s">
        <v>2</v>
      </c>
    </row>
    <row r="903" spans="1:15" x14ac:dyDescent="0.25">
      <c r="A903">
        <v>902</v>
      </c>
      <c r="B903" t="s">
        <v>1178</v>
      </c>
      <c r="C903" t="s">
        <v>2</v>
      </c>
      <c r="D903" t="s">
        <v>1209</v>
      </c>
      <c r="E903" t="s">
        <v>292</v>
      </c>
      <c r="F903" t="s">
        <v>2</v>
      </c>
      <c r="G903" t="s">
        <v>38</v>
      </c>
      <c r="H903" t="s">
        <v>39</v>
      </c>
      <c r="I903" s="5" t="s">
        <v>294</v>
      </c>
      <c r="J903" s="5" t="s">
        <v>2</v>
      </c>
      <c r="K903" s="5" t="s">
        <v>2</v>
      </c>
      <c r="L903" s="6">
        <f>IF(I903="Cut","",IF(I903="Your call","(decide)",IF(I903="Rename",J903,IF(I903="Keep",IF(D903="",E903,D903),IF(E903="(unchanged)",D903,E903)))))</f>
      </c>
      <c r="M903" s="6">
        <f>IF(AND(I903="Cut",N903&gt;0,K903=""),"USED: say what replaces it (Note)",IF(AND(I903="Rename",J903=""),"type the new name",IF(AND(L903&lt;&gt;"",L903&lt;&gt;"(decide)",COUNTIF($L$2:$L$1680,L903)&gt;1),"SAME FINAL NAME AS ANOTHER ROW","")))</f>
      </c>
      <c r="N903" s="6">
        <v>0</v>
      </c>
      <c r="O903" s="6" t="s">
        <v>2</v>
      </c>
    </row>
    <row r="904" spans="1:15" x14ac:dyDescent="0.25">
      <c r="A904">
        <v>903</v>
      </c>
      <c r="B904" t="s">
        <v>1178</v>
      </c>
      <c r="C904" t="s">
        <v>2</v>
      </c>
      <c r="D904" t="s">
        <v>1210</v>
      </c>
      <c r="E904" t="s">
        <v>292</v>
      </c>
      <c r="F904" t="s">
        <v>2</v>
      </c>
      <c r="G904" t="s">
        <v>38</v>
      </c>
      <c r="H904" t="s">
        <v>39</v>
      </c>
      <c r="I904" s="5" t="s">
        <v>294</v>
      </c>
      <c r="J904" s="5" t="s">
        <v>2</v>
      </c>
      <c r="K904" s="5" t="s">
        <v>2</v>
      </c>
      <c r="L904" s="6">
        <f>IF(I904="Cut","",IF(I904="Your call","(decide)",IF(I904="Rename",J904,IF(I904="Keep",IF(D904="",E904,D904),IF(E904="(unchanged)",D904,E904)))))</f>
      </c>
      <c r="M904" s="6">
        <f>IF(AND(I904="Cut",N904&gt;0,K904=""),"USED: say what replaces it (Note)",IF(AND(I904="Rename",J904=""),"type the new name",IF(AND(L904&lt;&gt;"",L904&lt;&gt;"(decide)",COUNTIF($L$2:$L$1680,L904)&gt;1),"SAME FINAL NAME AS ANOTHER ROW","")))</f>
      </c>
      <c r="N904" s="6">
        <v>0</v>
      </c>
      <c r="O904" s="6" t="s">
        <v>2</v>
      </c>
    </row>
    <row r="905" spans="1:15" x14ac:dyDescent="0.25">
      <c r="A905">
        <v>904</v>
      </c>
      <c r="B905" t="s">
        <v>1178</v>
      </c>
      <c r="C905" t="s">
        <v>2</v>
      </c>
      <c r="D905" t="s">
        <v>1211</v>
      </c>
      <c r="E905" t="s">
        <v>292</v>
      </c>
      <c r="F905" t="s">
        <v>2</v>
      </c>
      <c r="G905" t="s">
        <v>94</v>
      </c>
      <c r="H905" t="s">
        <v>39</v>
      </c>
      <c r="I905" s="5" t="s">
        <v>294</v>
      </c>
      <c r="J905" s="5" t="s">
        <v>2</v>
      </c>
      <c r="K905" s="5" t="s">
        <v>2</v>
      </c>
      <c r="L905" s="6">
        <f>IF(I905="Cut","",IF(I905="Your call","(decide)",IF(I905="Rename",J905,IF(I905="Keep",IF(D905="",E905,D905),IF(E905="(unchanged)",D905,E905)))))</f>
      </c>
      <c r="M905" s="6">
        <f>IF(AND(I905="Cut",N905&gt;0,K905=""),"USED: say what replaces it (Note)",IF(AND(I905="Rename",J905=""),"type the new name",IF(AND(L905&lt;&gt;"",L905&lt;&gt;"(decide)",COUNTIF($L$2:$L$1680,L905)&gt;1),"SAME FINAL NAME AS ANOTHER ROW","")))</f>
      </c>
      <c r="N905" s="6">
        <v>1</v>
      </c>
      <c r="O905" s="6" t="s">
        <v>2</v>
      </c>
    </row>
    <row r="906" spans="1:15" x14ac:dyDescent="0.25">
      <c r="A906">
        <v>905</v>
      </c>
      <c r="B906" t="s">
        <v>1178</v>
      </c>
      <c r="C906" t="s">
        <v>2</v>
      </c>
      <c r="D906" t="s">
        <v>1212</v>
      </c>
      <c r="E906" t="s">
        <v>292</v>
      </c>
      <c r="F906" t="s">
        <v>2</v>
      </c>
      <c r="G906" t="s">
        <v>38</v>
      </c>
      <c r="H906" t="s">
        <v>39</v>
      </c>
      <c r="I906" s="5" t="s">
        <v>294</v>
      </c>
      <c r="J906" s="5" t="s">
        <v>2</v>
      </c>
      <c r="K906" s="5" t="s">
        <v>2</v>
      </c>
      <c r="L906" s="6">
        <f>IF(I906="Cut","",IF(I906="Your call","(decide)",IF(I906="Rename",J906,IF(I906="Keep",IF(D906="",E906,D906),IF(E906="(unchanged)",D906,E906)))))</f>
      </c>
      <c r="M906" s="6">
        <f>IF(AND(I906="Cut",N906&gt;0,K906=""),"USED: say what replaces it (Note)",IF(AND(I906="Rename",J906=""),"type the new name",IF(AND(L906&lt;&gt;"",L906&lt;&gt;"(decide)",COUNTIF($L$2:$L$1680,L906)&gt;1),"SAME FINAL NAME AS ANOTHER ROW","")))</f>
      </c>
      <c r="N906" s="6">
        <v>0</v>
      </c>
      <c r="O906" s="6" t="s">
        <v>2</v>
      </c>
    </row>
    <row r="907" spans="1:15" x14ac:dyDescent="0.25">
      <c r="A907">
        <v>906</v>
      </c>
      <c r="B907" t="s">
        <v>1178</v>
      </c>
      <c r="C907" t="s">
        <v>2</v>
      </c>
      <c r="D907" t="s">
        <v>1213</v>
      </c>
      <c r="E907" t="s">
        <v>292</v>
      </c>
      <c r="F907" t="s">
        <v>2</v>
      </c>
      <c r="G907" t="s">
        <v>38</v>
      </c>
      <c r="H907" t="s">
        <v>39</v>
      </c>
      <c r="I907" s="5" t="s">
        <v>294</v>
      </c>
      <c r="J907" s="5" t="s">
        <v>2</v>
      </c>
      <c r="K907" s="5" t="s">
        <v>2</v>
      </c>
      <c r="L907" s="6">
        <f>IF(I907="Cut","",IF(I907="Your call","(decide)",IF(I907="Rename",J907,IF(I907="Keep",IF(D907="",E907,D907),IF(E907="(unchanged)",D907,E907)))))</f>
      </c>
      <c r="M907" s="6">
        <f>IF(AND(I907="Cut",N907&gt;0,K907=""),"USED: say what replaces it (Note)",IF(AND(I907="Rename",J907=""),"type the new name",IF(AND(L907&lt;&gt;"",L907&lt;&gt;"(decide)",COUNTIF($L$2:$L$1680,L907)&gt;1),"SAME FINAL NAME AS ANOTHER ROW","")))</f>
      </c>
      <c r="N907" s="6">
        <v>0</v>
      </c>
      <c r="O907" s="6" t="s">
        <v>2</v>
      </c>
    </row>
    <row r="908" spans="1:15" x14ac:dyDescent="0.25">
      <c r="A908">
        <v>907</v>
      </c>
      <c r="B908" t="s">
        <v>1178</v>
      </c>
      <c r="C908" t="s">
        <v>2</v>
      </c>
      <c r="D908" t="s">
        <v>1214</v>
      </c>
      <c r="E908" t="s">
        <v>292</v>
      </c>
      <c r="F908" t="s">
        <v>2</v>
      </c>
      <c r="G908" t="s">
        <v>38</v>
      </c>
      <c r="H908" t="s">
        <v>39</v>
      </c>
      <c r="I908" s="5" t="s">
        <v>294</v>
      </c>
      <c r="J908" s="5" t="s">
        <v>2</v>
      </c>
      <c r="K908" s="5" t="s">
        <v>2</v>
      </c>
      <c r="L908" s="6">
        <f>IF(I908="Cut","",IF(I908="Your call","(decide)",IF(I908="Rename",J908,IF(I908="Keep",IF(D908="",E908,D908),IF(E908="(unchanged)",D908,E908)))))</f>
      </c>
      <c r="M908" s="6">
        <f>IF(AND(I908="Cut",N908&gt;0,K908=""),"USED: say what replaces it (Note)",IF(AND(I908="Rename",J908=""),"type the new name",IF(AND(L908&lt;&gt;"",L908&lt;&gt;"(decide)",COUNTIF($L$2:$L$1680,L908)&gt;1),"SAME FINAL NAME AS ANOTHER ROW","")))</f>
      </c>
      <c r="N908" s="6">
        <v>0</v>
      </c>
      <c r="O908" s="6" t="s">
        <v>2</v>
      </c>
    </row>
    <row r="909" spans="1:15" x14ac:dyDescent="0.25">
      <c r="A909">
        <v>908</v>
      </c>
      <c r="B909" t="s">
        <v>1215</v>
      </c>
      <c r="C909" t="s">
        <v>2</v>
      </c>
      <c r="D909" t="s">
        <v>1216</v>
      </c>
      <c r="E909" t="s">
        <v>292</v>
      </c>
      <c r="F909" t="s">
        <v>2</v>
      </c>
      <c r="G909" t="s">
        <v>94</v>
      </c>
      <c r="H909" t="s">
        <v>39</v>
      </c>
      <c r="I909" s="5" t="s">
        <v>294</v>
      </c>
      <c r="J909" s="5" t="s">
        <v>2</v>
      </c>
      <c r="K909" s="5" t="s">
        <v>2</v>
      </c>
      <c r="L909" s="6">
        <f>IF(I909="Cut","",IF(I909="Your call","(decide)",IF(I909="Rename",J909,IF(I909="Keep",IF(D909="",E909,D909),IF(E909="(unchanged)",D909,E909)))))</f>
      </c>
      <c r="M909" s="6">
        <f>IF(AND(I909="Cut",N909&gt;0,K909=""),"USED: say what replaces it (Note)",IF(AND(I909="Rename",J909=""),"type the new name",IF(AND(L909&lt;&gt;"",L909&lt;&gt;"(decide)",COUNTIF($L$2:$L$1680,L909)&gt;1),"SAME FINAL NAME AS ANOTHER ROW","")))</f>
      </c>
      <c r="N909" s="6">
        <v>1</v>
      </c>
      <c r="O909" s="6" t="s">
        <v>2</v>
      </c>
    </row>
    <row r="910" spans="1:15" x14ac:dyDescent="0.25">
      <c r="A910">
        <v>909</v>
      </c>
      <c r="B910" t="s">
        <v>1215</v>
      </c>
      <c r="C910" t="s">
        <v>2</v>
      </c>
      <c r="D910" t="s">
        <v>1217</v>
      </c>
      <c r="E910" t="s">
        <v>292</v>
      </c>
      <c r="F910" t="s">
        <v>2</v>
      </c>
      <c r="G910" t="s">
        <v>38</v>
      </c>
      <c r="H910" t="s">
        <v>39</v>
      </c>
      <c r="I910" s="5" t="s">
        <v>294</v>
      </c>
      <c r="J910" s="5" t="s">
        <v>2</v>
      </c>
      <c r="K910" s="5" t="s">
        <v>2</v>
      </c>
      <c r="L910" s="6">
        <f>IF(I910="Cut","",IF(I910="Your call","(decide)",IF(I910="Rename",J910,IF(I910="Keep",IF(D910="",E910,D910),IF(E910="(unchanged)",D910,E910)))))</f>
      </c>
      <c r="M910" s="6">
        <f>IF(AND(I910="Cut",N910&gt;0,K910=""),"USED: say what replaces it (Note)",IF(AND(I910="Rename",J910=""),"type the new name",IF(AND(L910&lt;&gt;"",L910&lt;&gt;"(decide)",COUNTIF($L$2:$L$1680,L910)&gt;1),"SAME FINAL NAME AS ANOTHER ROW","")))</f>
      </c>
      <c r="N910" s="6">
        <v>0</v>
      </c>
      <c r="O910" s="6" t="s">
        <v>2</v>
      </c>
    </row>
    <row r="911" spans="1:15" x14ac:dyDescent="0.25">
      <c r="A911">
        <v>910</v>
      </c>
      <c r="B911" t="s">
        <v>1215</v>
      </c>
      <c r="C911" t="s">
        <v>2</v>
      </c>
      <c r="D911" t="s">
        <v>1218</v>
      </c>
      <c r="E911" t="s">
        <v>292</v>
      </c>
      <c r="F911" t="s">
        <v>2</v>
      </c>
      <c r="G911" t="s">
        <v>58</v>
      </c>
      <c r="H911" t="s">
        <v>39</v>
      </c>
      <c r="I911" s="5" t="s">
        <v>294</v>
      </c>
      <c r="J911" s="5" t="s">
        <v>2</v>
      </c>
      <c r="K911" s="5" t="s">
        <v>2</v>
      </c>
      <c r="L911" s="6">
        <f>IF(I911="Cut","",IF(I911="Your call","(decide)",IF(I911="Rename",J911,IF(I911="Keep",IF(D911="",E911,D911),IF(E911="(unchanged)",D911,E911)))))</f>
      </c>
      <c r="M911" s="6">
        <f>IF(AND(I911="Cut",N911&gt;0,K911=""),"USED: say what replaces it (Note)",IF(AND(I911="Rename",J911=""),"type the new name",IF(AND(L911&lt;&gt;"",L911&lt;&gt;"(decide)",COUNTIF($L$2:$L$1680,L911)&gt;1),"SAME FINAL NAME AS ANOTHER ROW","")))</f>
      </c>
      <c r="N911" s="6">
        <v>3</v>
      </c>
      <c r="O911" s="6" t="s">
        <v>2</v>
      </c>
    </row>
    <row r="912" spans="1:15" x14ac:dyDescent="0.25">
      <c r="A912">
        <v>911</v>
      </c>
      <c r="B912" t="s">
        <v>1215</v>
      </c>
      <c r="C912" t="s">
        <v>2</v>
      </c>
      <c r="D912" t="s">
        <v>1219</v>
      </c>
      <c r="E912" t="s">
        <v>292</v>
      </c>
      <c r="F912" t="s">
        <v>2</v>
      </c>
      <c r="G912" t="s">
        <v>38</v>
      </c>
      <c r="H912" t="s">
        <v>39</v>
      </c>
      <c r="I912" s="5" t="s">
        <v>294</v>
      </c>
      <c r="J912" s="5" t="s">
        <v>2</v>
      </c>
      <c r="K912" s="5" t="s">
        <v>2</v>
      </c>
      <c r="L912" s="6">
        <f>IF(I912="Cut","",IF(I912="Your call","(decide)",IF(I912="Rename",J912,IF(I912="Keep",IF(D912="",E912,D912),IF(E912="(unchanged)",D912,E912)))))</f>
      </c>
      <c r="M912" s="6">
        <f>IF(AND(I912="Cut",N912&gt;0,K912=""),"USED: say what replaces it (Note)",IF(AND(I912="Rename",J912=""),"type the new name",IF(AND(L912&lt;&gt;"",L912&lt;&gt;"(decide)",COUNTIF($L$2:$L$1680,L912)&gt;1),"SAME FINAL NAME AS ANOTHER ROW","")))</f>
      </c>
      <c r="N912" s="6">
        <v>0</v>
      </c>
      <c r="O912" s="6" t="s">
        <v>2</v>
      </c>
    </row>
    <row r="913" spans="1:15" x14ac:dyDescent="0.25">
      <c r="A913">
        <v>912</v>
      </c>
      <c r="B913" t="s">
        <v>1215</v>
      </c>
      <c r="C913" t="s">
        <v>2</v>
      </c>
      <c r="D913" t="s">
        <v>1220</v>
      </c>
      <c r="E913" t="s">
        <v>292</v>
      </c>
      <c r="F913" t="s">
        <v>2</v>
      </c>
      <c r="G913" t="s">
        <v>94</v>
      </c>
      <c r="H913" t="s">
        <v>39</v>
      </c>
      <c r="I913" s="5" t="s">
        <v>294</v>
      </c>
      <c r="J913" s="5" t="s">
        <v>2</v>
      </c>
      <c r="K913" s="5" t="s">
        <v>2</v>
      </c>
      <c r="L913" s="6">
        <f>IF(I913="Cut","",IF(I913="Your call","(decide)",IF(I913="Rename",J913,IF(I913="Keep",IF(D913="",E913,D913),IF(E913="(unchanged)",D913,E913)))))</f>
      </c>
      <c r="M913" s="6">
        <f>IF(AND(I913="Cut",N913&gt;0,K913=""),"USED: say what replaces it (Note)",IF(AND(I913="Rename",J913=""),"type the new name",IF(AND(L913&lt;&gt;"",L913&lt;&gt;"(decide)",COUNTIF($L$2:$L$1680,L913)&gt;1),"SAME FINAL NAME AS ANOTHER ROW","")))</f>
      </c>
      <c r="N913" s="6">
        <v>1</v>
      </c>
      <c r="O913" s="6" t="s">
        <v>2</v>
      </c>
    </row>
    <row r="914" spans="1:15" x14ac:dyDescent="0.25">
      <c r="A914">
        <v>913</v>
      </c>
      <c r="B914" t="s">
        <v>1215</v>
      </c>
      <c r="C914" t="s">
        <v>2</v>
      </c>
      <c r="D914" t="s">
        <v>1221</v>
      </c>
      <c r="E914" t="s">
        <v>292</v>
      </c>
      <c r="F914" t="s">
        <v>2</v>
      </c>
      <c r="G914" t="s">
        <v>38</v>
      </c>
      <c r="H914" t="s">
        <v>39</v>
      </c>
      <c r="I914" s="5" t="s">
        <v>294</v>
      </c>
      <c r="J914" s="5" t="s">
        <v>2</v>
      </c>
      <c r="K914" s="5" t="s">
        <v>2</v>
      </c>
      <c r="L914" s="6">
        <f>IF(I914="Cut","",IF(I914="Your call","(decide)",IF(I914="Rename",J914,IF(I914="Keep",IF(D914="",E914,D914),IF(E914="(unchanged)",D914,E914)))))</f>
      </c>
      <c r="M914" s="6">
        <f>IF(AND(I914="Cut",N914&gt;0,K914=""),"USED: say what replaces it (Note)",IF(AND(I914="Rename",J914=""),"type the new name",IF(AND(L914&lt;&gt;"",L914&lt;&gt;"(decide)",COUNTIF($L$2:$L$1680,L914)&gt;1),"SAME FINAL NAME AS ANOTHER ROW","")))</f>
      </c>
      <c r="N914" s="6">
        <v>0</v>
      </c>
      <c r="O914" s="6" t="s">
        <v>2</v>
      </c>
    </row>
    <row r="915" spans="1:15" x14ac:dyDescent="0.25">
      <c r="A915">
        <v>914</v>
      </c>
      <c r="B915" t="s">
        <v>1215</v>
      </c>
      <c r="C915" t="s">
        <v>2</v>
      </c>
      <c r="D915" t="s">
        <v>1222</v>
      </c>
      <c r="E915" t="s">
        <v>292</v>
      </c>
      <c r="F915" t="s">
        <v>2</v>
      </c>
      <c r="G915" t="s">
        <v>38</v>
      </c>
      <c r="H915" t="s">
        <v>39</v>
      </c>
      <c r="I915" s="5" t="s">
        <v>294</v>
      </c>
      <c r="J915" s="5" t="s">
        <v>2</v>
      </c>
      <c r="K915" s="5" t="s">
        <v>2</v>
      </c>
      <c r="L915" s="6">
        <f>IF(I915="Cut","",IF(I915="Your call","(decide)",IF(I915="Rename",J915,IF(I915="Keep",IF(D915="",E915,D915),IF(E915="(unchanged)",D915,E915)))))</f>
      </c>
      <c r="M915" s="6">
        <f>IF(AND(I915="Cut",N915&gt;0,K915=""),"USED: say what replaces it (Note)",IF(AND(I915="Rename",J915=""),"type the new name",IF(AND(L915&lt;&gt;"",L915&lt;&gt;"(decide)",COUNTIF($L$2:$L$1680,L915)&gt;1),"SAME FINAL NAME AS ANOTHER ROW","")))</f>
      </c>
      <c r="N915" s="6">
        <v>0</v>
      </c>
      <c r="O915" s="6" t="s">
        <v>2</v>
      </c>
    </row>
    <row r="916" spans="1:15" x14ac:dyDescent="0.25">
      <c r="A916">
        <v>915</v>
      </c>
      <c r="B916" t="s">
        <v>1215</v>
      </c>
      <c r="C916" t="s">
        <v>2</v>
      </c>
      <c r="D916" t="s">
        <v>1223</v>
      </c>
      <c r="E916" t="s">
        <v>292</v>
      </c>
      <c r="F916" t="s">
        <v>2</v>
      </c>
      <c r="G916" t="s">
        <v>38</v>
      </c>
      <c r="H916" t="s">
        <v>39</v>
      </c>
      <c r="I916" s="5" t="s">
        <v>294</v>
      </c>
      <c r="J916" s="5" t="s">
        <v>2</v>
      </c>
      <c r="K916" s="5" t="s">
        <v>2</v>
      </c>
      <c r="L916" s="6">
        <f>IF(I916="Cut","",IF(I916="Your call","(decide)",IF(I916="Rename",J916,IF(I916="Keep",IF(D916="",E916,D916),IF(E916="(unchanged)",D916,E916)))))</f>
      </c>
      <c r="M916" s="6">
        <f>IF(AND(I916="Cut",N916&gt;0,K916=""),"USED: say what replaces it (Note)",IF(AND(I916="Rename",J916=""),"type the new name",IF(AND(L916&lt;&gt;"",L916&lt;&gt;"(decide)",COUNTIF($L$2:$L$1680,L916)&gt;1),"SAME FINAL NAME AS ANOTHER ROW","")))</f>
      </c>
      <c r="N916" s="6">
        <v>0</v>
      </c>
      <c r="O916" s="6" t="s">
        <v>2</v>
      </c>
    </row>
    <row r="917" spans="1:15" x14ac:dyDescent="0.25">
      <c r="A917">
        <v>916</v>
      </c>
      <c r="B917" t="s">
        <v>1215</v>
      </c>
      <c r="C917" t="s">
        <v>2</v>
      </c>
      <c r="D917" t="s">
        <v>1224</v>
      </c>
      <c r="E917" t="s">
        <v>292</v>
      </c>
      <c r="F917" t="s">
        <v>2</v>
      </c>
      <c r="G917" t="s">
        <v>38</v>
      </c>
      <c r="H917" t="s">
        <v>39</v>
      </c>
      <c r="I917" s="5" t="s">
        <v>294</v>
      </c>
      <c r="J917" s="5" t="s">
        <v>2</v>
      </c>
      <c r="K917" s="5" t="s">
        <v>2</v>
      </c>
      <c r="L917" s="6">
        <f>IF(I917="Cut","",IF(I917="Your call","(decide)",IF(I917="Rename",J917,IF(I917="Keep",IF(D917="",E917,D917),IF(E917="(unchanged)",D917,E917)))))</f>
      </c>
      <c r="M917" s="6">
        <f>IF(AND(I917="Cut",N917&gt;0,K917=""),"USED: say what replaces it (Note)",IF(AND(I917="Rename",J917=""),"type the new name",IF(AND(L917&lt;&gt;"",L917&lt;&gt;"(decide)",COUNTIF($L$2:$L$1680,L917)&gt;1),"SAME FINAL NAME AS ANOTHER ROW","")))</f>
      </c>
      <c r="N917" s="6">
        <v>0</v>
      </c>
      <c r="O917" s="6" t="s">
        <v>2</v>
      </c>
    </row>
    <row r="918" spans="1:15" x14ac:dyDescent="0.25">
      <c r="A918">
        <v>917</v>
      </c>
      <c r="B918" t="s">
        <v>1215</v>
      </c>
      <c r="C918" t="s">
        <v>2</v>
      </c>
      <c r="D918" t="s">
        <v>1225</v>
      </c>
      <c r="E918" t="s">
        <v>292</v>
      </c>
      <c r="F918" t="s">
        <v>2</v>
      </c>
      <c r="G918" t="s">
        <v>38</v>
      </c>
      <c r="H918" t="s">
        <v>39</v>
      </c>
      <c r="I918" s="5" t="s">
        <v>294</v>
      </c>
      <c r="J918" s="5" t="s">
        <v>2</v>
      </c>
      <c r="K918" s="5" t="s">
        <v>2</v>
      </c>
      <c r="L918" s="6">
        <f>IF(I918="Cut","",IF(I918="Your call","(decide)",IF(I918="Rename",J918,IF(I918="Keep",IF(D918="",E918,D918),IF(E918="(unchanged)",D918,E918)))))</f>
      </c>
      <c r="M918" s="6">
        <f>IF(AND(I918="Cut",N918&gt;0,K918=""),"USED: say what replaces it (Note)",IF(AND(I918="Rename",J918=""),"type the new name",IF(AND(L918&lt;&gt;"",L918&lt;&gt;"(decide)",COUNTIF($L$2:$L$1680,L918)&gt;1),"SAME FINAL NAME AS ANOTHER ROW","")))</f>
      </c>
      <c r="N918" s="6">
        <v>0</v>
      </c>
      <c r="O918" s="6" t="s">
        <v>2</v>
      </c>
    </row>
    <row r="919" spans="1:15" x14ac:dyDescent="0.25">
      <c r="A919">
        <v>918</v>
      </c>
      <c r="B919" t="s">
        <v>1215</v>
      </c>
      <c r="C919" t="s">
        <v>2</v>
      </c>
      <c r="D919" t="s">
        <v>1226</v>
      </c>
      <c r="E919" t="s">
        <v>292</v>
      </c>
      <c r="F919" t="s">
        <v>2</v>
      </c>
      <c r="G919" t="s">
        <v>38</v>
      </c>
      <c r="H919" t="s">
        <v>39</v>
      </c>
      <c r="I919" s="5" t="s">
        <v>294</v>
      </c>
      <c r="J919" s="5" t="s">
        <v>2</v>
      </c>
      <c r="K919" s="5" t="s">
        <v>2</v>
      </c>
      <c r="L919" s="6">
        <f>IF(I919="Cut","",IF(I919="Your call","(decide)",IF(I919="Rename",J919,IF(I919="Keep",IF(D919="",E919,D919),IF(E919="(unchanged)",D919,E919)))))</f>
      </c>
      <c r="M919" s="6">
        <f>IF(AND(I919="Cut",N919&gt;0,K919=""),"USED: say what replaces it (Note)",IF(AND(I919="Rename",J919=""),"type the new name",IF(AND(L919&lt;&gt;"",L919&lt;&gt;"(decide)",COUNTIF($L$2:$L$1680,L919)&gt;1),"SAME FINAL NAME AS ANOTHER ROW","")))</f>
      </c>
      <c r="N919" s="6">
        <v>0</v>
      </c>
      <c r="O919" s="6" t="s">
        <v>2</v>
      </c>
    </row>
    <row r="920" spans="1:15" x14ac:dyDescent="0.25">
      <c r="A920">
        <v>919</v>
      </c>
      <c r="B920" t="s">
        <v>1215</v>
      </c>
      <c r="C920" t="s">
        <v>2</v>
      </c>
      <c r="D920" t="s">
        <v>1227</v>
      </c>
      <c r="E920" t="s">
        <v>292</v>
      </c>
      <c r="F920" t="s">
        <v>2</v>
      </c>
      <c r="G920" t="s">
        <v>38</v>
      </c>
      <c r="H920" t="s">
        <v>39</v>
      </c>
      <c r="I920" s="5" t="s">
        <v>294</v>
      </c>
      <c r="J920" s="5" t="s">
        <v>2</v>
      </c>
      <c r="K920" s="5" t="s">
        <v>2</v>
      </c>
      <c r="L920" s="6">
        <f>IF(I920="Cut","",IF(I920="Your call","(decide)",IF(I920="Rename",J920,IF(I920="Keep",IF(D920="",E920,D920),IF(E920="(unchanged)",D920,E920)))))</f>
      </c>
      <c r="M920" s="6">
        <f>IF(AND(I920="Cut",N920&gt;0,K920=""),"USED: say what replaces it (Note)",IF(AND(I920="Rename",J920=""),"type the new name",IF(AND(L920&lt;&gt;"",L920&lt;&gt;"(decide)",COUNTIF($L$2:$L$1680,L920)&gt;1),"SAME FINAL NAME AS ANOTHER ROW","")))</f>
      </c>
      <c r="N920" s="6">
        <v>0</v>
      </c>
      <c r="O920" s="6" t="s">
        <v>2</v>
      </c>
    </row>
    <row r="921" spans="1:15" x14ac:dyDescent="0.25">
      <c r="A921">
        <v>920</v>
      </c>
      <c r="B921" t="s">
        <v>1215</v>
      </c>
      <c r="C921" t="s">
        <v>2</v>
      </c>
      <c r="D921" t="s">
        <v>1228</v>
      </c>
      <c r="E921" t="s">
        <v>292</v>
      </c>
      <c r="F921" t="s">
        <v>2</v>
      </c>
      <c r="G921" t="s">
        <v>38</v>
      </c>
      <c r="H921" t="s">
        <v>39</v>
      </c>
      <c r="I921" s="5" t="s">
        <v>294</v>
      </c>
      <c r="J921" s="5" t="s">
        <v>2</v>
      </c>
      <c r="K921" s="5" t="s">
        <v>2</v>
      </c>
      <c r="L921" s="6">
        <f>IF(I921="Cut","",IF(I921="Your call","(decide)",IF(I921="Rename",J921,IF(I921="Keep",IF(D921="",E921,D921),IF(E921="(unchanged)",D921,E921)))))</f>
      </c>
      <c r="M921" s="6">
        <f>IF(AND(I921="Cut",N921&gt;0,K921=""),"USED: say what replaces it (Note)",IF(AND(I921="Rename",J921=""),"type the new name",IF(AND(L921&lt;&gt;"",L921&lt;&gt;"(decide)",COUNTIF($L$2:$L$1680,L921)&gt;1),"SAME FINAL NAME AS ANOTHER ROW","")))</f>
      </c>
      <c r="N921" s="6">
        <v>0</v>
      </c>
      <c r="O921" s="6" t="s">
        <v>2</v>
      </c>
    </row>
    <row r="922" spans="1:15" x14ac:dyDescent="0.25">
      <c r="A922">
        <v>921</v>
      </c>
      <c r="B922" t="s">
        <v>1215</v>
      </c>
      <c r="C922" t="s">
        <v>2</v>
      </c>
      <c r="D922" t="s">
        <v>1229</v>
      </c>
      <c r="E922" t="s">
        <v>292</v>
      </c>
      <c r="F922" t="s">
        <v>2</v>
      </c>
      <c r="G922" t="s">
        <v>38</v>
      </c>
      <c r="H922" t="s">
        <v>39</v>
      </c>
      <c r="I922" s="5" t="s">
        <v>294</v>
      </c>
      <c r="J922" s="5" t="s">
        <v>2</v>
      </c>
      <c r="K922" s="5" t="s">
        <v>2</v>
      </c>
      <c r="L922" s="6">
        <f>IF(I922="Cut","",IF(I922="Your call","(decide)",IF(I922="Rename",J922,IF(I922="Keep",IF(D922="",E922,D922),IF(E922="(unchanged)",D922,E922)))))</f>
      </c>
      <c r="M922" s="6">
        <f>IF(AND(I922="Cut",N922&gt;0,K922=""),"USED: say what replaces it (Note)",IF(AND(I922="Rename",J922=""),"type the new name",IF(AND(L922&lt;&gt;"",L922&lt;&gt;"(decide)",COUNTIF($L$2:$L$1680,L922)&gt;1),"SAME FINAL NAME AS ANOTHER ROW","")))</f>
      </c>
      <c r="N922" s="6">
        <v>0</v>
      </c>
      <c r="O922" s="6" t="s">
        <v>2</v>
      </c>
    </row>
    <row r="923" spans="1:15" x14ac:dyDescent="0.25">
      <c r="A923">
        <v>922</v>
      </c>
      <c r="B923" t="s">
        <v>1215</v>
      </c>
      <c r="C923" t="s">
        <v>2</v>
      </c>
      <c r="D923" t="s">
        <v>1230</v>
      </c>
      <c r="E923" t="s">
        <v>292</v>
      </c>
      <c r="F923" t="s">
        <v>2</v>
      </c>
      <c r="G923" t="s">
        <v>38</v>
      </c>
      <c r="H923" t="s">
        <v>39</v>
      </c>
      <c r="I923" s="5" t="s">
        <v>294</v>
      </c>
      <c r="J923" s="5" t="s">
        <v>2</v>
      </c>
      <c r="K923" s="5" t="s">
        <v>2</v>
      </c>
      <c r="L923" s="6">
        <f>IF(I923="Cut","",IF(I923="Your call","(decide)",IF(I923="Rename",J923,IF(I923="Keep",IF(D923="",E923,D923),IF(E923="(unchanged)",D923,E923)))))</f>
      </c>
      <c r="M923" s="6">
        <f>IF(AND(I923="Cut",N923&gt;0,K923=""),"USED: say what replaces it (Note)",IF(AND(I923="Rename",J923=""),"type the new name",IF(AND(L923&lt;&gt;"",L923&lt;&gt;"(decide)",COUNTIF($L$2:$L$1680,L923)&gt;1),"SAME FINAL NAME AS ANOTHER ROW","")))</f>
      </c>
      <c r="N923" s="6">
        <v>0</v>
      </c>
      <c r="O923" s="6" t="s">
        <v>2</v>
      </c>
    </row>
    <row r="924" spans="1:15" x14ac:dyDescent="0.25">
      <c r="A924">
        <v>923</v>
      </c>
      <c r="B924" t="s">
        <v>1215</v>
      </c>
      <c r="C924" t="s">
        <v>2</v>
      </c>
      <c r="D924" t="s">
        <v>1231</v>
      </c>
      <c r="E924" t="s">
        <v>292</v>
      </c>
      <c r="F924" t="s">
        <v>2</v>
      </c>
      <c r="G924" t="s">
        <v>94</v>
      </c>
      <c r="H924" t="s">
        <v>39</v>
      </c>
      <c r="I924" s="5" t="s">
        <v>294</v>
      </c>
      <c r="J924" s="5" t="s">
        <v>2</v>
      </c>
      <c r="K924" s="5" t="s">
        <v>2</v>
      </c>
      <c r="L924" s="6">
        <f>IF(I924="Cut","",IF(I924="Your call","(decide)",IF(I924="Rename",J924,IF(I924="Keep",IF(D924="",E924,D924),IF(E924="(unchanged)",D924,E924)))))</f>
      </c>
      <c r="M924" s="6">
        <f>IF(AND(I924="Cut",N924&gt;0,K924=""),"USED: say what replaces it (Note)",IF(AND(I924="Rename",J924=""),"type the new name",IF(AND(L924&lt;&gt;"",L924&lt;&gt;"(decide)",COUNTIF($L$2:$L$1680,L924)&gt;1),"SAME FINAL NAME AS ANOTHER ROW","")))</f>
      </c>
      <c r="N924" s="6">
        <v>1</v>
      </c>
      <c r="O924" s="6" t="s">
        <v>2</v>
      </c>
    </row>
    <row r="925" spans="1:15" x14ac:dyDescent="0.25">
      <c r="A925">
        <v>924</v>
      </c>
      <c r="B925" t="s">
        <v>1215</v>
      </c>
      <c r="C925" t="s">
        <v>2</v>
      </c>
      <c r="D925" t="s">
        <v>1232</v>
      </c>
      <c r="E925" t="s">
        <v>292</v>
      </c>
      <c r="F925" t="s">
        <v>2</v>
      </c>
      <c r="G925" t="s">
        <v>38</v>
      </c>
      <c r="H925" t="s">
        <v>39</v>
      </c>
      <c r="I925" s="5" t="s">
        <v>294</v>
      </c>
      <c r="J925" s="5" t="s">
        <v>2</v>
      </c>
      <c r="K925" s="5" t="s">
        <v>2</v>
      </c>
      <c r="L925" s="6">
        <f>IF(I925="Cut","",IF(I925="Your call","(decide)",IF(I925="Rename",J925,IF(I925="Keep",IF(D925="",E925,D925),IF(E925="(unchanged)",D925,E925)))))</f>
      </c>
      <c r="M925" s="6">
        <f>IF(AND(I925="Cut",N925&gt;0,K925=""),"USED: say what replaces it (Note)",IF(AND(I925="Rename",J925=""),"type the new name",IF(AND(L925&lt;&gt;"",L925&lt;&gt;"(decide)",COUNTIF($L$2:$L$1680,L925)&gt;1),"SAME FINAL NAME AS ANOTHER ROW","")))</f>
      </c>
      <c r="N925" s="6">
        <v>0</v>
      </c>
      <c r="O925" s="6" t="s">
        <v>2</v>
      </c>
    </row>
    <row r="926" spans="1:15" x14ac:dyDescent="0.25">
      <c r="A926">
        <v>925</v>
      </c>
      <c r="B926" t="s">
        <v>1215</v>
      </c>
      <c r="C926" t="s">
        <v>2</v>
      </c>
      <c r="D926" t="s">
        <v>1233</v>
      </c>
      <c r="E926" t="s">
        <v>292</v>
      </c>
      <c r="F926" t="s">
        <v>2</v>
      </c>
      <c r="G926" t="s">
        <v>38</v>
      </c>
      <c r="H926" t="s">
        <v>39</v>
      </c>
      <c r="I926" s="5" t="s">
        <v>294</v>
      </c>
      <c r="J926" s="5" t="s">
        <v>2</v>
      </c>
      <c r="K926" s="5" t="s">
        <v>2</v>
      </c>
      <c r="L926" s="6">
        <f>IF(I926="Cut","",IF(I926="Your call","(decide)",IF(I926="Rename",J926,IF(I926="Keep",IF(D926="",E926,D926),IF(E926="(unchanged)",D926,E926)))))</f>
      </c>
      <c r="M926" s="6">
        <f>IF(AND(I926="Cut",N926&gt;0,K926=""),"USED: say what replaces it (Note)",IF(AND(I926="Rename",J926=""),"type the new name",IF(AND(L926&lt;&gt;"",L926&lt;&gt;"(decide)",COUNTIF($L$2:$L$1680,L926)&gt;1),"SAME FINAL NAME AS ANOTHER ROW","")))</f>
      </c>
      <c r="N926" s="6">
        <v>0</v>
      </c>
      <c r="O926" s="6" t="s">
        <v>2</v>
      </c>
    </row>
    <row r="927" spans="1:15" x14ac:dyDescent="0.25">
      <c r="A927">
        <v>926</v>
      </c>
      <c r="B927" t="s">
        <v>1215</v>
      </c>
      <c r="C927" t="s">
        <v>2</v>
      </c>
      <c r="D927" t="s">
        <v>1234</v>
      </c>
      <c r="E927" t="s">
        <v>292</v>
      </c>
      <c r="F927" t="s">
        <v>2</v>
      </c>
      <c r="G927" t="s">
        <v>38</v>
      </c>
      <c r="H927" t="s">
        <v>39</v>
      </c>
      <c r="I927" s="5" t="s">
        <v>294</v>
      </c>
      <c r="J927" s="5" t="s">
        <v>2</v>
      </c>
      <c r="K927" s="5" t="s">
        <v>2</v>
      </c>
      <c r="L927" s="6">
        <f>IF(I927="Cut","",IF(I927="Your call","(decide)",IF(I927="Rename",J927,IF(I927="Keep",IF(D927="",E927,D927),IF(E927="(unchanged)",D927,E927)))))</f>
      </c>
      <c r="M927" s="6">
        <f>IF(AND(I927="Cut",N927&gt;0,K927=""),"USED: say what replaces it (Note)",IF(AND(I927="Rename",J927=""),"type the new name",IF(AND(L927&lt;&gt;"",L927&lt;&gt;"(decide)",COUNTIF($L$2:$L$1680,L927)&gt;1),"SAME FINAL NAME AS ANOTHER ROW","")))</f>
      </c>
      <c r="N927" s="6">
        <v>0</v>
      </c>
      <c r="O927" s="6" t="s">
        <v>2</v>
      </c>
    </row>
    <row r="928" spans="1:15" x14ac:dyDescent="0.25">
      <c r="A928">
        <v>927</v>
      </c>
      <c r="B928" t="s">
        <v>1215</v>
      </c>
      <c r="C928" t="s">
        <v>2</v>
      </c>
      <c r="D928" t="s">
        <v>1235</v>
      </c>
      <c r="E928" t="s">
        <v>292</v>
      </c>
      <c r="F928" t="s">
        <v>2</v>
      </c>
      <c r="G928" t="s">
        <v>1236</v>
      </c>
      <c r="H928" t="s">
        <v>39</v>
      </c>
      <c r="I928" s="5" t="s">
        <v>294</v>
      </c>
      <c r="J928" s="5" t="s">
        <v>2</v>
      </c>
      <c r="K928" s="5" t="s">
        <v>2</v>
      </c>
      <c r="L928" s="6">
        <f>IF(I928="Cut","",IF(I928="Your call","(decide)",IF(I928="Rename",J928,IF(I928="Keep",IF(D928="",E928,D928),IF(E928="(unchanged)",D928,E928)))))</f>
      </c>
      <c r="M928" s="6">
        <f>IF(AND(I928="Cut",N928&gt;0,K928=""),"USED: say what replaces it (Note)",IF(AND(I928="Rename",J928=""),"type the new name",IF(AND(L928&lt;&gt;"",L928&lt;&gt;"(decide)",COUNTIF($L$2:$L$1680,L928)&gt;1),"SAME FINAL NAME AS ANOTHER ROW","")))</f>
      </c>
      <c r="N928" s="6">
        <v>34</v>
      </c>
      <c r="O928" s="6" t="s">
        <v>2</v>
      </c>
    </row>
    <row r="929" spans="1:15" x14ac:dyDescent="0.25">
      <c r="A929">
        <v>928</v>
      </c>
      <c r="B929" t="s">
        <v>1215</v>
      </c>
      <c r="C929" t="s">
        <v>2</v>
      </c>
      <c r="D929" t="s">
        <v>1237</v>
      </c>
      <c r="E929" t="s">
        <v>292</v>
      </c>
      <c r="F929" t="s">
        <v>2</v>
      </c>
      <c r="G929" t="s">
        <v>38</v>
      </c>
      <c r="H929" t="s">
        <v>39</v>
      </c>
      <c r="I929" s="5" t="s">
        <v>294</v>
      </c>
      <c r="J929" s="5" t="s">
        <v>2</v>
      </c>
      <c r="K929" s="5" t="s">
        <v>2</v>
      </c>
      <c r="L929" s="6">
        <f>IF(I929="Cut","",IF(I929="Your call","(decide)",IF(I929="Rename",J929,IF(I929="Keep",IF(D929="",E929,D929),IF(E929="(unchanged)",D929,E929)))))</f>
      </c>
      <c r="M929" s="6">
        <f>IF(AND(I929="Cut",N929&gt;0,K929=""),"USED: say what replaces it (Note)",IF(AND(I929="Rename",J929=""),"type the new name",IF(AND(L929&lt;&gt;"",L929&lt;&gt;"(decide)",COUNTIF($L$2:$L$1680,L929)&gt;1),"SAME FINAL NAME AS ANOTHER ROW","")))</f>
      </c>
      <c r="N929" s="6">
        <v>0</v>
      </c>
      <c r="O929" s="6" t="s">
        <v>2</v>
      </c>
    </row>
    <row r="930" spans="1:15" x14ac:dyDescent="0.25">
      <c r="A930">
        <v>929</v>
      </c>
      <c r="B930" t="s">
        <v>1215</v>
      </c>
      <c r="C930" t="s">
        <v>2</v>
      </c>
      <c r="D930" t="s">
        <v>1238</v>
      </c>
      <c r="E930" t="s">
        <v>292</v>
      </c>
      <c r="F930" t="s">
        <v>2</v>
      </c>
      <c r="G930" t="s">
        <v>38</v>
      </c>
      <c r="H930" t="s">
        <v>39</v>
      </c>
      <c r="I930" s="5" t="s">
        <v>294</v>
      </c>
      <c r="J930" s="5" t="s">
        <v>2</v>
      </c>
      <c r="K930" s="5" t="s">
        <v>2</v>
      </c>
      <c r="L930" s="6">
        <f>IF(I930="Cut","",IF(I930="Your call","(decide)",IF(I930="Rename",J930,IF(I930="Keep",IF(D930="",E930,D930),IF(E930="(unchanged)",D930,E930)))))</f>
      </c>
      <c r="M930" s="6">
        <f>IF(AND(I930="Cut",N930&gt;0,K930=""),"USED: say what replaces it (Note)",IF(AND(I930="Rename",J930=""),"type the new name",IF(AND(L930&lt;&gt;"",L930&lt;&gt;"(decide)",COUNTIF($L$2:$L$1680,L930)&gt;1),"SAME FINAL NAME AS ANOTHER ROW","")))</f>
      </c>
      <c r="N930" s="6">
        <v>0</v>
      </c>
      <c r="O930" s="6" t="s">
        <v>2</v>
      </c>
    </row>
    <row r="931" spans="1:15" x14ac:dyDescent="0.25">
      <c r="A931">
        <v>930</v>
      </c>
      <c r="B931" t="s">
        <v>1215</v>
      </c>
      <c r="C931" t="s">
        <v>2</v>
      </c>
      <c r="D931" t="s">
        <v>1239</v>
      </c>
      <c r="E931" t="s">
        <v>292</v>
      </c>
      <c r="F931" t="s">
        <v>2</v>
      </c>
      <c r="G931" t="s">
        <v>38</v>
      </c>
      <c r="H931" t="s">
        <v>39</v>
      </c>
      <c r="I931" s="5" t="s">
        <v>294</v>
      </c>
      <c r="J931" s="5" t="s">
        <v>2</v>
      </c>
      <c r="K931" s="5" t="s">
        <v>2</v>
      </c>
      <c r="L931" s="6">
        <f>IF(I931="Cut","",IF(I931="Your call","(decide)",IF(I931="Rename",J931,IF(I931="Keep",IF(D931="",E931,D931),IF(E931="(unchanged)",D931,E931)))))</f>
      </c>
      <c r="M931" s="6">
        <f>IF(AND(I931="Cut",N931&gt;0,K931=""),"USED: say what replaces it (Note)",IF(AND(I931="Rename",J931=""),"type the new name",IF(AND(L931&lt;&gt;"",L931&lt;&gt;"(decide)",COUNTIF($L$2:$L$1680,L931)&gt;1),"SAME FINAL NAME AS ANOTHER ROW","")))</f>
      </c>
      <c r="N931" s="6">
        <v>0</v>
      </c>
      <c r="O931" s="6" t="s">
        <v>2</v>
      </c>
    </row>
    <row r="932" spans="1:15" x14ac:dyDescent="0.25">
      <c r="A932">
        <v>931</v>
      </c>
      <c r="B932" t="s">
        <v>1215</v>
      </c>
      <c r="C932" t="s">
        <v>2</v>
      </c>
      <c r="D932" t="s">
        <v>1240</v>
      </c>
      <c r="E932" t="s">
        <v>292</v>
      </c>
      <c r="F932" t="s">
        <v>2</v>
      </c>
      <c r="G932" t="s">
        <v>58</v>
      </c>
      <c r="H932" t="s">
        <v>39</v>
      </c>
      <c r="I932" s="5" t="s">
        <v>294</v>
      </c>
      <c r="J932" s="5" t="s">
        <v>2</v>
      </c>
      <c r="K932" s="5" t="s">
        <v>2</v>
      </c>
      <c r="L932" s="6">
        <f>IF(I932="Cut","",IF(I932="Your call","(decide)",IF(I932="Rename",J932,IF(I932="Keep",IF(D932="",E932,D932),IF(E932="(unchanged)",D932,E932)))))</f>
      </c>
      <c r="M932" s="6">
        <f>IF(AND(I932="Cut",N932&gt;0,K932=""),"USED: say what replaces it (Note)",IF(AND(I932="Rename",J932=""),"type the new name",IF(AND(L932&lt;&gt;"",L932&lt;&gt;"(decide)",COUNTIF($L$2:$L$1680,L932)&gt;1),"SAME FINAL NAME AS ANOTHER ROW","")))</f>
      </c>
      <c r="N932" s="6">
        <v>3</v>
      </c>
      <c r="O932" s="6" t="s">
        <v>2</v>
      </c>
    </row>
    <row r="933" spans="1:15" x14ac:dyDescent="0.25">
      <c r="A933">
        <v>932</v>
      </c>
      <c r="B933" t="s">
        <v>1215</v>
      </c>
      <c r="C933" t="s">
        <v>2</v>
      </c>
      <c r="D933" t="s">
        <v>1241</v>
      </c>
      <c r="E933" t="s">
        <v>292</v>
      </c>
      <c r="F933" t="s">
        <v>2</v>
      </c>
      <c r="G933" t="s">
        <v>94</v>
      </c>
      <c r="H933" t="s">
        <v>39</v>
      </c>
      <c r="I933" s="5" t="s">
        <v>294</v>
      </c>
      <c r="J933" s="5" t="s">
        <v>2</v>
      </c>
      <c r="K933" s="5" t="s">
        <v>2</v>
      </c>
      <c r="L933" s="6">
        <f>IF(I933="Cut","",IF(I933="Your call","(decide)",IF(I933="Rename",J933,IF(I933="Keep",IF(D933="",E933,D933),IF(E933="(unchanged)",D933,E933)))))</f>
      </c>
      <c r="M933" s="6">
        <f>IF(AND(I933="Cut",N933&gt;0,K933=""),"USED: say what replaces it (Note)",IF(AND(I933="Rename",J933=""),"type the new name",IF(AND(L933&lt;&gt;"",L933&lt;&gt;"(decide)",COUNTIF($L$2:$L$1680,L933)&gt;1),"SAME FINAL NAME AS ANOTHER ROW","")))</f>
      </c>
      <c r="N933" s="6">
        <v>1</v>
      </c>
      <c r="O933" s="6" t="s">
        <v>2</v>
      </c>
    </row>
    <row r="934" spans="1:15" x14ac:dyDescent="0.25">
      <c r="A934">
        <v>933</v>
      </c>
      <c r="B934" t="s">
        <v>1242</v>
      </c>
      <c r="C934" t="s">
        <v>1243</v>
      </c>
      <c r="D934" t="s">
        <v>1244</v>
      </c>
      <c r="E934" t="s">
        <v>292</v>
      </c>
      <c r="F934" t="s">
        <v>2</v>
      </c>
      <c r="G934" t="s">
        <v>38</v>
      </c>
      <c r="H934" t="s">
        <v>39</v>
      </c>
      <c r="I934" s="5" t="s">
        <v>294</v>
      </c>
      <c r="J934" s="5" t="s">
        <v>2</v>
      </c>
      <c r="K934" s="5" t="s">
        <v>2</v>
      </c>
      <c r="L934" s="6">
        <f>IF(I934="Cut","",IF(I934="Your call","(decide)",IF(I934="Rename",J934,IF(I934="Keep",IF(D934="",E934,D934),IF(E934="(unchanged)",D934,E934)))))</f>
      </c>
      <c r="M934" s="6">
        <f>IF(AND(I934="Cut",N934&gt;0,K934=""),"USED: say what replaces it (Note)",IF(AND(I934="Rename",J934=""),"type the new name",IF(AND(L934&lt;&gt;"",L934&lt;&gt;"(decide)",COUNTIF($L$2:$L$1680,L934)&gt;1),"SAME FINAL NAME AS ANOTHER ROW","")))</f>
      </c>
      <c r="N934" s="6">
        <v>0</v>
      </c>
      <c r="O934" s="6" t="s">
        <v>2</v>
      </c>
    </row>
    <row r="935" spans="1:15" x14ac:dyDescent="0.25">
      <c r="A935">
        <v>934</v>
      </c>
      <c r="B935" t="s">
        <v>1242</v>
      </c>
      <c r="C935" t="s">
        <v>1243</v>
      </c>
      <c r="D935" t="s">
        <v>1245</v>
      </c>
      <c r="E935" t="s">
        <v>292</v>
      </c>
      <c r="F935" t="s">
        <v>2</v>
      </c>
      <c r="G935" t="s">
        <v>38</v>
      </c>
      <c r="H935" t="s">
        <v>39</v>
      </c>
      <c r="I935" s="5" t="s">
        <v>294</v>
      </c>
      <c r="J935" s="5" t="s">
        <v>2</v>
      </c>
      <c r="K935" s="5" t="s">
        <v>2</v>
      </c>
      <c r="L935" s="6">
        <f>IF(I935="Cut","",IF(I935="Your call","(decide)",IF(I935="Rename",J935,IF(I935="Keep",IF(D935="",E935,D935),IF(E935="(unchanged)",D935,E935)))))</f>
      </c>
      <c r="M935" s="6">
        <f>IF(AND(I935="Cut",N935&gt;0,K935=""),"USED: say what replaces it (Note)",IF(AND(I935="Rename",J935=""),"type the new name",IF(AND(L935&lt;&gt;"",L935&lt;&gt;"(decide)",COUNTIF($L$2:$L$1680,L935)&gt;1),"SAME FINAL NAME AS ANOTHER ROW","")))</f>
      </c>
      <c r="N935" s="6">
        <v>0</v>
      </c>
      <c r="O935" s="6" t="s">
        <v>2</v>
      </c>
    </row>
    <row r="936" spans="1:15" x14ac:dyDescent="0.25">
      <c r="A936">
        <v>935</v>
      </c>
      <c r="B936" t="s">
        <v>1242</v>
      </c>
      <c r="C936" t="s">
        <v>1243</v>
      </c>
      <c r="D936" t="s">
        <v>1246</v>
      </c>
      <c r="E936" t="s">
        <v>292</v>
      </c>
      <c r="F936" t="s">
        <v>2</v>
      </c>
      <c r="G936" t="s">
        <v>94</v>
      </c>
      <c r="H936" t="s">
        <v>39</v>
      </c>
      <c r="I936" s="5" t="s">
        <v>294</v>
      </c>
      <c r="J936" s="5" t="s">
        <v>2</v>
      </c>
      <c r="K936" s="5" t="s">
        <v>2</v>
      </c>
      <c r="L936" s="6">
        <f>IF(I936="Cut","",IF(I936="Your call","(decide)",IF(I936="Rename",J936,IF(I936="Keep",IF(D936="",E936,D936),IF(E936="(unchanged)",D936,E936)))))</f>
      </c>
      <c r="M936" s="6">
        <f>IF(AND(I936="Cut",N936&gt;0,K936=""),"USED: say what replaces it (Note)",IF(AND(I936="Rename",J936=""),"type the new name",IF(AND(L936&lt;&gt;"",L936&lt;&gt;"(decide)",COUNTIF($L$2:$L$1680,L936)&gt;1),"SAME FINAL NAME AS ANOTHER ROW","")))</f>
      </c>
      <c r="N936" s="6">
        <v>1</v>
      </c>
      <c r="O936" s="6" t="s">
        <v>2</v>
      </c>
    </row>
    <row r="937" spans="1:15" x14ac:dyDescent="0.25">
      <c r="A937">
        <v>936</v>
      </c>
      <c r="B937" t="s">
        <v>1242</v>
      </c>
      <c r="C937" t="s">
        <v>1243</v>
      </c>
      <c r="D937" t="s">
        <v>1247</v>
      </c>
      <c r="E937" t="s">
        <v>292</v>
      </c>
      <c r="F937" t="s">
        <v>2</v>
      </c>
      <c r="G937" t="s">
        <v>38</v>
      </c>
      <c r="H937" t="s">
        <v>39</v>
      </c>
      <c r="I937" s="5" t="s">
        <v>294</v>
      </c>
      <c r="J937" s="5" t="s">
        <v>2</v>
      </c>
      <c r="K937" s="5" t="s">
        <v>2</v>
      </c>
      <c r="L937" s="6">
        <f>IF(I937="Cut","",IF(I937="Your call","(decide)",IF(I937="Rename",J937,IF(I937="Keep",IF(D937="",E937,D937),IF(E937="(unchanged)",D937,E937)))))</f>
      </c>
      <c r="M937" s="6">
        <f>IF(AND(I937="Cut",N937&gt;0,K937=""),"USED: say what replaces it (Note)",IF(AND(I937="Rename",J937=""),"type the new name",IF(AND(L937&lt;&gt;"",L937&lt;&gt;"(decide)",COUNTIF($L$2:$L$1680,L937)&gt;1),"SAME FINAL NAME AS ANOTHER ROW","")))</f>
      </c>
      <c r="N937" s="6">
        <v>0</v>
      </c>
      <c r="O937" s="6" t="s">
        <v>2</v>
      </c>
    </row>
    <row r="938" spans="1:15" x14ac:dyDescent="0.25">
      <c r="A938">
        <v>937</v>
      </c>
      <c r="B938" t="s">
        <v>1242</v>
      </c>
      <c r="C938" t="s">
        <v>1243</v>
      </c>
      <c r="D938" t="s">
        <v>1248</v>
      </c>
      <c r="E938" t="s">
        <v>292</v>
      </c>
      <c r="F938" t="s">
        <v>2</v>
      </c>
      <c r="G938" t="s">
        <v>38</v>
      </c>
      <c r="H938" t="s">
        <v>39</v>
      </c>
      <c r="I938" s="5" t="s">
        <v>294</v>
      </c>
      <c r="J938" s="5" t="s">
        <v>2</v>
      </c>
      <c r="K938" s="5" t="s">
        <v>2</v>
      </c>
      <c r="L938" s="6">
        <f>IF(I938="Cut","",IF(I938="Your call","(decide)",IF(I938="Rename",J938,IF(I938="Keep",IF(D938="",E938,D938),IF(E938="(unchanged)",D938,E938)))))</f>
      </c>
      <c r="M938" s="6">
        <f>IF(AND(I938="Cut",N938&gt;0,K938=""),"USED: say what replaces it (Note)",IF(AND(I938="Rename",J938=""),"type the new name",IF(AND(L938&lt;&gt;"",L938&lt;&gt;"(decide)",COUNTIF($L$2:$L$1680,L938)&gt;1),"SAME FINAL NAME AS ANOTHER ROW","")))</f>
      </c>
      <c r="N938" s="6">
        <v>0</v>
      </c>
      <c r="O938" s="6" t="s">
        <v>2</v>
      </c>
    </row>
    <row r="939" spans="1:15" x14ac:dyDescent="0.25">
      <c r="A939">
        <v>938</v>
      </c>
      <c r="B939" t="s">
        <v>1242</v>
      </c>
      <c r="C939" t="s">
        <v>1243</v>
      </c>
      <c r="D939" t="s">
        <v>1249</v>
      </c>
      <c r="E939" t="s">
        <v>292</v>
      </c>
      <c r="F939" t="s">
        <v>2</v>
      </c>
      <c r="G939" t="s">
        <v>38</v>
      </c>
      <c r="H939" t="s">
        <v>39</v>
      </c>
      <c r="I939" s="5" t="s">
        <v>294</v>
      </c>
      <c r="J939" s="5" t="s">
        <v>2</v>
      </c>
      <c r="K939" s="5" t="s">
        <v>2</v>
      </c>
      <c r="L939" s="6">
        <f>IF(I939="Cut","",IF(I939="Your call","(decide)",IF(I939="Rename",J939,IF(I939="Keep",IF(D939="",E939,D939),IF(E939="(unchanged)",D939,E939)))))</f>
      </c>
      <c r="M939" s="6">
        <f>IF(AND(I939="Cut",N939&gt;0,K939=""),"USED: say what replaces it (Note)",IF(AND(I939="Rename",J939=""),"type the new name",IF(AND(L939&lt;&gt;"",L939&lt;&gt;"(decide)",COUNTIF($L$2:$L$1680,L939)&gt;1),"SAME FINAL NAME AS ANOTHER ROW","")))</f>
      </c>
      <c r="N939" s="6">
        <v>0</v>
      </c>
      <c r="O939" s="6" t="s">
        <v>2</v>
      </c>
    </row>
    <row r="940" spans="1:15" x14ac:dyDescent="0.25">
      <c r="A940">
        <v>939</v>
      </c>
      <c r="B940" t="s">
        <v>1242</v>
      </c>
      <c r="C940" t="s">
        <v>2</v>
      </c>
      <c r="D940" t="s">
        <v>1250</v>
      </c>
      <c r="E940" t="s">
        <v>292</v>
      </c>
      <c r="F940" t="s">
        <v>2</v>
      </c>
      <c r="G940" t="s">
        <v>94</v>
      </c>
      <c r="H940" t="s">
        <v>39</v>
      </c>
      <c r="I940" s="5" t="s">
        <v>294</v>
      </c>
      <c r="J940" s="5" t="s">
        <v>2</v>
      </c>
      <c r="K940" s="5" t="s">
        <v>2</v>
      </c>
      <c r="L940" s="6">
        <f>IF(I940="Cut","",IF(I940="Your call","(decide)",IF(I940="Rename",J940,IF(I940="Keep",IF(D940="",E940,D940),IF(E940="(unchanged)",D940,E940)))))</f>
      </c>
      <c r="M940" s="6">
        <f>IF(AND(I940="Cut",N940&gt;0,K940=""),"USED: say what replaces it (Note)",IF(AND(I940="Rename",J940=""),"type the new name",IF(AND(L940&lt;&gt;"",L940&lt;&gt;"(decide)",COUNTIF($L$2:$L$1680,L940)&gt;1),"SAME FINAL NAME AS ANOTHER ROW","")))</f>
      </c>
      <c r="N940" s="6">
        <v>1</v>
      </c>
      <c r="O940" s="6" t="s">
        <v>2</v>
      </c>
    </row>
    <row r="941" spans="1:15" x14ac:dyDescent="0.25">
      <c r="A941">
        <v>940</v>
      </c>
      <c r="B941" t="s">
        <v>1242</v>
      </c>
      <c r="C941" t="s">
        <v>2</v>
      </c>
      <c r="D941" t="s">
        <v>1251</v>
      </c>
      <c r="E941" t="s">
        <v>292</v>
      </c>
      <c r="F941" t="s">
        <v>2</v>
      </c>
      <c r="G941" t="s">
        <v>38</v>
      </c>
      <c r="H941" t="s">
        <v>39</v>
      </c>
      <c r="I941" s="5" t="s">
        <v>294</v>
      </c>
      <c r="J941" s="5" t="s">
        <v>2</v>
      </c>
      <c r="K941" s="5" t="s">
        <v>2</v>
      </c>
      <c r="L941" s="6">
        <f>IF(I941="Cut","",IF(I941="Your call","(decide)",IF(I941="Rename",J941,IF(I941="Keep",IF(D941="",E941,D941),IF(E941="(unchanged)",D941,E941)))))</f>
      </c>
      <c r="M941" s="6">
        <f>IF(AND(I941="Cut",N941&gt;0,K941=""),"USED: say what replaces it (Note)",IF(AND(I941="Rename",J941=""),"type the new name",IF(AND(L941&lt;&gt;"",L941&lt;&gt;"(decide)",COUNTIF($L$2:$L$1680,L941)&gt;1),"SAME FINAL NAME AS ANOTHER ROW","")))</f>
      </c>
      <c r="N941" s="6">
        <v>0</v>
      </c>
      <c r="O941" s="6" t="s">
        <v>2</v>
      </c>
    </row>
    <row r="942" spans="1:15" x14ac:dyDescent="0.25">
      <c r="A942">
        <v>941</v>
      </c>
      <c r="B942" t="s">
        <v>1242</v>
      </c>
      <c r="C942" t="s">
        <v>1252</v>
      </c>
      <c r="D942" t="s">
        <v>1253</v>
      </c>
      <c r="E942" t="s">
        <v>292</v>
      </c>
      <c r="F942" t="s">
        <v>2</v>
      </c>
      <c r="G942" t="s">
        <v>38</v>
      </c>
      <c r="H942" t="s">
        <v>39</v>
      </c>
      <c r="I942" s="5" t="s">
        <v>294</v>
      </c>
      <c r="J942" s="5" t="s">
        <v>2</v>
      </c>
      <c r="K942" s="5" t="s">
        <v>2</v>
      </c>
      <c r="L942" s="6">
        <f>IF(I942="Cut","",IF(I942="Your call","(decide)",IF(I942="Rename",J942,IF(I942="Keep",IF(D942="",E942,D942),IF(E942="(unchanged)",D942,E942)))))</f>
      </c>
      <c r="M942" s="6">
        <f>IF(AND(I942="Cut",N942&gt;0,K942=""),"USED: say what replaces it (Note)",IF(AND(I942="Rename",J942=""),"type the new name",IF(AND(L942&lt;&gt;"",L942&lt;&gt;"(decide)",COUNTIF($L$2:$L$1680,L942)&gt;1),"SAME FINAL NAME AS ANOTHER ROW","")))</f>
      </c>
      <c r="N942" s="6">
        <v>0</v>
      </c>
      <c r="O942" s="6" t="s">
        <v>2</v>
      </c>
    </row>
    <row r="943" spans="1:15" x14ac:dyDescent="0.25">
      <c r="A943">
        <v>942</v>
      </c>
      <c r="B943" t="s">
        <v>1242</v>
      </c>
      <c r="C943" t="s">
        <v>1252</v>
      </c>
      <c r="D943" t="s">
        <v>1254</v>
      </c>
      <c r="E943" t="s">
        <v>292</v>
      </c>
      <c r="F943" t="s">
        <v>2</v>
      </c>
      <c r="G943" t="s">
        <v>38</v>
      </c>
      <c r="H943" t="s">
        <v>39</v>
      </c>
      <c r="I943" s="5" t="s">
        <v>294</v>
      </c>
      <c r="J943" s="5" t="s">
        <v>2</v>
      </c>
      <c r="K943" s="5" t="s">
        <v>2</v>
      </c>
      <c r="L943" s="6">
        <f>IF(I943="Cut","",IF(I943="Your call","(decide)",IF(I943="Rename",J943,IF(I943="Keep",IF(D943="",E943,D943),IF(E943="(unchanged)",D943,E943)))))</f>
      </c>
      <c r="M943" s="6">
        <f>IF(AND(I943="Cut",N943&gt;0,K943=""),"USED: say what replaces it (Note)",IF(AND(I943="Rename",J943=""),"type the new name",IF(AND(L943&lt;&gt;"",L943&lt;&gt;"(decide)",COUNTIF($L$2:$L$1680,L943)&gt;1),"SAME FINAL NAME AS ANOTHER ROW","")))</f>
      </c>
      <c r="N943" s="6">
        <v>0</v>
      </c>
      <c r="O943" s="6" t="s">
        <v>2</v>
      </c>
    </row>
    <row r="944" spans="1:15" x14ac:dyDescent="0.25">
      <c r="A944">
        <v>943</v>
      </c>
      <c r="B944" t="s">
        <v>1242</v>
      </c>
      <c r="C944" t="s">
        <v>1252</v>
      </c>
      <c r="D944" t="s">
        <v>1255</v>
      </c>
      <c r="E944" t="s">
        <v>292</v>
      </c>
      <c r="F944" t="s">
        <v>2</v>
      </c>
      <c r="G944" t="s">
        <v>94</v>
      </c>
      <c r="H944" t="s">
        <v>39</v>
      </c>
      <c r="I944" s="5" t="s">
        <v>294</v>
      </c>
      <c r="J944" s="5" t="s">
        <v>2</v>
      </c>
      <c r="K944" s="5" t="s">
        <v>2</v>
      </c>
      <c r="L944" s="6">
        <f>IF(I944="Cut","",IF(I944="Your call","(decide)",IF(I944="Rename",J944,IF(I944="Keep",IF(D944="",E944,D944),IF(E944="(unchanged)",D944,E944)))))</f>
      </c>
      <c r="M944" s="6">
        <f>IF(AND(I944="Cut",N944&gt;0,K944=""),"USED: say what replaces it (Note)",IF(AND(I944="Rename",J944=""),"type the new name",IF(AND(L944&lt;&gt;"",L944&lt;&gt;"(decide)",COUNTIF($L$2:$L$1680,L944)&gt;1),"SAME FINAL NAME AS ANOTHER ROW","")))</f>
      </c>
      <c r="N944" s="6">
        <v>1</v>
      </c>
      <c r="O944" s="6" t="s">
        <v>2</v>
      </c>
    </row>
    <row r="945" spans="1:15" x14ac:dyDescent="0.25">
      <c r="A945">
        <v>944</v>
      </c>
      <c r="B945" t="s">
        <v>1242</v>
      </c>
      <c r="C945" t="s">
        <v>1252</v>
      </c>
      <c r="D945" t="s">
        <v>1256</v>
      </c>
      <c r="E945" t="s">
        <v>292</v>
      </c>
      <c r="F945" t="s">
        <v>2</v>
      </c>
      <c r="G945" t="s">
        <v>38</v>
      </c>
      <c r="H945" t="s">
        <v>39</v>
      </c>
      <c r="I945" s="5" t="s">
        <v>294</v>
      </c>
      <c r="J945" s="5" t="s">
        <v>2</v>
      </c>
      <c r="K945" s="5" t="s">
        <v>2</v>
      </c>
      <c r="L945" s="6">
        <f>IF(I945="Cut","",IF(I945="Your call","(decide)",IF(I945="Rename",J945,IF(I945="Keep",IF(D945="",E945,D945),IF(E945="(unchanged)",D945,E945)))))</f>
      </c>
      <c r="M945" s="6">
        <f>IF(AND(I945="Cut",N945&gt;0,K945=""),"USED: say what replaces it (Note)",IF(AND(I945="Rename",J945=""),"type the new name",IF(AND(L945&lt;&gt;"",L945&lt;&gt;"(decide)",COUNTIF($L$2:$L$1680,L945)&gt;1),"SAME FINAL NAME AS ANOTHER ROW","")))</f>
      </c>
      <c r="N945" s="6">
        <v>0</v>
      </c>
      <c r="O945" s="6" t="s">
        <v>2</v>
      </c>
    </row>
    <row r="946" spans="1:15" x14ac:dyDescent="0.25">
      <c r="A946">
        <v>945</v>
      </c>
      <c r="B946" t="s">
        <v>1242</v>
      </c>
      <c r="C946" t="s">
        <v>1257</v>
      </c>
      <c r="D946" t="s">
        <v>1258</v>
      </c>
      <c r="E946" t="s">
        <v>292</v>
      </c>
      <c r="F946" t="s">
        <v>2</v>
      </c>
      <c r="G946" t="s">
        <v>38</v>
      </c>
      <c r="H946" t="s">
        <v>39</v>
      </c>
      <c r="I946" s="5" t="s">
        <v>294</v>
      </c>
      <c r="J946" s="5" t="s">
        <v>2</v>
      </c>
      <c r="K946" s="5" t="s">
        <v>2</v>
      </c>
      <c r="L946" s="6">
        <f>IF(I946="Cut","",IF(I946="Your call","(decide)",IF(I946="Rename",J946,IF(I946="Keep",IF(D946="",E946,D946),IF(E946="(unchanged)",D946,E946)))))</f>
      </c>
      <c r="M946" s="6">
        <f>IF(AND(I946="Cut",N946&gt;0,K946=""),"USED: say what replaces it (Note)",IF(AND(I946="Rename",J946=""),"type the new name",IF(AND(L946&lt;&gt;"",L946&lt;&gt;"(decide)",COUNTIF($L$2:$L$1680,L946)&gt;1),"SAME FINAL NAME AS ANOTHER ROW","")))</f>
      </c>
      <c r="N946" s="6">
        <v>0</v>
      </c>
      <c r="O946" s="6" t="s">
        <v>2</v>
      </c>
    </row>
    <row r="947" spans="1:15" x14ac:dyDescent="0.25">
      <c r="A947">
        <v>946</v>
      </c>
      <c r="B947" t="s">
        <v>1242</v>
      </c>
      <c r="C947" t="s">
        <v>1257</v>
      </c>
      <c r="D947" t="s">
        <v>1259</v>
      </c>
      <c r="E947" t="s">
        <v>292</v>
      </c>
      <c r="F947" t="s">
        <v>2</v>
      </c>
      <c r="G947" t="s">
        <v>38</v>
      </c>
      <c r="H947" t="s">
        <v>39</v>
      </c>
      <c r="I947" s="5" t="s">
        <v>294</v>
      </c>
      <c r="J947" s="5" t="s">
        <v>2</v>
      </c>
      <c r="K947" s="5" t="s">
        <v>2</v>
      </c>
      <c r="L947" s="6">
        <f>IF(I947="Cut","",IF(I947="Your call","(decide)",IF(I947="Rename",J947,IF(I947="Keep",IF(D947="",E947,D947),IF(E947="(unchanged)",D947,E947)))))</f>
      </c>
      <c r="M947" s="6">
        <f>IF(AND(I947="Cut",N947&gt;0,K947=""),"USED: say what replaces it (Note)",IF(AND(I947="Rename",J947=""),"type the new name",IF(AND(L947&lt;&gt;"",L947&lt;&gt;"(decide)",COUNTIF($L$2:$L$1680,L947)&gt;1),"SAME FINAL NAME AS ANOTHER ROW","")))</f>
      </c>
      <c r="N947" s="6">
        <v>0</v>
      </c>
      <c r="O947" s="6" t="s">
        <v>2</v>
      </c>
    </row>
    <row r="948" spans="1:15" x14ac:dyDescent="0.25">
      <c r="A948">
        <v>947</v>
      </c>
      <c r="B948" t="s">
        <v>1242</v>
      </c>
      <c r="C948" t="s">
        <v>1257</v>
      </c>
      <c r="D948" t="s">
        <v>1260</v>
      </c>
      <c r="E948" t="s">
        <v>292</v>
      </c>
      <c r="F948" t="s">
        <v>2</v>
      </c>
      <c r="G948" t="s">
        <v>38</v>
      </c>
      <c r="H948" t="s">
        <v>39</v>
      </c>
      <c r="I948" s="5" t="s">
        <v>294</v>
      </c>
      <c r="J948" s="5" t="s">
        <v>2</v>
      </c>
      <c r="K948" s="5" t="s">
        <v>2</v>
      </c>
      <c r="L948" s="6">
        <f>IF(I948="Cut","",IF(I948="Your call","(decide)",IF(I948="Rename",J948,IF(I948="Keep",IF(D948="",E948,D948),IF(E948="(unchanged)",D948,E948)))))</f>
      </c>
      <c r="M948" s="6">
        <f>IF(AND(I948="Cut",N948&gt;0,K948=""),"USED: say what replaces it (Note)",IF(AND(I948="Rename",J948=""),"type the new name",IF(AND(L948&lt;&gt;"",L948&lt;&gt;"(decide)",COUNTIF($L$2:$L$1680,L948)&gt;1),"SAME FINAL NAME AS ANOTHER ROW","")))</f>
      </c>
      <c r="N948" s="6">
        <v>0</v>
      </c>
      <c r="O948" s="6" t="s">
        <v>2</v>
      </c>
    </row>
    <row r="949" spans="1:15" x14ac:dyDescent="0.25">
      <c r="A949">
        <v>948</v>
      </c>
      <c r="B949" t="s">
        <v>1242</v>
      </c>
      <c r="C949" t="s">
        <v>1257</v>
      </c>
      <c r="D949" t="s">
        <v>1261</v>
      </c>
      <c r="E949" t="s">
        <v>292</v>
      </c>
      <c r="F949" t="s">
        <v>2</v>
      </c>
      <c r="G949" t="s">
        <v>38</v>
      </c>
      <c r="H949" t="s">
        <v>39</v>
      </c>
      <c r="I949" s="5" t="s">
        <v>294</v>
      </c>
      <c r="J949" s="5" t="s">
        <v>2</v>
      </c>
      <c r="K949" s="5" t="s">
        <v>2</v>
      </c>
      <c r="L949" s="6">
        <f>IF(I949="Cut","",IF(I949="Your call","(decide)",IF(I949="Rename",J949,IF(I949="Keep",IF(D949="",E949,D949),IF(E949="(unchanged)",D949,E949)))))</f>
      </c>
      <c r="M949" s="6">
        <f>IF(AND(I949="Cut",N949&gt;0,K949=""),"USED: say what replaces it (Note)",IF(AND(I949="Rename",J949=""),"type the new name",IF(AND(L949&lt;&gt;"",L949&lt;&gt;"(decide)",COUNTIF($L$2:$L$1680,L949)&gt;1),"SAME FINAL NAME AS ANOTHER ROW","")))</f>
      </c>
      <c r="N949" s="6">
        <v>0</v>
      </c>
      <c r="O949" s="6" t="s">
        <v>2</v>
      </c>
    </row>
    <row r="950" spans="1:15" x14ac:dyDescent="0.25">
      <c r="A950">
        <v>949</v>
      </c>
      <c r="B950" t="s">
        <v>1242</v>
      </c>
      <c r="C950" t="s">
        <v>2</v>
      </c>
      <c r="D950" t="s">
        <v>1262</v>
      </c>
      <c r="E950" t="s">
        <v>292</v>
      </c>
      <c r="F950" t="s">
        <v>2</v>
      </c>
      <c r="G950" t="s">
        <v>38</v>
      </c>
      <c r="H950" t="s">
        <v>39</v>
      </c>
      <c r="I950" s="5" t="s">
        <v>294</v>
      </c>
      <c r="J950" s="5" t="s">
        <v>2</v>
      </c>
      <c r="K950" s="5" t="s">
        <v>2</v>
      </c>
      <c r="L950" s="6">
        <f>IF(I950="Cut","",IF(I950="Your call","(decide)",IF(I950="Rename",J950,IF(I950="Keep",IF(D950="",E950,D950),IF(E950="(unchanged)",D950,E950)))))</f>
      </c>
      <c r="M950" s="6">
        <f>IF(AND(I950="Cut",N950&gt;0,K950=""),"USED: say what replaces it (Note)",IF(AND(I950="Rename",J950=""),"type the new name",IF(AND(L950&lt;&gt;"",L950&lt;&gt;"(decide)",COUNTIF($L$2:$L$1680,L950)&gt;1),"SAME FINAL NAME AS ANOTHER ROW","")))</f>
      </c>
      <c r="N950" s="6">
        <v>0</v>
      </c>
      <c r="O950" s="6" t="s">
        <v>2</v>
      </c>
    </row>
    <row r="951" spans="1:15" x14ac:dyDescent="0.25">
      <c r="A951">
        <v>950</v>
      </c>
      <c r="B951" t="s">
        <v>1242</v>
      </c>
      <c r="C951" t="s">
        <v>1263</v>
      </c>
      <c r="D951" t="s">
        <v>1264</v>
      </c>
      <c r="E951" t="s">
        <v>292</v>
      </c>
      <c r="F951" t="s">
        <v>2</v>
      </c>
      <c r="G951" t="s">
        <v>38</v>
      </c>
      <c r="H951" t="s">
        <v>39</v>
      </c>
      <c r="I951" s="5" t="s">
        <v>294</v>
      </c>
      <c r="J951" s="5" t="s">
        <v>2</v>
      </c>
      <c r="K951" s="5" t="s">
        <v>2</v>
      </c>
      <c r="L951" s="6">
        <f>IF(I951="Cut","",IF(I951="Your call","(decide)",IF(I951="Rename",J951,IF(I951="Keep",IF(D951="",E951,D951),IF(E951="(unchanged)",D951,E951)))))</f>
      </c>
      <c r="M951" s="6">
        <f>IF(AND(I951="Cut",N951&gt;0,K951=""),"USED: say what replaces it (Note)",IF(AND(I951="Rename",J951=""),"type the new name",IF(AND(L951&lt;&gt;"",L951&lt;&gt;"(decide)",COUNTIF($L$2:$L$1680,L951)&gt;1),"SAME FINAL NAME AS ANOTHER ROW","")))</f>
      </c>
      <c r="N951" s="6">
        <v>0</v>
      </c>
      <c r="O951" s="6" t="s">
        <v>2</v>
      </c>
    </row>
    <row r="952" spans="1:15" x14ac:dyDescent="0.25">
      <c r="A952">
        <v>951</v>
      </c>
      <c r="B952" t="s">
        <v>1242</v>
      </c>
      <c r="C952" t="s">
        <v>1263</v>
      </c>
      <c r="D952" t="s">
        <v>1265</v>
      </c>
      <c r="E952" t="s">
        <v>292</v>
      </c>
      <c r="F952" t="s">
        <v>2</v>
      </c>
      <c r="G952" t="s">
        <v>94</v>
      </c>
      <c r="H952" t="s">
        <v>39</v>
      </c>
      <c r="I952" s="5" t="s">
        <v>294</v>
      </c>
      <c r="J952" s="5" t="s">
        <v>2</v>
      </c>
      <c r="K952" s="5" t="s">
        <v>2</v>
      </c>
      <c r="L952" s="6">
        <f>IF(I952="Cut","",IF(I952="Your call","(decide)",IF(I952="Rename",J952,IF(I952="Keep",IF(D952="",E952,D952),IF(E952="(unchanged)",D952,E952)))))</f>
      </c>
      <c r="M952" s="6">
        <f>IF(AND(I952="Cut",N952&gt;0,K952=""),"USED: say what replaces it (Note)",IF(AND(I952="Rename",J952=""),"type the new name",IF(AND(L952&lt;&gt;"",L952&lt;&gt;"(decide)",COUNTIF($L$2:$L$1680,L952)&gt;1),"SAME FINAL NAME AS ANOTHER ROW","")))</f>
      </c>
      <c r="N952" s="6">
        <v>1</v>
      </c>
      <c r="O952" s="6" t="s">
        <v>2</v>
      </c>
    </row>
    <row r="953" spans="1:15" x14ac:dyDescent="0.25">
      <c r="A953">
        <v>952</v>
      </c>
      <c r="B953" t="s">
        <v>1242</v>
      </c>
      <c r="C953" t="s">
        <v>1266</v>
      </c>
      <c r="D953" t="s">
        <v>1267</v>
      </c>
      <c r="E953" t="s">
        <v>292</v>
      </c>
      <c r="F953" t="s">
        <v>2</v>
      </c>
      <c r="G953" t="s">
        <v>38</v>
      </c>
      <c r="H953" t="s">
        <v>39</v>
      </c>
      <c r="I953" s="5" t="s">
        <v>294</v>
      </c>
      <c r="J953" s="5" t="s">
        <v>2</v>
      </c>
      <c r="K953" s="5" t="s">
        <v>2</v>
      </c>
      <c r="L953" s="6">
        <f>IF(I953="Cut","",IF(I953="Your call","(decide)",IF(I953="Rename",J953,IF(I953="Keep",IF(D953="",E953,D953),IF(E953="(unchanged)",D953,E953)))))</f>
      </c>
      <c r="M953" s="6">
        <f>IF(AND(I953="Cut",N953&gt;0,K953=""),"USED: say what replaces it (Note)",IF(AND(I953="Rename",J953=""),"type the new name",IF(AND(L953&lt;&gt;"",L953&lt;&gt;"(decide)",COUNTIF($L$2:$L$1680,L953)&gt;1),"SAME FINAL NAME AS ANOTHER ROW","")))</f>
      </c>
      <c r="N953" s="6">
        <v>0</v>
      </c>
      <c r="O953" s="6" t="s">
        <v>2</v>
      </c>
    </row>
    <row r="954" spans="1:15" x14ac:dyDescent="0.25">
      <c r="A954">
        <v>953</v>
      </c>
      <c r="B954" t="s">
        <v>1242</v>
      </c>
      <c r="C954" t="s">
        <v>1266</v>
      </c>
      <c r="D954" t="s">
        <v>1268</v>
      </c>
      <c r="E954" t="s">
        <v>292</v>
      </c>
      <c r="F954" t="s">
        <v>2</v>
      </c>
      <c r="G954" t="s">
        <v>38</v>
      </c>
      <c r="H954" t="s">
        <v>39</v>
      </c>
      <c r="I954" s="5" t="s">
        <v>294</v>
      </c>
      <c r="J954" s="5" t="s">
        <v>2</v>
      </c>
      <c r="K954" s="5" t="s">
        <v>2</v>
      </c>
      <c r="L954" s="6">
        <f>IF(I954="Cut","",IF(I954="Your call","(decide)",IF(I954="Rename",J954,IF(I954="Keep",IF(D954="",E954,D954),IF(E954="(unchanged)",D954,E954)))))</f>
      </c>
      <c r="M954" s="6">
        <f>IF(AND(I954="Cut",N954&gt;0,K954=""),"USED: say what replaces it (Note)",IF(AND(I954="Rename",J954=""),"type the new name",IF(AND(L954&lt;&gt;"",L954&lt;&gt;"(decide)",COUNTIF($L$2:$L$1680,L954)&gt;1),"SAME FINAL NAME AS ANOTHER ROW","")))</f>
      </c>
      <c r="N954" s="6">
        <v>0</v>
      </c>
      <c r="O954" s="6" t="s">
        <v>2</v>
      </c>
    </row>
    <row r="955" spans="1:15" x14ac:dyDescent="0.25">
      <c r="A955">
        <v>954</v>
      </c>
      <c r="B955" t="s">
        <v>1242</v>
      </c>
      <c r="C955" t="s">
        <v>1266</v>
      </c>
      <c r="D955" t="s">
        <v>1269</v>
      </c>
      <c r="E955" t="s">
        <v>292</v>
      </c>
      <c r="F955" t="s">
        <v>2</v>
      </c>
      <c r="G955" t="s">
        <v>38</v>
      </c>
      <c r="H955" t="s">
        <v>39</v>
      </c>
      <c r="I955" s="5" t="s">
        <v>294</v>
      </c>
      <c r="J955" s="5" t="s">
        <v>2</v>
      </c>
      <c r="K955" s="5" t="s">
        <v>2</v>
      </c>
      <c r="L955" s="6">
        <f>IF(I955="Cut","",IF(I955="Your call","(decide)",IF(I955="Rename",J955,IF(I955="Keep",IF(D955="",E955,D955),IF(E955="(unchanged)",D955,E955)))))</f>
      </c>
      <c r="M955" s="6">
        <f>IF(AND(I955="Cut",N955&gt;0,K955=""),"USED: say what replaces it (Note)",IF(AND(I955="Rename",J955=""),"type the new name",IF(AND(L955&lt;&gt;"",L955&lt;&gt;"(decide)",COUNTIF($L$2:$L$1680,L955)&gt;1),"SAME FINAL NAME AS ANOTHER ROW","")))</f>
      </c>
      <c r="N955" s="6">
        <v>0</v>
      </c>
      <c r="O955" s="6" t="s">
        <v>2</v>
      </c>
    </row>
    <row r="956" spans="1:15" x14ac:dyDescent="0.25">
      <c r="A956">
        <v>955</v>
      </c>
      <c r="B956" t="s">
        <v>1242</v>
      </c>
      <c r="C956" t="s">
        <v>1266</v>
      </c>
      <c r="D956" t="s">
        <v>1270</v>
      </c>
      <c r="E956" t="s">
        <v>292</v>
      </c>
      <c r="F956" t="s">
        <v>2</v>
      </c>
      <c r="G956" t="s">
        <v>94</v>
      </c>
      <c r="H956" t="s">
        <v>39</v>
      </c>
      <c r="I956" s="5" t="s">
        <v>294</v>
      </c>
      <c r="J956" s="5" t="s">
        <v>2</v>
      </c>
      <c r="K956" s="5" t="s">
        <v>2</v>
      </c>
      <c r="L956" s="6">
        <f>IF(I956="Cut","",IF(I956="Your call","(decide)",IF(I956="Rename",J956,IF(I956="Keep",IF(D956="",E956,D956),IF(E956="(unchanged)",D956,E956)))))</f>
      </c>
      <c r="M956" s="6">
        <f>IF(AND(I956="Cut",N956&gt;0,K956=""),"USED: say what replaces it (Note)",IF(AND(I956="Rename",J956=""),"type the new name",IF(AND(L956&lt;&gt;"",L956&lt;&gt;"(decide)",COUNTIF($L$2:$L$1680,L956)&gt;1),"SAME FINAL NAME AS ANOTHER ROW","")))</f>
      </c>
      <c r="N956" s="6">
        <v>1</v>
      </c>
      <c r="O956" s="6" t="s">
        <v>2</v>
      </c>
    </row>
    <row r="957" spans="1:15" x14ac:dyDescent="0.25">
      <c r="A957">
        <v>956</v>
      </c>
      <c r="B957" t="s">
        <v>1242</v>
      </c>
      <c r="C957" t="s">
        <v>1266</v>
      </c>
      <c r="D957" t="s">
        <v>1271</v>
      </c>
      <c r="E957" t="s">
        <v>292</v>
      </c>
      <c r="F957" t="s">
        <v>2</v>
      </c>
      <c r="G957" t="s">
        <v>38</v>
      </c>
      <c r="H957" t="s">
        <v>39</v>
      </c>
      <c r="I957" s="5" t="s">
        <v>294</v>
      </c>
      <c r="J957" s="5" t="s">
        <v>2</v>
      </c>
      <c r="K957" s="5" t="s">
        <v>2</v>
      </c>
      <c r="L957" s="6">
        <f>IF(I957="Cut","",IF(I957="Your call","(decide)",IF(I957="Rename",J957,IF(I957="Keep",IF(D957="",E957,D957),IF(E957="(unchanged)",D957,E957)))))</f>
      </c>
      <c r="M957" s="6">
        <f>IF(AND(I957="Cut",N957&gt;0,K957=""),"USED: say what replaces it (Note)",IF(AND(I957="Rename",J957=""),"type the new name",IF(AND(L957&lt;&gt;"",L957&lt;&gt;"(decide)",COUNTIF($L$2:$L$1680,L957)&gt;1),"SAME FINAL NAME AS ANOTHER ROW","")))</f>
      </c>
      <c r="N957" s="6">
        <v>0</v>
      </c>
      <c r="O957" s="6" t="s">
        <v>2</v>
      </c>
    </row>
    <row r="958" spans="1:15" x14ac:dyDescent="0.25">
      <c r="A958">
        <v>957</v>
      </c>
      <c r="B958" t="s">
        <v>1242</v>
      </c>
      <c r="C958" t="s">
        <v>1272</v>
      </c>
      <c r="D958" t="s">
        <v>1273</v>
      </c>
      <c r="E958" t="s">
        <v>292</v>
      </c>
      <c r="F958" t="s">
        <v>2</v>
      </c>
      <c r="G958" t="s">
        <v>38</v>
      </c>
      <c r="H958" t="s">
        <v>39</v>
      </c>
      <c r="I958" s="5" t="s">
        <v>294</v>
      </c>
      <c r="J958" s="5" t="s">
        <v>2</v>
      </c>
      <c r="K958" s="5" t="s">
        <v>2</v>
      </c>
      <c r="L958" s="6">
        <f>IF(I958="Cut","",IF(I958="Your call","(decide)",IF(I958="Rename",J958,IF(I958="Keep",IF(D958="",E958,D958),IF(E958="(unchanged)",D958,E958)))))</f>
      </c>
      <c r="M958" s="6">
        <f>IF(AND(I958="Cut",N958&gt;0,K958=""),"USED: say what replaces it (Note)",IF(AND(I958="Rename",J958=""),"type the new name",IF(AND(L958&lt;&gt;"",L958&lt;&gt;"(decide)",COUNTIF($L$2:$L$1680,L958)&gt;1),"SAME FINAL NAME AS ANOTHER ROW","")))</f>
      </c>
      <c r="N958" s="6">
        <v>0</v>
      </c>
      <c r="O958" s="6" t="s">
        <v>2</v>
      </c>
    </row>
    <row r="959" spans="1:15" x14ac:dyDescent="0.25">
      <c r="A959">
        <v>958</v>
      </c>
      <c r="B959" t="s">
        <v>1242</v>
      </c>
      <c r="C959" t="s">
        <v>1272</v>
      </c>
      <c r="D959" t="s">
        <v>1274</v>
      </c>
      <c r="E959" t="s">
        <v>292</v>
      </c>
      <c r="F959" t="s">
        <v>2</v>
      </c>
      <c r="G959" t="s">
        <v>38</v>
      </c>
      <c r="H959" t="s">
        <v>39</v>
      </c>
      <c r="I959" s="5" t="s">
        <v>294</v>
      </c>
      <c r="J959" s="5" t="s">
        <v>2</v>
      </c>
      <c r="K959" s="5" t="s">
        <v>2</v>
      </c>
      <c r="L959" s="6">
        <f>IF(I959="Cut","",IF(I959="Your call","(decide)",IF(I959="Rename",J959,IF(I959="Keep",IF(D959="",E959,D959),IF(E959="(unchanged)",D959,E959)))))</f>
      </c>
      <c r="M959" s="6">
        <f>IF(AND(I959="Cut",N959&gt;0,K959=""),"USED: say what replaces it (Note)",IF(AND(I959="Rename",J959=""),"type the new name",IF(AND(L959&lt;&gt;"",L959&lt;&gt;"(decide)",COUNTIF($L$2:$L$1680,L959)&gt;1),"SAME FINAL NAME AS ANOTHER ROW","")))</f>
      </c>
      <c r="N959" s="6">
        <v>0</v>
      </c>
      <c r="O959" s="6" t="s">
        <v>2</v>
      </c>
    </row>
    <row r="960" spans="1:15" x14ac:dyDescent="0.25">
      <c r="A960">
        <v>959</v>
      </c>
      <c r="B960" t="s">
        <v>1242</v>
      </c>
      <c r="C960" t="s">
        <v>1275</v>
      </c>
      <c r="D960" t="s">
        <v>1276</v>
      </c>
      <c r="E960" t="s">
        <v>292</v>
      </c>
      <c r="F960" t="s">
        <v>2</v>
      </c>
      <c r="G960" t="s">
        <v>38</v>
      </c>
      <c r="H960" t="s">
        <v>39</v>
      </c>
      <c r="I960" s="5" t="s">
        <v>294</v>
      </c>
      <c r="J960" s="5" t="s">
        <v>2</v>
      </c>
      <c r="K960" s="5" t="s">
        <v>2</v>
      </c>
      <c r="L960" s="6">
        <f>IF(I960="Cut","",IF(I960="Your call","(decide)",IF(I960="Rename",J960,IF(I960="Keep",IF(D960="",E960,D960),IF(E960="(unchanged)",D960,E960)))))</f>
      </c>
      <c r="M960" s="6">
        <f>IF(AND(I960="Cut",N960&gt;0,K960=""),"USED: say what replaces it (Note)",IF(AND(I960="Rename",J960=""),"type the new name",IF(AND(L960&lt;&gt;"",L960&lt;&gt;"(decide)",COUNTIF($L$2:$L$1680,L960)&gt;1),"SAME FINAL NAME AS ANOTHER ROW","")))</f>
      </c>
      <c r="N960" s="6">
        <v>0</v>
      </c>
      <c r="O960" s="6" t="s">
        <v>2</v>
      </c>
    </row>
    <row r="961" spans="1:15" x14ac:dyDescent="0.25">
      <c r="A961">
        <v>960</v>
      </c>
      <c r="B961" t="s">
        <v>1242</v>
      </c>
      <c r="C961" t="s">
        <v>1275</v>
      </c>
      <c r="D961" t="s">
        <v>1277</v>
      </c>
      <c r="E961" t="s">
        <v>292</v>
      </c>
      <c r="F961" t="s">
        <v>2</v>
      </c>
      <c r="G961" t="s">
        <v>38</v>
      </c>
      <c r="H961" t="s">
        <v>39</v>
      </c>
      <c r="I961" s="5" t="s">
        <v>294</v>
      </c>
      <c r="J961" s="5" t="s">
        <v>2</v>
      </c>
      <c r="K961" s="5" t="s">
        <v>2</v>
      </c>
      <c r="L961" s="6">
        <f>IF(I961="Cut","",IF(I961="Your call","(decide)",IF(I961="Rename",J961,IF(I961="Keep",IF(D961="",E961,D961),IF(E961="(unchanged)",D961,E961)))))</f>
      </c>
      <c r="M961" s="6">
        <f>IF(AND(I961="Cut",N961&gt;0,K961=""),"USED: say what replaces it (Note)",IF(AND(I961="Rename",J961=""),"type the new name",IF(AND(L961&lt;&gt;"",L961&lt;&gt;"(decide)",COUNTIF($L$2:$L$1680,L961)&gt;1),"SAME FINAL NAME AS ANOTHER ROW","")))</f>
      </c>
      <c r="N961" s="6">
        <v>0</v>
      </c>
      <c r="O961" s="6" t="s">
        <v>2</v>
      </c>
    </row>
    <row r="962" spans="1:15" x14ac:dyDescent="0.25">
      <c r="A962">
        <v>961</v>
      </c>
      <c r="B962" t="s">
        <v>1242</v>
      </c>
      <c r="C962" t="s">
        <v>1278</v>
      </c>
      <c r="D962" t="s">
        <v>1279</v>
      </c>
      <c r="E962" t="s">
        <v>292</v>
      </c>
      <c r="F962" t="s">
        <v>2</v>
      </c>
      <c r="G962" t="s">
        <v>38</v>
      </c>
      <c r="H962" t="s">
        <v>39</v>
      </c>
      <c r="I962" s="5" t="s">
        <v>294</v>
      </c>
      <c r="J962" s="5" t="s">
        <v>2</v>
      </c>
      <c r="K962" s="5" t="s">
        <v>2</v>
      </c>
      <c r="L962" s="6">
        <f>IF(I962="Cut","",IF(I962="Your call","(decide)",IF(I962="Rename",J962,IF(I962="Keep",IF(D962="",E962,D962),IF(E962="(unchanged)",D962,E962)))))</f>
      </c>
      <c r="M962" s="6">
        <f>IF(AND(I962="Cut",N962&gt;0,K962=""),"USED: say what replaces it (Note)",IF(AND(I962="Rename",J962=""),"type the new name",IF(AND(L962&lt;&gt;"",L962&lt;&gt;"(decide)",COUNTIF($L$2:$L$1680,L962)&gt;1),"SAME FINAL NAME AS ANOTHER ROW","")))</f>
      </c>
      <c r="N962" s="6">
        <v>0</v>
      </c>
      <c r="O962" s="6" t="s">
        <v>2</v>
      </c>
    </row>
    <row r="963" spans="1:15" x14ac:dyDescent="0.25">
      <c r="A963">
        <v>962</v>
      </c>
      <c r="B963" t="s">
        <v>1242</v>
      </c>
      <c r="C963" t="s">
        <v>1278</v>
      </c>
      <c r="D963" t="s">
        <v>1280</v>
      </c>
      <c r="E963" t="s">
        <v>292</v>
      </c>
      <c r="F963" t="s">
        <v>2</v>
      </c>
      <c r="G963" t="s">
        <v>38</v>
      </c>
      <c r="H963" t="s">
        <v>39</v>
      </c>
      <c r="I963" s="5" t="s">
        <v>294</v>
      </c>
      <c r="J963" s="5" t="s">
        <v>2</v>
      </c>
      <c r="K963" s="5" t="s">
        <v>2</v>
      </c>
      <c r="L963" s="6">
        <f>IF(I963="Cut","",IF(I963="Your call","(decide)",IF(I963="Rename",J963,IF(I963="Keep",IF(D963="",E963,D963),IF(E963="(unchanged)",D963,E963)))))</f>
      </c>
      <c r="M963" s="6">
        <f>IF(AND(I963="Cut",N963&gt;0,K963=""),"USED: say what replaces it (Note)",IF(AND(I963="Rename",J963=""),"type the new name",IF(AND(L963&lt;&gt;"",L963&lt;&gt;"(decide)",COUNTIF($L$2:$L$1680,L963)&gt;1),"SAME FINAL NAME AS ANOTHER ROW","")))</f>
      </c>
      <c r="N963" s="6">
        <v>0</v>
      </c>
      <c r="O963" s="6" t="s">
        <v>2</v>
      </c>
    </row>
    <row r="964" spans="1:15" x14ac:dyDescent="0.25">
      <c r="A964">
        <v>963</v>
      </c>
      <c r="B964" t="s">
        <v>1242</v>
      </c>
      <c r="C964" t="s">
        <v>1281</v>
      </c>
      <c r="D964" t="s">
        <v>1282</v>
      </c>
      <c r="E964" t="s">
        <v>292</v>
      </c>
      <c r="F964" t="s">
        <v>2</v>
      </c>
      <c r="G964" t="s">
        <v>38</v>
      </c>
      <c r="H964" t="s">
        <v>39</v>
      </c>
      <c r="I964" s="5" t="s">
        <v>294</v>
      </c>
      <c r="J964" s="5" t="s">
        <v>2</v>
      </c>
      <c r="K964" s="5" t="s">
        <v>2</v>
      </c>
      <c r="L964" s="6">
        <f>IF(I964="Cut","",IF(I964="Your call","(decide)",IF(I964="Rename",J964,IF(I964="Keep",IF(D964="",E964,D964),IF(E964="(unchanged)",D964,E964)))))</f>
      </c>
      <c r="M964" s="6">
        <f>IF(AND(I964="Cut",N964&gt;0,K964=""),"USED: say what replaces it (Note)",IF(AND(I964="Rename",J964=""),"type the new name",IF(AND(L964&lt;&gt;"",L964&lt;&gt;"(decide)",COUNTIF($L$2:$L$1680,L964)&gt;1),"SAME FINAL NAME AS ANOTHER ROW","")))</f>
      </c>
      <c r="N964" s="6">
        <v>0</v>
      </c>
      <c r="O964" s="6" t="s">
        <v>2</v>
      </c>
    </row>
    <row r="965" spans="1:15" x14ac:dyDescent="0.25">
      <c r="A965">
        <v>964</v>
      </c>
      <c r="B965" t="s">
        <v>1242</v>
      </c>
      <c r="C965" t="s">
        <v>1281</v>
      </c>
      <c r="D965" t="s">
        <v>1283</v>
      </c>
      <c r="E965" t="s">
        <v>292</v>
      </c>
      <c r="F965" t="s">
        <v>2</v>
      </c>
      <c r="G965" t="s">
        <v>38</v>
      </c>
      <c r="H965" t="s">
        <v>39</v>
      </c>
      <c r="I965" s="5" t="s">
        <v>294</v>
      </c>
      <c r="J965" s="5" t="s">
        <v>2</v>
      </c>
      <c r="K965" s="5" t="s">
        <v>2</v>
      </c>
      <c r="L965" s="6">
        <f>IF(I965="Cut","",IF(I965="Your call","(decide)",IF(I965="Rename",J965,IF(I965="Keep",IF(D965="",E965,D965),IF(E965="(unchanged)",D965,E965)))))</f>
      </c>
      <c r="M965" s="6">
        <f>IF(AND(I965="Cut",N965&gt;0,K965=""),"USED: say what replaces it (Note)",IF(AND(I965="Rename",J965=""),"type the new name",IF(AND(L965&lt;&gt;"",L965&lt;&gt;"(decide)",COUNTIF($L$2:$L$1680,L965)&gt;1),"SAME FINAL NAME AS ANOTHER ROW","")))</f>
      </c>
      <c r="N965" s="6">
        <v>0</v>
      </c>
      <c r="O965" s="6" t="s">
        <v>2</v>
      </c>
    </row>
    <row r="966" spans="1:15" x14ac:dyDescent="0.25">
      <c r="A966">
        <v>965</v>
      </c>
      <c r="B966" t="s">
        <v>1242</v>
      </c>
      <c r="C966" t="s">
        <v>1281</v>
      </c>
      <c r="D966" t="s">
        <v>1284</v>
      </c>
      <c r="E966" t="s">
        <v>292</v>
      </c>
      <c r="F966" t="s">
        <v>2</v>
      </c>
      <c r="G966" t="s">
        <v>38</v>
      </c>
      <c r="H966" t="s">
        <v>39</v>
      </c>
      <c r="I966" s="5" t="s">
        <v>294</v>
      </c>
      <c r="J966" s="5" t="s">
        <v>2</v>
      </c>
      <c r="K966" s="5" t="s">
        <v>2</v>
      </c>
      <c r="L966" s="6">
        <f>IF(I966="Cut","",IF(I966="Your call","(decide)",IF(I966="Rename",J966,IF(I966="Keep",IF(D966="",E966,D966),IF(E966="(unchanged)",D966,E966)))))</f>
      </c>
      <c r="M966" s="6">
        <f>IF(AND(I966="Cut",N966&gt;0,K966=""),"USED: say what replaces it (Note)",IF(AND(I966="Rename",J966=""),"type the new name",IF(AND(L966&lt;&gt;"",L966&lt;&gt;"(decide)",COUNTIF($L$2:$L$1680,L966)&gt;1),"SAME FINAL NAME AS ANOTHER ROW","")))</f>
      </c>
      <c r="N966" s="6">
        <v>0</v>
      </c>
      <c r="O966" s="6" t="s">
        <v>2</v>
      </c>
    </row>
    <row r="967" spans="1:15" x14ac:dyDescent="0.25">
      <c r="A967">
        <v>966</v>
      </c>
      <c r="B967" t="s">
        <v>1242</v>
      </c>
      <c r="C967" t="s">
        <v>1285</v>
      </c>
      <c r="D967" t="s">
        <v>1286</v>
      </c>
      <c r="E967" t="s">
        <v>292</v>
      </c>
      <c r="F967" t="s">
        <v>2</v>
      </c>
      <c r="G967" t="s">
        <v>38</v>
      </c>
      <c r="H967" t="s">
        <v>39</v>
      </c>
      <c r="I967" s="5" t="s">
        <v>294</v>
      </c>
      <c r="J967" s="5" t="s">
        <v>2</v>
      </c>
      <c r="K967" s="5" t="s">
        <v>2</v>
      </c>
      <c r="L967" s="6">
        <f>IF(I967="Cut","",IF(I967="Your call","(decide)",IF(I967="Rename",J967,IF(I967="Keep",IF(D967="",E967,D967),IF(E967="(unchanged)",D967,E967)))))</f>
      </c>
      <c r="M967" s="6">
        <f>IF(AND(I967="Cut",N967&gt;0,K967=""),"USED: say what replaces it (Note)",IF(AND(I967="Rename",J967=""),"type the new name",IF(AND(L967&lt;&gt;"",L967&lt;&gt;"(decide)",COUNTIF($L$2:$L$1680,L967)&gt;1),"SAME FINAL NAME AS ANOTHER ROW","")))</f>
      </c>
      <c r="N967" s="6">
        <v>0</v>
      </c>
      <c r="O967" s="6" t="s">
        <v>2</v>
      </c>
    </row>
    <row r="968" spans="1:15" x14ac:dyDescent="0.25">
      <c r="A968">
        <v>967</v>
      </c>
      <c r="B968" t="s">
        <v>1242</v>
      </c>
      <c r="C968" t="s">
        <v>1285</v>
      </c>
      <c r="D968" t="s">
        <v>1287</v>
      </c>
      <c r="E968" t="s">
        <v>292</v>
      </c>
      <c r="F968" t="s">
        <v>2</v>
      </c>
      <c r="G968" t="s">
        <v>48</v>
      </c>
      <c r="H968" t="s">
        <v>39</v>
      </c>
      <c r="I968" s="5" t="s">
        <v>294</v>
      </c>
      <c r="J968" s="5" t="s">
        <v>2</v>
      </c>
      <c r="K968" s="5" t="s">
        <v>2</v>
      </c>
      <c r="L968" s="6">
        <f>IF(I968="Cut","",IF(I968="Your call","(decide)",IF(I968="Rename",J968,IF(I968="Keep",IF(D968="",E968,D968),IF(E968="(unchanged)",D968,E968)))))</f>
      </c>
      <c r="M968" s="6">
        <f>IF(AND(I968="Cut",N968&gt;0,K968=""),"USED: say what replaces it (Note)",IF(AND(I968="Rename",J968=""),"type the new name",IF(AND(L968&lt;&gt;"",L968&lt;&gt;"(decide)",COUNTIF($L$2:$L$1680,L968)&gt;1),"SAME FINAL NAME AS ANOTHER ROW","")))</f>
      </c>
      <c r="N968" s="6">
        <v>2</v>
      </c>
      <c r="O968" s="6" t="s">
        <v>2</v>
      </c>
    </row>
    <row r="969" spans="1:15" x14ac:dyDescent="0.25">
      <c r="A969">
        <v>968</v>
      </c>
      <c r="B969" t="s">
        <v>1242</v>
      </c>
      <c r="C969" t="s">
        <v>1288</v>
      </c>
      <c r="D969" t="s">
        <v>1289</v>
      </c>
      <c r="E969" t="s">
        <v>292</v>
      </c>
      <c r="F969" t="s">
        <v>2</v>
      </c>
      <c r="G969" t="s">
        <v>38</v>
      </c>
      <c r="H969" t="s">
        <v>39</v>
      </c>
      <c r="I969" s="5" t="s">
        <v>294</v>
      </c>
      <c r="J969" s="5" t="s">
        <v>2</v>
      </c>
      <c r="K969" s="5" t="s">
        <v>2</v>
      </c>
      <c r="L969" s="6">
        <f>IF(I969="Cut","",IF(I969="Your call","(decide)",IF(I969="Rename",J969,IF(I969="Keep",IF(D969="",E969,D969),IF(E969="(unchanged)",D969,E969)))))</f>
      </c>
      <c r="M969" s="6">
        <f>IF(AND(I969="Cut",N969&gt;0,K969=""),"USED: say what replaces it (Note)",IF(AND(I969="Rename",J969=""),"type the new name",IF(AND(L969&lt;&gt;"",L969&lt;&gt;"(decide)",COUNTIF($L$2:$L$1680,L969)&gt;1),"SAME FINAL NAME AS ANOTHER ROW","")))</f>
      </c>
      <c r="N969" s="6">
        <v>0</v>
      </c>
      <c r="O969" s="6" t="s">
        <v>2</v>
      </c>
    </row>
    <row r="970" spans="1:15" x14ac:dyDescent="0.25">
      <c r="A970">
        <v>969</v>
      </c>
      <c r="B970" t="s">
        <v>1242</v>
      </c>
      <c r="C970" t="s">
        <v>1288</v>
      </c>
      <c r="D970" t="s">
        <v>1290</v>
      </c>
      <c r="E970" t="s">
        <v>292</v>
      </c>
      <c r="F970" t="s">
        <v>2</v>
      </c>
      <c r="G970" t="s">
        <v>38</v>
      </c>
      <c r="H970" t="s">
        <v>39</v>
      </c>
      <c r="I970" s="5" t="s">
        <v>294</v>
      </c>
      <c r="J970" s="5" t="s">
        <v>2</v>
      </c>
      <c r="K970" s="5" t="s">
        <v>2</v>
      </c>
      <c r="L970" s="6">
        <f>IF(I970="Cut","",IF(I970="Your call","(decide)",IF(I970="Rename",J970,IF(I970="Keep",IF(D970="",E970,D970),IF(E970="(unchanged)",D970,E970)))))</f>
      </c>
      <c r="M970" s="6">
        <f>IF(AND(I970="Cut",N970&gt;0,K970=""),"USED: say what replaces it (Note)",IF(AND(I970="Rename",J970=""),"type the new name",IF(AND(L970&lt;&gt;"",L970&lt;&gt;"(decide)",COUNTIF($L$2:$L$1680,L970)&gt;1),"SAME FINAL NAME AS ANOTHER ROW","")))</f>
      </c>
      <c r="N970" s="6">
        <v>0</v>
      </c>
      <c r="O970" s="6" t="s">
        <v>2</v>
      </c>
    </row>
    <row r="971" spans="1:15" x14ac:dyDescent="0.25">
      <c r="A971">
        <v>970</v>
      </c>
      <c r="B971" t="s">
        <v>1242</v>
      </c>
      <c r="C971" t="s">
        <v>1288</v>
      </c>
      <c r="D971" t="s">
        <v>1291</v>
      </c>
      <c r="E971" t="s">
        <v>292</v>
      </c>
      <c r="F971" t="s">
        <v>2</v>
      </c>
      <c r="G971" t="s">
        <v>38</v>
      </c>
      <c r="H971" t="s">
        <v>39</v>
      </c>
      <c r="I971" s="5" t="s">
        <v>294</v>
      </c>
      <c r="J971" s="5" t="s">
        <v>2</v>
      </c>
      <c r="K971" s="5" t="s">
        <v>2</v>
      </c>
      <c r="L971" s="6">
        <f>IF(I971="Cut","",IF(I971="Your call","(decide)",IF(I971="Rename",J971,IF(I971="Keep",IF(D971="",E971,D971),IF(E971="(unchanged)",D971,E971)))))</f>
      </c>
      <c r="M971" s="6">
        <f>IF(AND(I971="Cut",N971&gt;0,K971=""),"USED: say what replaces it (Note)",IF(AND(I971="Rename",J971=""),"type the new name",IF(AND(L971&lt;&gt;"",L971&lt;&gt;"(decide)",COUNTIF($L$2:$L$1680,L971)&gt;1),"SAME FINAL NAME AS ANOTHER ROW","")))</f>
      </c>
      <c r="N971" s="6">
        <v>0</v>
      </c>
      <c r="O971" s="6" t="s">
        <v>2</v>
      </c>
    </row>
    <row r="972" spans="1:15" x14ac:dyDescent="0.25">
      <c r="A972">
        <v>971</v>
      </c>
      <c r="B972" t="s">
        <v>1242</v>
      </c>
      <c r="C972" t="s">
        <v>1292</v>
      </c>
      <c r="D972" t="s">
        <v>1293</v>
      </c>
      <c r="E972" t="s">
        <v>292</v>
      </c>
      <c r="F972" t="s">
        <v>2</v>
      </c>
      <c r="G972" t="s">
        <v>94</v>
      </c>
      <c r="H972" t="s">
        <v>39</v>
      </c>
      <c r="I972" s="5" t="s">
        <v>294</v>
      </c>
      <c r="J972" s="5" t="s">
        <v>2</v>
      </c>
      <c r="K972" s="5" t="s">
        <v>2</v>
      </c>
      <c r="L972" s="6">
        <f>IF(I972="Cut","",IF(I972="Your call","(decide)",IF(I972="Rename",J972,IF(I972="Keep",IF(D972="",E972,D972),IF(E972="(unchanged)",D972,E972)))))</f>
      </c>
      <c r="M972" s="6">
        <f>IF(AND(I972="Cut",N972&gt;0,K972=""),"USED: say what replaces it (Note)",IF(AND(I972="Rename",J972=""),"type the new name",IF(AND(L972&lt;&gt;"",L972&lt;&gt;"(decide)",COUNTIF($L$2:$L$1680,L972)&gt;1),"SAME FINAL NAME AS ANOTHER ROW","")))</f>
      </c>
      <c r="N972" s="6">
        <v>1</v>
      </c>
      <c r="O972" s="6" t="s">
        <v>2</v>
      </c>
    </row>
    <row r="973" spans="1:15" x14ac:dyDescent="0.25">
      <c r="A973">
        <v>972</v>
      </c>
      <c r="B973" t="s">
        <v>1242</v>
      </c>
      <c r="C973" t="s">
        <v>1294</v>
      </c>
      <c r="D973" t="s">
        <v>1295</v>
      </c>
      <c r="E973" t="s">
        <v>292</v>
      </c>
      <c r="F973" t="s">
        <v>2</v>
      </c>
      <c r="G973" t="s">
        <v>38</v>
      </c>
      <c r="H973" t="s">
        <v>39</v>
      </c>
      <c r="I973" s="5" t="s">
        <v>294</v>
      </c>
      <c r="J973" s="5" t="s">
        <v>2</v>
      </c>
      <c r="K973" s="5" t="s">
        <v>2</v>
      </c>
      <c r="L973" s="6">
        <f>IF(I973="Cut","",IF(I973="Your call","(decide)",IF(I973="Rename",J973,IF(I973="Keep",IF(D973="",E973,D973),IF(E973="(unchanged)",D973,E973)))))</f>
      </c>
      <c r="M973" s="6">
        <f>IF(AND(I973="Cut",N973&gt;0,K973=""),"USED: say what replaces it (Note)",IF(AND(I973="Rename",J973=""),"type the new name",IF(AND(L973&lt;&gt;"",L973&lt;&gt;"(decide)",COUNTIF($L$2:$L$1680,L973)&gt;1),"SAME FINAL NAME AS ANOTHER ROW","")))</f>
      </c>
      <c r="N973" s="6">
        <v>0</v>
      </c>
      <c r="O973" s="6" t="s">
        <v>2</v>
      </c>
    </row>
    <row r="974" spans="1:15" x14ac:dyDescent="0.25">
      <c r="A974">
        <v>973</v>
      </c>
      <c r="B974" t="s">
        <v>1242</v>
      </c>
      <c r="C974" t="s">
        <v>1294</v>
      </c>
      <c r="D974" t="s">
        <v>1296</v>
      </c>
      <c r="E974" t="s">
        <v>292</v>
      </c>
      <c r="F974" t="s">
        <v>2</v>
      </c>
      <c r="G974" t="s">
        <v>38</v>
      </c>
      <c r="H974" t="s">
        <v>39</v>
      </c>
      <c r="I974" s="5" t="s">
        <v>294</v>
      </c>
      <c r="J974" s="5" t="s">
        <v>2</v>
      </c>
      <c r="K974" s="5" t="s">
        <v>2</v>
      </c>
      <c r="L974" s="6">
        <f>IF(I974="Cut","",IF(I974="Your call","(decide)",IF(I974="Rename",J974,IF(I974="Keep",IF(D974="",E974,D974),IF(E974="(unchanged)",D974,E974)))))</f>
      </c>
      <c r="M974" s="6">
        <f>IF(AND(I974="Cut",N974&gt;0,K974=""),"USED: say what replaces it (Note)",IF(AND(I974="Rename",J974=""),"type the new name",IF(AND(L974&lt;&gt;"",L974&lt;&gt;"(decide)",COUNTIF($L$2:$L$1680,L974)&gt;1),"SAME FINAL NAME AS ANOTHER ROW","")))</f>
      </c>
      <c r="N974" s="6">
        <v>0</v>
      </c>
      <c r="O974" s="6" t="s">
        <v>2</v>
      </c>
    </row>
    <row r="975" spans="1:15" x14ac:dyDescent="0.25">
      <c r="A975">
        <v>974</v>
      </c>
      <c r="B975" t="s">
        <v>1242</v>
      </c>
      <c r="C975" t="s">
        <v>1294</v>
      </c>
      <c r="D975" t="s">
        <v>1297</v>
      </c>
      <c r="E975" t="s">
        <v>292</v>
      </c>
      <c r="F975" t="s">
        <v>2</v>
      </c>
      <c r="G975" t="s">
        <v>38</v>
      </c>
      <c r="H975" t="s">
        <v>39</v>
      </c>
      <c r="I975" s="5" t="s">
        <v>294</v>
      </c>
      <c r="J975" s="5" t="s">
        <v>2</v>
      </c>
      <c r="K975" s="5" t="s">
        <v>2</v>
      </c>
      <c r="L975" s="6">
        <f>IF(I975="Cut","",IF(I975="Your call","(decide)",IF(I975="Rename",J975,IF(I975="Keep",IF(D975="",E975,D975),IF(E975="(unchanged)",D975,E975)))))</f>
      </c>
      <c r="M975" s="6">
        <f>IF(AND(I975="Cut",N975&gt;0,K975=""),"USED: say what replaces it (Note)",IF(AND(I975="Rename",J975=""),"type the new name",IF(AND(L975&lt;&gt;"",L975&lt;&gt;"(decide)",COUNTIF($L$2:$L$1680,L975)&gt;1),"SAME FINAL NAME AS ANOTHER ROW","")))</f>
      </c>
      <c r="N975" s="6">
        <v>0</v>
      </c>
      <c r="O975" s="6" t="s">
        <v>2</v>
      </c>
    </row>
    <row r="976" spans="1:15" x14ac:dyDescent="0.25">
      <c r="A976">
        <v>975</v>
      </c>
      <c r="B976" t="s">
        <v>1242</v>
      </c>
      <c r="C976" t="s">
        <v>1294</v>
      </c>
      <c r="D976" t="s">
        <v>1298</v>
      </c>
      <c r="E976" t="s">
        <v>292</v>
      </c>
      <c r="F976" t="s">
        <v>2</v>
      </c>
      <c r="G976" t="s">
        <v>38</v>
      </c>
      <c r="H976" t="s">
        <v>39</v>
      </c>
      <c r="I976" s="5" t="s">
        <v>294</v>
      </c>
      <c r="J976" s="5" t="s">
        <v>2</v>
      </c>
      <c r="K976" s="5" t="s">
        <v>2</v>
      </c>
      <c r="L976" s="6">
        <f>IF(I976="Cut","",IF(I976="Your call","(decide)",IF(I976="Rename",J976,IF(I976="Keep",IF(D976="",E976,D976),IF(E976="(unchanged)",D976,E976)))))</f>
      </c>
      <c r="M976" s="6">
        <f>IF(AND(I976="Cut",N976&gt;0,K976=""),"USED: say what replaces it (Note)",IF(AND(I976="Rename",J976=""),"type the new name",IF(AND(L976&lt;&gt;"",L976&lt;&gt;"(decide)",COUNTIF($L$2:$L$1680,L976)&gt;1),"SAME FINAL NAME AS ANOTHER ROW","")))</f>
      </c>
      <c r="N976" s="6">
        <v>0</v>
      </c>
      <c r="O976" s="6" t="s">
        <v>2</v>
      </c>
    </row>
    <row r="977" spans="1:15" x14ac:dyDescent="0.25">
      <c r="A977">
        <v>976</v>
      </c>
      <c r="B977" t="s">
        <v>1242</v>
      </c>
      <c r="C977" t="s">
        <v>1294</v>
      </c>
      <c r="D977" t="s">
        <v>1299</v>
      </c>
      <c r="E977" t="s">
        <v>292</v>
      </c>
      <c r="F977" t="s">
        <v>2</v>
      </c>
      <c r="G977" t="s">
        <v>38</v>
      </c>
      <c r="H977" t="s">
        <v>39</v>
      </c>
      <c r="I977" s="5" t="s">
        <v>294</v>
      </c>
      <c r="J977" s="5" t="s">
        <v>2</v>
      </c>
      <c r="K977" s="5" t="s">
        <v>2</v>
      </c>
      <c r="L977" s="6">
        <f>IF(I977="Cut","",IF(I977="Your call","(decide)",IF(I977="Rename",J977,IF(I977="Keep",IF(D977="",E977,D977),IF(E977="(unchanged)",D977,E977)))))</f>
      </c>
      <c r="M977" s="6">
        <f>IF(AND(I977="Cut",N977&gt;0,K977=""),"USED: say what replaces it (Note)",IF(AND(I977="Rename",J977=""),"type the new name",IF(AND(L977&lt;&gt;"",L977&lt;&gt;"(decide)",COUNTIF($L$2:$L$1680,L977)&gt;1),"SAME FINAL NAME AS ANOTHER ROW","")))</f>
      </c>
      <c r="N977" s="6">
        <v>0</v>
      </c>
      <c r="O977" s="6" t="s">
        <v>2</v>
      </c>
    </row>
    <row r="978" spans="1:15" x14ac:dyDescent="0.25">
      <c r="A978">
        <v>977</v>
      </c>
      <c r="B978" t="s">
        <v>1242</v>
      </c>
      <c r="C978" t="s">
        <v>1300</v>
      </c>
      <c r="D978" t="s">
        <v>1301</v>
      </c>
      <c r="E978" t="s">
        <v>292</v>
      </c>
      <c r="F978" t="s">
        <v>2</v>
      </c>
      <c r="G978" t="s">
        <v>38</v>
      </c>
      <c r="H978" t="s">
        <v>39</v>
      </c>
      <c r="I978" s="5" t="s">
        <v>294</v>
      </c>
      <c r="J978" s="5" t="s">
        <v>2</v>
      </c>
      <c r="K978" s="5" t="s">
        <v>2</v>
      </c>
      <c r="L978" s="6">
        <f>IF(I978="Cut","",IF(I978="Your call","(decide)",IF(I978="Rename",J978,IF(I978="Keep",IF(D978="",E978,D978),IF(E978="(unchanged)",D978,E978)))))</f>
      </c>
      <c r="M978" s="6">
        <f>IF(AND(I978="Cut",N978&gt;0,K978=""),"USED: say what replaces it (Note)",IF(AND(I978="Rename",J978=""),"type the new name",IF(AND(L978&lt;&gt;"",L978&lt;&gt;"(decide)",COUNTIF($L$2:$L$1680,L978)&gt;1),"SAME FINAL NAME AS ANOTHER ROW","")))</f>
      </c>
      <c r="N978" s="6">
        <v>0</v>
      </c>
      <c r="O978" s="6" t="s">
        <v>2</v>
      </c>
    </row>
    <row r="979" spans="1:15" x14ac:dyDescent="0.25">
      <c r="A979">
        <v>978</v>
      </c>
      <c r="B979" t="s">
        <v>1242</v>
      </c>
      <c r="C979" t="s">
        <v>1300</v>
      </c>
      <c r="D979" t="s">
        <v>1302</v>
      </c>
      <c r="E979" t="s">
        <v>292</v>
      </c>
      <c r="F979" t="s">
        <v>2</v>
      </c>
      <c r="G979" t="s">
        <v>38</v>
      </c>
      <c r="H979" t="s">
        <v>39</v>
      </c>
      <c r="I979" s="5" t="s">
        <v>294</v>
      </c>
      <c r="J979" s="5" t="s">
        <v>2</v>
      </c>
      <c r="K979" s="5" t="s">
        <v>2</v>
      </c>
      <c r="L979" s="6">
        <f>IF(I979="Cut","",IF(I979="Your call","(decide)",IF(I979="Rename",J979,IF(I979="Keep",IF(D979="",E979,D979),IF(E979="(unchanged)",D979,E979)))))</f>
      </c>
      <c r="M979" s="6">
        <f>IF(AND(I979="Cut",N979&gt;0,K979=""),"USED: say what replaces it (Note)",IF(AND(I979="Rename",J979=""),"type the new name",IF(AND(L979&lt;&gt;"",L979&lt;&gt;"(decide)",COUNTIF($L$2:$L$1680,L979)&gt;1),"SAME FINAL NAME AS ANOTHER ROW","")))</f>
      </c>
      <c r="N979" s="6">
        <v>0</v>
      </c>
      <c r="O979" s="6" t="s">
        <v>2</v>
      </c>
    </row>
    <row r="980" spans="1:15" x14ac:dyDescent="0.25">
      <c r="A980">
        <v>979</v>
      </c>
      <c r="B980" t="s">
        <v>1242</v>
      </c>
      <c r="C980" t="s">
        <v>1303</v>
      </c>
      <c r="D980" t="s">
        <v>1304</v>
      </c>
      <c r="E980" t="s">
        <v>292</v>
      </c>
      <c r="F980" t="s">
        <v>2</v>
      </c>
      <c r="G980" t="s">
        <v>38</v>
      </c>
      <c r="H980" t="s">
        <v>39</v>
      </c>
      <c r="I980" s="5" t="s">
        <v>294</v>
      </c>
      <c r="J980" s="5" t="s">
        <v>2</v>
      </c>
      <c r="K980" s="5" t="s">
        <v>2</v>
      </c>
      <c r="L980" s="6">
        <f>IF(I980="Cut","",IF(I980="Your call","(decide)",IF(I980="Rename",J980,IF(I980="Keep",IF(D980="",E980,D980),IF(E980="(unchanged)",D980,E980)))))</f>
      </c>
      <c r="M980" s="6">
        <f>IF(AND(I980="Cut",N980&gt;0,K980=""),"USED: say what replaces it (Note)",IF(AND(I980="Rename",J980=""),"type the new name",IF(AND(L980&lt;&gt;"",L980&lt;&gt;"(decide)",COUNTIF($L$2:$L$1680,L980)&gt;1),"SAME FINAL NAME AS ANOTHER ROW","")))</f>
      </c>
      <c r="N980" s="6">
        <v>0</v>
      </c>
      <c r="O980" s="6" t="s">
        <v>2</v>
      </c>
    </row>
    <row r="981" spans="1:15" x14ac:dyDescent="0.25">
      <c r="A981">
        <v>980</v>
      </c>
      <c r="B981" t="s">
        <v>1242</v>
      </c>
      <c r="C981" t="s">
        <v>1303</v>
      </c>
      <c r="D981" t="s">
        <v>1305</v>
      </c>
      <c r="E981" t="s">
        <v>292</v>
      </c>
      <c r="F981" t="s">
        <v>2</v>
      </c>
      <c r="G981" t="s">
        <v>38</v>
      </c>
      <c r="H981" t="s">
        <v>39</v>
      </c>
      <c r="I981" s="5" t="s">
        <v>294</v>
      </c>
      <c r="J981" s="5" t="s">
        <v>2</v>
      </c>
      <c r="K981" s="5" t="s">
        <v>2</v>
      </c>
      <c r="L981" s="6">
        <f>IF(I981="Cut","",IF(I981="Your call","(decide)",IF(I981="Rename",J981,IF(I981="Keep",IF(D981="",E981,D981),IF(E981="(unchanged)",D981,E981)))))</f>
      </c>
      <c r="M981" s="6">
        <f>IF(AND(I981="Cut",N981&gt;0,K981=""),"USED: say what replaces it (Note)",IF(AND(I981="Rename",J981=""),"type the new name",IF(AND(L981&lt;&gt;"",L981&lt;&gt;"(decide)",COUNTIF($L$2:$L$1680,L981)&gt;1),"SAME FINAL NAME AS ANOTHER ROW","")))</f>
      </c>
      <c r="N981" s="6">
        <v>0</v>
      </c>
      <c r="O981" s="6" t="s">
        <v>2</v>
      </c>
    </row>
    <row r="982" spans="1:15" x14ac:dyDescent="0.25">
      <c r="A982">
        <v>981</v>
      </c>
      <c r="B982" t="s">
        <v>1242</v>
      </c>
      <c r="C982" t="s">
        <v>1306</v>
      </c>
      <c r="D982" t="s">
        <v>1307</v>
      </c>
      <c r="E982" t="s">
        <v>292</v>
      </c>
      <c r="F982" t="s">
        <v>2</v>
      </c>
      <c r="G982" t="s">
        <v>94</v>
      </c>
      <c r="H982" t="s">
        <v>39</v>
      </c>
      <c r="I982" s="5" t="s">
        <v>294</v>
      </c>
      <c r="J982" s="5" t="s">
        <v>2</v>
      </c>
      <c r="K982" s="5" t="s">
        <v>2</v>
      </c>
      <c r="L982" s="6">
        <f>IF(I982="Cut","",IF(I982="Your call","(decide)",IF(I982="Rename",J982,IF(I982="Keep",IF(D982="",E982,D982),IF(E982="(unchanged)",D982,E982)))))</f>
      </c>
      <c r="M982" s="6">
        <f>IF(AND(I982="Cut",N982&gt;0,K982=""),"USED: say what replaces it (Note)",IF(AND(I982="Rename",J982=""),"type the new name",IF(AND(L982&lt;&gt;"",L982&lt;&gt;"(decide)",COUNTIF($L$2:$L$1680,L982)&gt;1),"SAME FINAL NAME AS ANOTHER ROW","")))</f>
      </c>
      <c r="N982" s="6">
        <v>1</v>
      </c>
      <c r="O982" s="6" t="s">
        <v>2</v>
      </c>
    </row>
    <row r="983" spans="1:15" x14ac:dyDescent="0.25">
      <c r="A983">
        <v>982</v>
      </c>
      <c r="B983" t="s">
        <v>1242</v>
      </c>
      <c r="C983" t="s">
        <v>1306</v>
      </c>
      <c r="D983" t="s">
        <v>1308</v>
      </c>
      <c r="E983" t="s">
        <v>292</v>
      </c>
      <c r="F983" t="s">
        <v>2</v>
      </c>
      <c r="G983" t="s">
        <v>38</v>
      </c>
      <c r="H983" t="s">
        <v>39</v>
      </c>
      <c r="I983" s="5" t="s">
        <v>294</v>
      </c>
      <c r="J983" s="5" t="s">
        <v>2</v>
      </c>
      <c r="K983" s="5" t="s">
        <v>2</v>
      </c>
      <c r="L983" s="6">
        <f>IF(I983="Cut","",IF(I983="Your call","(decide)",IF(I983="Rename",J983,IF(I983="Keep",IF(D983="",E983,D983),IF(E983="(unchanged)",D983,E983)))))</f>
      </c>
      <c r="M983" s="6">
        <f>IF(AND(I983="Cut",N983&gt;0,K983=""),"USED: say what replaces it (Note)",IF(AND(I983="Rename",J983=""),"type the new name",IF(AND(L983&lt;&gt;"",L983&lt;&gt;"(decide)",COUNTIF($L$2:$L$1680,L983)&gt;1),"SAME FINAL NAME AS ANOTHER ROW","")))</f>
      </c>
      <c r="N983" s="6">
        <v>0</v>
      </c>
      <c r="O983" s="6" t="s">
        <v>2</v>
      </c>
    </row>
    <row r="984" spans="1:15" x14ac:dyDescent="0.25">
      <c r="A984">
        <v>983</v>
      </c>
      <c r="B984" t="s">
        <v>1242</v>
      </c>
      <c r="C984" t="s">
        <v>1309</v>
      </c>
      <c r="D984" t="s">
        <v>1310</v>
      </c>
      <c r="E984" t="s">
        <v>292</v>
      </c>
      <c r="F984" t="s">
        <v>2</v>
      </c>
      <c r="G984" t="s">
        <v>38</v>
      </c>
      <c r="H984" t="s">
        <v>39</v>
      </c>
      <c r="I984" s="5" t="s">
        <v>294</v>
      </c>
      <c r="J984" s="5" t="s">
        <v>2</v>
      </c>
      <c r="K984" s="5" t="s">
        <v>2</v>
      </c>
      <c r="L984" s="6">
        <f>IF(I984="Cut","",IF(I984="Your call","(decide)",IF(I984="Rename",J984,IF(I984="Keep",IF(D984="",E984,D984),IF(E984="(unchanged)",D984,E984)))))</f>
      </c>
      <c r="M984" s="6">
        <f>IF(AND(I984="Cut",N984&gt;0,K984=""),"USED: say what replaces it (Note)",IF(AND(I984="Rename",J984=""),"type the new name",IF(AND(L984&lt;&gt;"",L984&lt;&gt;"(decide)",COUNTIF($L$2:$L$1680,L984)&gt;1),"SAME FINAL NAME AS ANOTHER ROW","")))</f>
      </c>
      <c r="N984" s="6">
        <v>0</v>
      </c>
      <c r="O984" s="6" t="s">
        <v>2</v>
      </c>
    </row>
    <row r="985" spans="1:15" x14ac:dyDescent="0.25">
      <c r="A985">
        <v>984</v>
      </c>
      <c r="B985" t="s">
        <v>1242</v>
      </c>
      <c r="C985" t="s">
        <v>1309</v>
      </c>
      <c r="D985" t="s">
        <v>1311</v>
      </c>
      <c r="E985" t="s">
        <v>292</v>
      </c>
      <c r="F985" t="s">
        <v>2</v>
      </c>
      <c r="G985" t="s">
        <v>38</v>
      </c>
      <c r="H985" t="s">
        <v>39</v>
      </c>
      <c r="I985" s="5" t="s">
        <v>294</v>
      </c>
      <c r="J985" s="5" t="s">
        <v>2</v>
      </c>
      <c r="K985" s="5" t="s">
        <v>2</v>
      </c>
      <c r="L985" s="6">
        <f>IF(I985="Cut","",IF(I985="Your call","(decide)",IF(I985="Rename",J985,IF(I985="Keep",IF(D985="",E985,D985),IF(E985="(unchanged)",D985,E985)))))</f>
      </c>
      <c r="M985" s="6">
        <f>IF(AND(I985="Cut",N985&gt;0,K985=""),"USED: say what replaces it (Note)",IF(AND(I985="Rename",J985=""),"type the new name",IF(AND(L985&lt;&gt;"",L985&lt;&gt;"(decide)",COUNTIF($L$2:$L$1680,L985)&gt;1),"SAME FINAL NAME AS ANOTHER ROW","")))</f>
      </c>
      <c r="N985" s="6">
        <v>0</v>
      </c>
      <c r="O985" s="6" t="s">
        <v>2</v>
      </c>
    </row>
    <row r="986" spans="1:15" x14ac:dyDescent="0.25">
      <c r="A986">
        <v>985</v>
      </c>
      <c r="B986" t="s">
        <v>1242</v>
      </c>
      <c r="C986" t="s">
        <v>1309</v>
      </c>
      <c r="D986" t="s">
        <v>1312</v>
      </c>
      <c r="E986" t="s">
        <v>292</v>
      </c>
      <c r="F986" t="s">
        <v>2</v>
      </c>
      <c r="G986" t="s">
        <v>38</v>
      </c>
      <c r="H986" t="s">
        <v>39</v>
      </c>
      <c r="I986" s="5" t="s">
        <v>294</v>
      </c>
      <c r="J986" s="5" t="s">
        <v>2</v>
      </c>
      <c r="K986" s="5" t="s">
        <v>2</v>
      </c>
      <c r="L986" s="6">
        <f>IF(I986="Cut","",IF(I986="Your call","(decide)",IF(I986="Rename",J986,IF(I986="Keep",IF(D986="",E986,D986),IF(E986="(unchanged)",D986,E986)))))</f>
      </c>
      <c r="M986" s="6">
        <f>IF(AND(I986="Cut",N986&gt;0,K986=""),"USED: say what replaces it (Note)",IF(AND(I986="Rename",J986=""),"type the new name",IF(AND(L986&lt;&gt;"",L986&lt;&gt;"(decide)",COUNTIF($L$2:$L$1680,L986)&gt;1),"SAME FINAL NAME AS ANOTHER ROW","")))</f>
      </c>
      <c r="N986" s="6">
        <v>0</v>
      </c>
      <c r="O986" s="6" t="s">
        <v>2</v>
      </c>
    </row>
    <row r="987" spans="1:15" x14ac:dyDescent="0.25">
      <c r="A987">
        <v>986</v>
      </c>
      <c r="B987" t="s">
        <v>1242</v>
      </c>
      <c r="C987" t="s">
        <v>1313</v>
      </c>
      <c r="D987" t="s">
        <v>1314</v>
      </c>
      <c r="E987" t="s">
        <v>292</v>
      </c>
      <c r="F987" t="s">
        <v>2</v>
      </c>
      <c r="G987" t="s">
        <v>38</v>
      </c>
      <c r="H987" t="s">
        <v>39</v>
      </c>
      <c r="I987" s="5" t="s">
        <v>294</v>
      </c>
      <c r="J987" s="5" t="s">
        <v>2</v>
      </c>
      <c r="K987" s="5" t="s">
        <v>2</v>
      </c>
      <c r="L987" s="6">
        <f>IF(I987="Cut","",IF(I987="Your call","(decide)",IF(I987="Rename",J987,IF(I987="Keep",IF(D987="",E987,D987),IF(E987="(unchanged)",D987,E987)))))</f>
      </c>
      <c r="M987" s="6">
        <f>IF(AND(I987="Cut",N987&gt;0,K987=""),"USED: say what replaces it (Note)",IF(AND(I987="Rename",J987=""),"type the new name",IF(AND(L987&lt;&gt;"",L987&lt;&gt;"(decide)",COUNTIF($L$2:$L$1680,L987)&gt;1),"SAME FINAL NAME AS ANOTHER ROW","")))</f>
      </c>
      <c r="N987" s="6">
        <v>0</v>
      </c>
      <c r="O987" s="6" t="s">
        <v>2</v>
      </c>
    </row>
    <row r="988" spans="1:15" x14ac:dyDescent="0.25">
      <c r="A988">
        <v>987</v>
      </c>
      <c r="B988" t="s">
        <v>1242</v>
      </c>
      <c r="C988" t="s">
        <v>1313</v>
      </c>
      <c r="D988" t="s">
        <v>1315</v>
      </c>
      <c r="E988" t="s">
        <v>292</v>
      </c>
      <c r="F988" t="s">
        <v>2</v>
      </c>
      <c r="G988" t="s">
        <v>38</v>
      </c>
      <c r="H988" t="s">
        <v>39</v>
      </c>
      <c r="I988" s="5" t="s">
        <v>294</v>
      </c>
      <c r="J988" s="5" t="s">
        <v>2</v>
      </c>
      <c r="K988" s="5" t="s">
        <v>2</v>
      </c>
      <c r="L988" s="6">
        <f>IF(I988="Cut","",IF(I988="Your call","(decide)",IF(I988="Rename",J988,IF(I988="Keep",IF(D988="",E988,D988),IF(E988="(unchanged)",D988,E988)))))</f>
      </c>
      <c r="M988" s="6">
        <f>IF(AND(I988="Cut",N988&gt;0,K988=""),"USED: say what replaces it (Note)",IF(AND(I988="Rename",J988=""),"type the new name",IF(AND(L988&lt;&gt;"",L988&lt;&gt;"(decide)",COUNTIF($L$2:$L$1680,L988)&gt;1),"SAME FINAL NAME AS ANOTHER ROW","")))</f>
      </c>
      <c r="N988" s="6">
        <v>0</v>
      </c>
      <c r="O988" s="6" t="s">
        <v>2</v>
      </c>
    </row>
    <row r="989" spans="1:15" x14ac:dyDescent="0.25">
      <c r="A989">
        <v>988</v>
      </c>
      <c r="B989" t="s">
        <v>1242</v>
      </c>
      <c r="C989" t="s">
        <v>1316</v>
      </c>
      <c r="D989" t="s">
        <v>1317</v>
      </c>
      <c r="E989" t="s">
        <v>292</v>
      </c>
      <c r="F989" t="s">
        <v>2</v>
      </c>
      <c r="G989" t="s">
        <v>38</v>
      </c>
      <c r="H989" t="s">
        <v>39</v>
      </c>
      <c r="I989" s="5" t="s">
        <v>294</v>
      </c>
      <c r="J989" s="5" t="s">
        <v>2</v>
      </c>
      <c r="K989" s="5" t="s">
        <v>2</v>
      </c>
      <c r="L989" s="6">
        <f>IF(I989="Cut","",IF(I989="Your call","(decide)",IF(I989="Rename",J989,IF(I989="Keep",IF(D989="",E989,D989),IF(E989="(unchanged)",D989,E989)))))</f>
      </c>
      <c r="M989" s="6">
        <f>IF(AND(I989="Cut",N989&gt;0,K989=""),"USED: say what replaces it (Note)",IF(AND(I989="Rename",J989=""),"type the new name",IF(AND(L989&lt;&gt;"",L989&lt;&gt;"(decide)",COUNTIF($L$2:$L$1680,L989)&gt;1),"SAME FINAL NAME AS ANOTHER ROW","")))</f>
      </c>
      <c r="N989" s="6">
        <v>0</v>
      </c>
      <c r="O989" s="6" t="s">
        <v>2</v>
      </c>
    </row>
    <row r="990" spans="1:15" x14ac:dyDescent="0.25">
      <c r="A990">
        <v>989</v>
      </c>
      <c r="B990" t="s">
        <v>1242</v>
      </c>
      <c r="C990" t="s">
        <v>1316</v>
      </c>
      <c r="D990" t="s">
        <v>1318</v>
      </c>
      <c r="E990" t="s">
        <v>292</v>
      </c>
      <c r="F990" t="s">
        <v>2</v>
      </c>
      <c r="G990" t="s">
        <v>38</v>
      </c>
      <c r="H990" t="s">
        <v>39</v>
      </c>
      <c r="I990" s="5" t="s">
        <v>294</v>
      </c>
      <c r="J990" s="5" t="s">
        <v>2</v>
      </c>
      <c r="K990" s="5" t="s">
        <v>2</v>
      </c>
      <c r="L990" s="6">
        <f>IF(I990="Cut","",IF(I990="Your call","(decide)",IF(I990="Rename",J990,IF(I990="Keep",IF(D990="",E990,D990),IF(E990="(unchanged)",D990,E990)))))</f>
      </c>
      <c r="M990" s="6">
        <f>IF(AND(I990="Cut",N990&gt;0,K990=""),"USED: say what replaces it (Note)",IF(AND(I990="Rename",J990=""),"type the new name",IF(AND(L990&lt;&gt;"",L990&lt;&gt;"(decide)",COUNTIF($L$2:$L$1680,L990)&gt;1),"SAME FINAL NAME AS ANOTHER ROW","")))</f>
      </c>
      <c r="N990" s="6">
        <v>0</v>
      </c>
      <c r="O990" s="6" t="s">
        <v>2</v>
      </c>
    </row>
    <row r="991" spans="1:15" x14ac:dyDescent="0.25">
      <c r="A991">
        <v>990</v>
      </c>
      <c r="B991" t="s">
        <v>1242</v>
      </c>
      <c r="C991" t="s">
        <v>1316</v>
      </c>
      <c r="D991" t="s">
        <v>1319</v>
      </c>
      <c r="E991" t="s">
        <v>292</v>
      </c>
      <c r="F991" t="s">
        <v>2</v>
      </c>
      <c r="G991" t="s">
        <v>38</v>
      </c>
      <c r="H991" t="s">
        <v>39</v>
      </c>
      <c r="I991" s="5" t="s">
        <v>294</v>
      </c>
      <c r="J991" s="5" t="s">
        <v>2</v>
      </c>
      <c r="K991" s="5" t="s">
        <v>2</v>
      </c>
      <c r="L991" s="6">
        <f>IF(I991="Cut","",IF(I991="Your call","(decide)",IF(I991="Rename",J991,IF(I991="Keep",IF(D991="",E991,D991),IF(E991="(unchanged)",D991,E991)))))</f>
      </c>
      <c r="M991" s="6">
        <f>IF(AND(I991="Cut",N991&gt;0,K991=""),"USED: say what replaces it (Note)",IF(AND(I991="Rename",J991=""),"type the new name",IF(AND(L991&lt;&gt;"",L991&lt;&gt;"(decide)",COUNTIF($L$2:$L$1680,L991)&gt;1),"SAME FINAL NAME AS ANOTHER ROW","")))</f>
      </c>
      <c r="N991" s="6">
        <v>0</v>
      </c>
      <c r="O991" s="6" t="s">
        <v>2</v>
      </c>
    </row>
    <row r="992" spans="1:15" x14ac:dyDescent="0.25">
      <c r="A992">
        <v>991</v>
      </c>
      <c r="B992" t="s">
        <v>1242</v>
      </c>
      <c r="C992" t="s">
        <v>1320</v>
      </c>
      <c r="D992" t="s">
        <v>1321</v>
      </c>
      <c r="E992" t="s">
        <v>292</v>
      </c>
      <c r="F992" t="s">
        <v>2</v>
      </c>
      <c r="G992" t="s">
        <v>38</v>
      </c>
      <c r="H992" t="s">
        <v>39</v>
      </c>
      <c r="I992" s="5" t="s">
        <v>294</v>
      </c>
      <c r="J992" s="5" t="s">
        <v>2</v>
      </c>
      <c r="K992" s="5" t="s">
        <v>2</v>
      </c>
      <c r="L992" s="6">
        <f>IF(I992="Cut","",IF(I992="Your call","(decide)",IF(I992="Rename",J992,IF(I992="Keep",IF(D992="",E992,D992),IF(E992="(unchanged)",D992,E992)))))</f>
      </c>
      <c r="M992" s="6">
        <f>IF(AND(I992="Cut",N992&gt;0,K992=""),"USED: say what replaces it (Note)",IF(AND(I992="Rename",J992=""),"type the new name",IF(AND(L992&lt;&gt;"",L992&lt;&gt;"(decide)",COUNTIF($L$2:$L$1680,L992)&gt;1),"SAME FINAL NAME AS ANOTHER ROW","")))</f>
      </c>
      <c r="N992" s="6">
        <v>0</v>
      </c>
      <c r="O992" s="6" t="s">
        <v>2</v>
      </c>
    </row>
    <row r="993" spans="1:15" x14ac:dyDescent="0.25">
      <c r="A993">
        <v>992</v>
      </c>
      <c r="B993" t="s">
        <v>1242</v>
      </c>
      <c r="C993" t="s">
        <v>1322</v>
      </c>
      <c r="D993" t="s">
        <v>1323</v>
      </c>
      <c r="E993" t="s">
        <v>292</v>
      </c>
      <c r="F993" t="s">
        <v>2</v>
      </c>
      <c r="G993" t="s">
        <v>94</v>
      </c>
      <c r="H993" t="s">
        <v>39</v>
      </c>
      <c r="I993" s="5" t="s">
        <v>294</v>
      </c>
      <c r="J993" s="5" t="s">
        <v>2</v>
      </c>
      <c r="K993" s="5" t="s">
        <v>2</v>
      </c>
      <c r="L993" s="6">
        <f>IF(I993="Cut","",IF(I993="Your call","(decide)",IF(I993="Rename",J993,IF(I993="Keep",IF(D993="",E993,D993),IF(E993="(unchanged)",D993,E993)))))</f>
      </c>
      <c r="M993" s="6">
        <f>IF(AND(I993="Cut",N993&gt;0,K993=""),"USED: say what replaces it (Note)",IF(AND(I993="Rename",J993=""),"type the new name",IF(AND(L993&lt;&gt;"",L993&lt;&gt;"(decide)",COUNTIF($L$2:$L$1680,L993)&gt;1),"SAME FINAL NAME AS ANOTHER ROW","")))</f>
      </c>
      <c r="N993" s="6">
        <v>1</v>
      </c>
      <c r="O993" s="6" t="s">
        <v>2</v>
      </c>
    </row>
    <row r="994" spans="1:15" x14ac:dyDescent="0.25">
      <c r="A994">
        <v>993</v>
      </c>
      <c r="B994" t="s">
        <v>1242</v>
      </c>
      <c r="C994" t="s">
        <v>1322</v>
      </c>
      <c r="D994" t="s">
        <v>1324</v>
      </c>
      <c r="E994" t="s">
        <v>292</v>
      </c>
      <c r="F994" t="s">
        <v>2</v>
      </c>
      <c r="G994" t="s">
        <v>94</v>
      </c>
      <c r="H994" t="s">
        <v>39</v>
      </c>
      <c r="I994" s="5" t="s">
        <v>294</v>
      </c>
      <c r="J994" s="5" t="s">
        <v>2</v>
      </c>
      <c r="K994" s="5" t="s">
        <v>2</v>
      </c>
      <c r="L994" s="6">
        <f>IF(I994="Cut","",IF(I994="Your call","(decide)",IF(I994="Rename",J994,IF(I994="Keep",IF(D994="",E994,D994),IF(E994="(unchanged)",D994,E994)))))</f>
      </c>
      <c r="M994" s="6">
        <f>IF(AND(I994="Cut",N994&gt;0,K994=""),"USED: say what replaces it (Note)",IF(AND(I994="Rename",J994=""),"type the new name",IF(AND(L994&lt;&gt;"",L994&lt;&gt;"(decide)",COUNTIF($L$2:$L$1680,L994)&gt;1),"SAME FINAL NAME AS ANOTHER ROW","")))</f>
      </c>
      <c r="N994" s="6">
        <v>1</v>
      </c>
      <c r="O994" s="6" t="s">
        <v>2</v>
      </c>
    </row>
    <row r="995" spans="1:15" x14ac:dyDescent="0.25">
      <c r="A995">
        <v>994</v>
      </c>
      <c r="B995" t="s">
        <v>1242</v>
      </c>
      <c r="C995" t="s">
        <v>1322</v>
      </c>
      <c r="D995" t="s">
        <v>1325</v>
      </c>
      <c r="E995" t="s">
        <v>292</v>
      </c>
      <c r="F995" t="s">
        <v>2</v>
      </c>
      <c r="G995" t="s">
        <v>38</v>
      </c>
      <c r="H995" t="s">
        <v>39</v>
      </c>
      <c r="I995" s="5" t="s">
        <v>294</v>
      </c>
      <c r="J995" s="5" t="s">
        <v>2</v>
      </c>
      <c r="K995" s="5" t="s">
        <v>2</v>
      </c>
      <c r="L995" s="6">
        <f>IF(I995="Cut","",IF(I995="Your call","(decide)",IF(I995="Rename",J995,IF(I995="Keep",IF(D995="",E995,D995),IF(E995="(unchanged)",D995,E995)))))</f>
      </c>
      <c r="M995" s="6">
        <f>IF(AND(I995="Cut",N995&gt;0,K995=""),"USED: say what replaces it (Note)",IF(AND(I995="Rename",J995=""),"type the new name",IF(AND(L995&lt;&gt;"",L995&lt;&gt;"(decide)",COUNTIF($L$2:$L$1680,L995)&gt;1),"SAME FINAL NAME AS ANOTHER ROW","")))</f>
      </c>
      <c r="N995" s="6">
        <v>0</v>
      </c>
      <c r="O995" s="6" t="s">
        <v>2</v>
      </c>
    </row>
    <row r="996" spans="1:15" x14ac:dyDescent="0.25">
      <c r="A996">
        <v>995</v>
      </c>
      <c r="B996" t="s">
        <v>1242</v>
      </c>
      <c r="C996" t="s">
        <v>1326</v>
      </c>
      <c r="D996" t="s">
        <v>1327</v>
      </c>
      <c r="E996" t="s">
        <v>292</v>
      </c>
      <c r="F996" t="s">
        <v>2</v>
      </c>
      <c r="G996" t="s">
        <v>94</v>
      </c>
      <c r="H996" t="s">
        <v>39</v>
      </c>
      <c r="I996" s="5" t="s">
        <v>294</v>
      </c>
      <c r="J996" s="5" t="s">
        <v>2</v>
      </c>
      <c r="K996" s="5" t="s">
        <v>2</v>
      </c>
      <c r="L996" s="6">
        <f>IF(I996="Cut","",IF(I996="Your call","(decide)",IF(I996="Rename",J996,IF(I996="Keep",IF(D996="",E996,D996),IF(E996="(unchanged)",D996,E996)))))</f>
      </c>
      <c r="M996" s="6">
        <f>IF(AND(I996="Cut",N996&gt;0,K996=""),"USED: say what replaces it (Note)",IF(AND(I996="Rename",J996=""),"type the new name",IF(AND(L996&lt;&gt;"",L996&lt;&gt;"(decide)",COUNTIF($L$2:$L$1680,L996)&gt;1),"SAME FINAL NAME AS ANOTHER ROW","")))</f>
      </c>
      <c r="N996" s="6">
        <v>1</v>
      </c>
      <c r="O996" s="6" t="s">
        <v>2</v>
      </c>
    </row>
    <row r="997" spans="1:15" x14ac:dyDescent="0.25">
      <c r="A997">
        <v>996</v>
      </c>
      <c r="B997" t="s">
        <v>1242</v>
      </c>
      <c r="C997" t="s">
        <v>1328</v>
      </c>
      <c r="D997" t="s">
        <v>1329</v>
      </c>
      <c r="E997" t="s">
        <v>292</v>
      </c>
      <c r="F997" t="s">
        <v>2</v>
      </c>
      <c r="G997" t="s">
        <v>71</v>
      </c>
      <c r="H997" t="s">
        <v>39</v>
      </c>
      <c r="I997" s="5" t="s">
        <v>294</v>
      </c>
      <c r="J997" s="5" t="s">
        <v>2</v>
      </c>
      <c r="K997" s="5" t="s">
        <v>2</v>
      </c>
      <c r="L997" s="6">
        <f>IF(I997="Cut","",IF(I997="Your call","(decide)",IF(I997="Rename",J997,IF(I997="Keep",IF(D997="",E997,D997),IF(E997="(unchanged)",D997,E997)))))</f>
      </c>
      <c r="M997" s="6">
        <f>IF(AND(I997="Cut",N997&gt;0,K997=""),"USED: say what replaces it (Note)",IF(AND(I997="Rename",J997=""),"type the new name",IF(AND(L997&lt;&gt;"",L997&lt;&gt;"(decide)",COUNTIF($L$2:$L$1680,L997)&gt;1),"SAME FINAL NAME AS ANOTHER ROW","")))</f>
      </c>
      <c r="N997" s="6">
        <v>4</v>
      </c>
      <c r="O997" s="6" t="s">
        <v>2</v>
      </c>
    </row>
    <row r="998" spans="1:15" x14ac:dyDescent="0.25">
      <c r="A998">
        <v>997</v>
      </c>
      <c r="B998" t="s">
        <v>1242</v>
      </c>
      <c r="C998" t="s">
        <v>1328</v>
      </c>
      <c r="D998" t="s">
        <v>1330</v>
      </c>
      <c r="E998" t="s">
        <v>292</v>
      </c>
      <c r="F998" t="s">
        <v>2</v>
      </c>
      <c r="G998" t="s">
        <v>94</v>
      </c>
      <c r="H998" t="s">
        <v>39</v>
      </c>
      <c r="I998" s="5" t="s">
        <v>294</v>
      </c>
      <c r="J998" s="5" t="s">
        <v>2</v>
      </c>
      <c r="K998" s="5" t="s">
        <v>2</v>
      </c>
      <c r="L998" s="6">
        <f>IF(I998="Cut","",IF(I998="Your call","(decide)",IF(I998="Rename",J998,IF(I998="Keep",IF(D998="",E998,D998),IF(E998="(unchanged)",D998,E998)))))</f>
      </c>
      <c r="M998" s="6">
        <f>IF(AND(I998="Cut",N998&gt;0,K998=""),"USED: say what replaces it (Note)",IF(AND(I998="Rename",J998=""),"type the new name",IF(AND(L998&lt;&gt;"",L998&lt;&gt;"(decide)",COUNTIF($L$2:$L$1680,L998)&gt;1),"SAME FINAL NAME AS ANOTHER ROW","")))</f>
      </c>
      <c r="N998" s="6">
        <v>1</v>
      </c>
      <c r="O998" s="6" t="s">
        <v>2</v>
      </c>
    </row>
    <row r="999" spans="1:15" x14ac:dyDescent="0.25">
      <c r="A999">
        <v>998</v>
      </c>
      <c r="B999" t="s">
        <v>1242</v>
      </c>
      <c r="C999" t="s">
        <v>1328</v>
      </c>
      <c r="D999" t="s">
        <v>1331</v>
      </c>
      <c r="E999" t="s">
        <v>292</v>
      </c>
      <c r="F999" t="s">
        <v>2</v>
      </c>
      <c r="G999" t="s">
        <v>38</v>
      </c>
      <c r="H999" t="s">
        <v>39</v>
      </c>
      <c r="I999" s="5" t="s">
        <v>294</v>
      </c>
      <c r="J999" s="5" t="s">
        <v>2</v>
      </c>
      <c r="K999" s="5" t="s">
        <v>2</v>
      </c>
      <c r="L999" s="6">
        <f>IF(I999="Cut","",IF(I999="Your call","(decide)",IF(I999="Rename",J999,IF(I999="Keep",IF(D999="",E999,D999),IF(E999="(unchanged)",D999,E999)))))</f>
      </c>
      <c r="M999" s="6">
        <f>IF(AND(I999="Cut",N999&gt;0,K999=""),"USED: say what replaces it (Note)",IF(AND(I999="Rename",J999=""),"type the new name",IF(AND(L999&lt;&gt;"",L999&lt;&gt;"(decide)",COUNTIF($L$2:$L$1680,L999)&gt;1),"SAME FINAL NAME AS ANOTHER ROW","")))</f>
      </c>
      <c r="N999" s="6">
        <v>0</v>
      </c>
      <c r="O999" s="6" t="s">
        <v>2</v>
      </c>
    </row>
    <row r="1000" spans="1:15" x14ac:dyDescent="0.25">
      <c r="A1000">
        <v>999</v>
      </c>
      <c r="B1000" t="s">
        <v>1242</v>
      </c>
      <c r="C1000" t="s">
        <v>1328</v>
      </c>
      <c r="D1000" t="s">
        <v>1332</v>
      </c>
      <c r="E1000" t="s">
        <v>292</v>
      </c>
      <c r="F1000" t="s">
        <v>2</v>
      </c>
      <c r="G1000" t="s">
        <v>38</v>
      </c>
      <c r="H1000" t="s">
        <v>39</v>
      </c>
      <c r="I1000" s="5" t="s">
        <v>294</v>
      </c>
      <c r="J1000" s="5" t="s">
        <v>2</v>
      </c>
      <c r="K1000" s="5" t="s">
        <v>2</v>
      </c>
      <c r="L1000" s="6">
        <f>IF(I1000="Cut","",IF(I1000="Your call","(decide)",IF(I1000="Rename",J1000,IF(I1000="Keep",IF(D1000="",E1000,D1000),IF(E1000="(unchanged)",D1000,E1000)))))</f>
      </c>
      <c r="M1000" s="6">
        <f>IF(AND(I1000="Cut",N1000&gt;0,K1000=""),"USED: say what replaces it (Note)",IF(AND(I1000="Rename",J1000=""),"type the new name",IF(AND(L1000&lt;&gt;"",L1000&lt;&gt;"(decide)",COUNTIF($L$2:$L$1680,L1000)&gt;1),"SAME FINAL NAME AS ANOTHER ROW","")))</f>
      </c>
      <c r="N1000" s="6">
        <v>0</v>
      </c>
      <c r="O1000" s="6" t="s">
        <v>2</v>
      </c>
    </row>
    <row r="1001" spans="1:15" x14ac:dyDescent="0.25">
      <c r="A1001">
        <v>1000</v>
      </c>
      <c r="B1001" t="s">
        <v>1242</v>
      </c>
      <c r="C1001" t="s">
        <v>1333</v>
      </c>
      <c r="D1001" t="s">
        <v>1334</v>
      </c>
      <c r="E1001" t="s">
        <v>292</v>
      </c>
      <c r="F1001" t="s">
        <v>2</v>
      </c>
      <c r="G1001" t="s">
        <v>58</v>
      </c>
      <c r="H1001" t="s">
        <v>39</v>
      </c>
      <c r="I1001" s="5" t="s">
        <v>294</v>
      </c>
      <c r="J1001" s="5" t="s">
        <v>2</v>
      </c>
      <c r="K1001" s="5" t="s">
        <v>2</v>
      </c>
      <c r="L1001" s="6">
        <f>IF(I1001="Cut","",IF(I1001="Your call","(decide)",IF(I1001="Rename",J1001,IF(I1001="Keep",IF(D1001="",E1001,D1001),IF(E1001="(unchanged)",D1001,E1001)))))</f>
      </c>
      <c r="M1001" s="6">
        <f>IF(AND(I1001="Cut",N1001&gt;0,K1001=""),"USED: say what replaces it (Note)",IF(AND(I1001="Rename",J1001=""),"type the new name",IF(AND(L1001&lt;&gt;"",L1001&lt;&gt;"(decide)",COUNTIF($L$2:$L$1680,L1001)&gt;1),"SAME FINAL NAME AS ANOTHER ROW","")))</f>
      </c>
      <c r="N1001" s="6">
        <v>3</v>
      </c>
      <c r="O1001" s="6" t="s">
        <v>2</v>
      </c>
    </row>
    <row r="1002" spans="1:15" x14ac:dyDescent="0.25">
      <c r="A1002">
        <v>1001</v>
      </c>
      <c r="B1002" t="s">
        <v>1242</v>
      </c>
      <c r="C1002" t="s">
        <v>1333</v>
      </c>
      <c r="D1002" t="s">
        <v>1335</v>
      </c>
      <c r="E1002" t="s">
        <v>292</v>
      </c>
      <c r="F1002" t="s">
        <v>2</v>
      </c>
      <c r="G1002" t="s">
        <v>94</v>
      </c>
      <c r="H1002" t="s">
        <v>39</v>
      </c>
      <c r="I1002" s="5" t="s">
        <v>294</v>
      </c>
      <c r="J1002" s="5" t="s">
        <v>2</v>
      </c>
      <c r="K1002" s="5" t="s">
        <v>2</v>
      </c>
      <c r="L1002" s="6">
        <f>IF(I1002="Cut","",IF(I1002="Your call","(decide)",IF(I1002="Rename",J1002,IF(I1002="Keep",IF(D1002="",E1002,D1002),IF(E1002="(unchanged)",D1002,E1002)))))</f>
      </c>
      <c r="M1002" s="6">
        <f>IF(AND(I1002="Cut",N1002&gt;0,K1002=""),"USED: say what replaces it (Note)",IF(AND(I1002="Rename",J1002=""),"type the new name",IF(AND(L1002&lt;&gt;"",L1002&lt;&gt;"(decide)",COUNTIF($L$2:$L$1680,L1002)&gt;1),"SAME FINAL NAME AS ANOTHER ROW","")))</f>
      </c>
      <c r="N1002" s="6">
        <v>1</v>
      </c>
      <c r="O1002" s="6" t="s">
        <v>2</v>
      </c>
    </row>
    <row r="1003" spans="1:15" x14ac:dyDescent="0.25">
      <c r="A1003">
        <v>1002</v>
      </c>
      <c r="B1003" t="s">
        <v>1242</v>
      </c>
      <c r="C1003" t="s">
        <v>1333</v>
      </c>
      <c r="D1003" t="s">
        <v>1336</v>
      </c>
      <c r="E1003" t="s">
        <v>292</v>
      </c>
      <c r="F1003" t="s">
        <v>2</v>
      </c>
      <c r="G1003" t="s">
        <v>38</v>
      </c>
      <c r="H1003" t="s">
        <v>39</v>
      </c>
      <c r="I1003" s="5" t="s">
        <v>294</v>
      </c>
      <c r="J1003" s="5" t="s">
        <v>2</v>
      </c>
      <c r="K1003" s="5" t="s">
        <v>2</v>
      </c>
      <c r="L1003" s="6">
        <f>IF(I1003="Cut","",IF(I1003="Your call","(decide)",IF(I1003="Rename",J1003,IF(I1003="Keep",IF(D1003="",E1003,D1003),IF(E1003="(unchanged)",D1003,E1003)))))</f>
      </c>
      <c r="M1003" s="6">
        <f>IF(AND(I1003="Cut",N1003&gt;0,K1003=""),"USED: say what replaces it (Note)",IF(AND(I1003="Rename",J1003=""),"type the new name",IF(AND(L1003&lt;&gt;"",L1003&lt;&gt;"(decide)",COUNTIF($L$2:$L$1680,L1003)&gt;1),"SAME FINAL NAME AS ANOTHER ROW","")))</f>
      </c>
      <c r="N1003" s="6">
        <v>0</v>
      </c>
      <c r="O1003" s="6" t="s">
        <v>2</v>
      </c>
    </row>
    <row r="1004" spans="1:15" x14ac:dyDescent="0.25">
      <c r="A1004">
        <v>1003</v>
      </c>
      <c r="B1004" t="s">
        <v>1242</v>
      </c>
      <c r="C1004" t="s">
        <v>1333</v>
      </c>
      <c r="D1004" t="s">
        <v>1337</v>
      </c>
      <c r="E1004" t="s">
        <v>292</v>
      </c>
      <c r="F1004" t="s">
        <v>2</v>
      </c>
      <c r="G1004" t="s">
        <v>38</v>
      </c>
      <c r="H1004" t="s">
        <v>39</v>
      </c>
      <c r="I1004" s="5" t="s">
        <v>294</v>
      </c>
      <c r="J1004" s="5" t="s">
        <v>2</v>
      </c>
      <c r="K1004" s="5" t="s">
        <v>2</v>
      </c>
      <c r="L1004" s="6">
        <f>IF(I1004="Cut","",IF(I1004="Your call","(decide)",IF(I1004="Rename",J1004,IF(I1004="Keep",IF(D1004="",E1004,D1004),IF(E1004="(unchanged)",D1004,E1004)))))</f>
      </c>
      <c r="M1004" s="6">
        <f>IF(AND(I1004="Cut",N1004&gt;0,K1004=""),"USED: say what replaces it (Note)",IF(AND(I1004="Rename",J1004=""),"type the new name",IF(AND(L1004&lt;&gt;"",L1004&lt;&gt;"(decide)",COUNTIF($L$2:$L$1680,L1004)&gt;1),"SAME FINAL NAME AS ANOTHER ROW","")))</f>
      </c>
      <c r="N1004" s="6">
        <v>0</v>
      </c>
      <c r="O1004" s="6" t="s">
        <v>2</v>
      </c>
    </row>
    <row r="1005" spans="1:15" x14ac:dyDescent="0.25">
      <c r="A1005">
        <v>1004</v>
      </c>
      <c r="B1005" t="s">
        <v>1242</v>
      </c>
      <c r="C1005" t="s">
        <v>1338</v>
      </c>
      <c r="D1005" t="s">
        <v>1339</v>
      </c>
      <c r="E1005" t="s">
        <v>292</v>
      </c>
      <c r="F1005" t="s">
        <v>2</v>
      </c>
      <c r="G1005" t="s">
        <v>48</v>
      </c>
      <c r="H1005" t="s">
        <v>39</v>
      </c>
      <c r="I1005" s="5" t="s">
        <v>294</v>
      </c>
      <c r="J1005" s="5" t="s">
        <v>2</v>
      </c>
      <c r="K1005" s="5" t="s">
        <v>2</v>
      </c>
      <c r="L1005" s="6">
        <f>IF(I1005="Cut","",IF(I1005="Your call","(decide)",IF(I1005="Rename",J1005,IF(I1005="Keep",IF(D1005="",E1005,D1005),IF(E1005="(unchanged)",D1005,E1005)))))</f>
      </c>
      <c r="M1005" s="6">
        <f>IF(AND(I1005="Cut",N1005&gt;0,K1005=""),"USED: say what replaces it (Note)",IF(AND(I1005="Rename",J1005=""),"type the new name",IF(AND(L1005&lt;&gt;"",L1005&lt;&gt;"(decide)",COUNTIF($L$2:$L$1680,L1005)&gt;1),"SAME FINAL NAME AS ANOTHER ROW","")))</f>
      </c>
      <c r="N1005" s="6">
        <v>2</v>
      </c>
      <c r="O1005" s="6" t="s">
        <v>2</v>
      </c>
    </row>
    <row r="1006" spans="1:15" x14ac:dyDescent="0.25">
      <c r="A1006">
        <v>1005</v>
      </c>
      <c r="B1006" t="s">
        <v>1242</v>
      </c>
      <c r="C1006" t="s">
        <v>1340</v>
      </c>
      <c r="D1006" t="s">
        <v>1341</v>
      </c>
      <c r="E1006" t="s">
        <v>292</v>
      </c>
      <c r="F1006" t="s">
        <v>2</v>
      </c>
      <c r="G1006" t="s">
        <v>38</v>
      </c>
      <c r="H1006" t="s">
        <v>39</v>
      </c>
      <c r="I1006" s="5" t="s">
        <v>294</v>
      </c>
      <c r="J1006" s="5" t="s">
        <v>2</v>
      </c>
      <c r="K1006" s="5" t="s">
        <v>2</v>
      </c>
      <c r="L1006" s="6">
        <f>IF(I1006="Cut","",IF(I1006="Your call","(decide)",IF(I1006="Rename",J1006,IF(I1006="Keep",IF(D1006="",E1006,D1006),IF(E1006="(unchanged)",D1006,E1006)))))</f>
      </c>
      <c r="M1006" s="6">
        <f>IF(AND(I1006="Cut",N1006&gt;0,K1006=""),"USED: say what replaces it (Note)",IF(AND(I1006="Rename",J1006=""),"type the new name",IF(AND(L1006&lt;&gt;"",L1006&lt;&gt;"(decide)",COUNTIF($L$2:$L$1680,L1006)&gt;1),"SAME FINAL NAME AS ANOTHER ROW","")))</f>
      </c>
      <c r="N1006" s="6">
        <v>0</v>
      </c>
      <c r="O1006" s="6" t="s">
        <v>2</v>
      </c>
    </row>
    <row r="1007" spans="1:15" x14ac:dyDescent="0.25">
      <c r="A1007">
        <v>1006</v>
      </c>
      <c r="B1007" t="s">
        <v>1242</v>
      </c>
      <c r="C1007" t="s">
        <v>1340</v>
      </c>
      <c r="D1007" t="s">
        <v>1342</v>
      </c>
      <c r="E1007" t="s">
        <v>292</v>
      </c>
      <c r="F1007" t="s">
        <v>2</v>
      </c>
      <c r="G1007" t="s">
        <v>38</v>
      </c>
      <c r="H1007" t="s">
        <v>39</v>
      </c>
      <c r="I1007" s="5" t="s">
        <v>294</v>
      </c>
      <c r="J1007" s="5" t="s">
        <v>2</v>
      </c>
      <c r="K1007" s="5" t="s">
        <v>2</v>
      </c>
      <c r="L1007" s="6">
        <f>IF(I1007="Cut","",IF(I1007="Your call","(decide)",IF(I1007="Rename",J1007,IF(I1007="Keep",IF(D1007="",E1007,D1007),IF(E1007="(unchanged)",D1007,E1007)))))</f>
      </c>
      <c r="M1007" s="6">
        <f>IF(AND(I1007="Cut",N1007&gt;0,K1007=""),"USED: say what replaces it (Note)",IF(AND(I1007="Rename",J1007=""),"type the new name",IF(AND(L1007&lt;&gt;"",L1007&lt;&gt;"(decide)",COUNTIF($L$2:$L$1680,L1007)&gt;1),"SAME FINAL NAME AS ANOTHER ROW","")))</f>
      </c>
      <c r="N1007" s="6">
        <v>0</v>
      </c>
      <c r="O1007" s="6" t="s">
        <v>2</v>
      </c>
    </row>
    <row r="1008" spans="1:15" x14ac:dyDescent="0.25">
      <c r="A1008">
        <v>1007</v>
      </c>
      <c r="B1008" t="s">
        <v>1242</v>
      </c>
      <c r="C1008" t="s">
        <v>2</v>
      </c>
      <c r="D1008" t="s">
        <v>1343</v>
      </c>
      <c r="E1008" t="s">
        <v>292</v>
      </c>
      <c r="F1008" t="s">
        <v>2</v>
      </c>
      <c r="G1008" t="s">
        <v>38</v>
      </c>
      <c r="H1008" t="s">
        <v>39</v>
      </c>
      <c r="I1008" s="5" t="s">
        <v>294</v>
      </c>
      <c r="J1008" s="5" t="s">
        <v>2</v>
      </c>
      <c r="K1008" s="5" t="s">
        <v>2</v>
      </c>
      <c r="L1008" s="6">
        <f>IF(I1008="Cut","",IF(I1008="Your call","(decide)",IF(I1008="Rename",J1008,IF(I1008="Keep",IF(D1008="",E1008,D1008),IF(E1008="(unchanged)",D1008,E1008)))))</f>
      </c>
      <c r="M1008" s="6">
        <f>IF(AND(I1008="Cut",N1008&gt;0,K1008=""),"USED: say what replaces it (Note)",IF(AND(I1008="Rename",J1008=""),"type the new name",IF(AND(L1008&lt;&gt;"",L1008&lt;&gt;"(decide)",COUNTIF($L$2:$L$1680,L1008)&gt;1),"SAME FINAL NAME AS ANOTHER ROW","")))</f>
      </c>
      <c r="N1008" s="6">
        <v>0</v>
      </c>
      <c r="O1008" s="6" t="s">
        <v>2</v>
      </c>
    </row>
    <row r="1009" spans="1:15" x14ac:dyDescent="0.25">
      <c r="A1009">
        <v>1008</v>
      </c>
      <c r="B1009" t="s">
        <v>1242</v>
      </c>
      <c r="C1009" t="s">
        <v>2</v>
      </c>
      <c r="D1009" t="s">
        <v>1344</v>
      </c>
      <c r="E1009" t="s">
        <v>292</v>
      </c>
      <c r="F1009" t="s">
        <v>2</v>
      </c>
      <c r="G1009" t="s">
        <v>38</v>
      </c>
      <c r="H1009" t="s">
        <v>39</v>
      </c>
      <c r="I1009" s="5" t="s">
        <v>294</v>
      </c>
      <c r="J1009" s="5" t="s">
        <v>2</v>
      </c>
      <c r="K1009" s="5" t="s">
        <v>2</v>
      </c>
      <c r="L1009" s="6">
        <f>IF(I1009="Cut","",IF(I1009="Your call","(decide)",IF(I1009="Rename",J1009,IF(I1009="Keep",IF(D1009="",E1009,D1009),IF(E1009="(unchanged)",D1009,E1009)))))</f>
      </c>
      <c r="M1009" s="6">
        <f>IF(AND(I1009="Cut",N1009&gt;0,K1009=""),"USED: say what replaces it (Note)",IF(AND(I1009="Rename",J1009=""),"type the new name",IF(AND(L1009&lt;&gt;"",L1009&lt;&gt;"(decide)",COUNTIF($L$2:$L$1680,L1009)&gt;1),"SAME FINAL NAME AS ANOTHER ROW","")))</f>
      </c>
      <c r="N1009" s="6">
        <v>0</v>
      </c>
      <c r="O1009" s="6" t="s">
        <v>2</v>
      </c>
    </row>
    <row r="1010" spans="1:15" x14ac:dyDescent="0.25">
      <c r="A1010">
        <v>1009</v>
      </c>
      <c r="B1010" t="s">
        <v>1242</v>
      </c>
      <c r="C1010" t="s">
        <v>2</v>
      </c>
      <c r="D1010" t="s">
        <v>1345</v>
      </c>
      <c r="E1010" t="s">
        <v>292</v>
      </c>
      <c r="F1010" t="s">
        <v>2</v>
      </c>
      <c r="G1010" t="s">
        <v>38</v>
      </c>
      <c r="H1010" t="s">
        <v>39</v>
      </c>
      <c r="I1010" s="5" t="s">
        <v>294</v>
      </c>
      <c r="J1010" s="5" t="s">
        <v>2</v>
      </c>
      <c r="K1010" s="5" t="s">
        <v>2</v>
      </c>
      <c r="L1010" s="6">
        <f>IF(I1010="Cut","",IF(I1010="Your call","(decide)",IF(I1010="Rename",J1010,IF(I1010="Keep",IF(D1010="",E1010,D1010),IF(E1010="(unchanged)",D1010,E1010)))))</f>
      </c>
      <c r="M1010" s="6">
        <f>IF(AND(I1010="Cut",N1010&gt;0,K1010=""),"USED: say what replaces it (Note)",IF(AND(I1010="Rename",J1010=""),"type the new name",IF(AND(L1010&lt;&gt;"",L1010&lt;&gt;"(decide)",COUNTIF($L$2:$L$1680,L1010)&gt;1),"SAME FINAL NAME AS ANOTHER ROW","")))</f>
      </c>
      <c r="N1010" s="6">
        <v>0</v>
      </c>
      <c r="O1010" s="6" t="s">
        <v>2</v>
      </c>
    </row>
    <row r="1011" spans="1:15" x14ac:dyDescent="0.25">
      <c r="A1011">
        <v>1010</v>
      </c>
      <c r="B1011" t="s">
        <v>1242</v>
      </c>
      <c r="C1011" t="s">
        <v>2</v>
      </c>
      <c r="D1011" t="s">
        <v>1346</v>
      </c>
      <c r="E1011" t="s">
        <v>292</v>
      </c>
      <c r="F1011" t="s">
        <v>2</v>
      </c>
      <c r="G1011" t="s">
        <v>38</v>
      </c>
      <c r="H1011" t="s">
        <v>39</v>
      </c>
      <c r="I1011" s="5" t="s">
        <v>294</v>
      </c>
      <c r="J1011" s="5" t="s">
        <v>2</v>
      </c>
      <c r="K1011" s="5" t="s">
        <v>2</v>
      </c>
      <c r="L1011" s="6">
        <f>IF(I1011="Cut","",IF(I1011="Your call","(decide)",IF(I1011="Rename",J1011,IF(I1011="Keep",IF(D1011="",E1011,D1011),IF(E1011="(unchanged)",D1011,E1011)))))</f>
      </c>
      <c r="M1011" s="6">
        <f>IF(AND(I1011="Cut",N1011&gt;0,K1011=""),"USED: say what replaces it (Note)",IF(AND(I1011="Rename",J1011=""),"type the new name",IF(AND(L1011&lt;&gt;"",L1011&lt;&gt;"(decide)",COUNTIF($L$2:$L$1680,L1011)&gt;1),"SAME FINAL NAME AS ANOTHER ROW","")))</f>
      </c>
      <c r="N1011" s="6">
        <v>0</v>
      </c>
      <c r="O1011" s="6" t="s">
        <v>2</v>
      </c>
    </row>
    <row r="1012" spans="1:15" x14ac:dyDescent="0.25">
      <c r="A1012">
        <v>1011</v>
      </c>
      <c r="B1012" t="s">
        <v>1242</v>
      </c>
      <c r="C1012" t="s">
        <v>2</v>
      </c>
      <c r="D1012" t="s">
        <v>1347</v>
      </c>
      <c r="E1012" t="s">
        <v>292</v>
      </c>
      <c r="F1012" t="s">
        <v>2</v>
      </c>
      <c r="G1012" t="s">
        <v>38</v>
      </c>
      <c r="H1012" t="s">
        <v>39</v>
      </c>
      <c r="I1012" s="5" t="s">
        <v>294</v>
      </c>
      <c r="J1012" s="5" t="s">
        <v>2</v>
      </c>
      <c r="K1012" s="5" t="s">
        <v>2</v>
      </c>
      <c r="L1012" s="6">
        <f>IF(I1012="Cut","",IF(I1012="Your call","(decide)",IF(I1012="Rename",J1012,IF(I1012="Keep",IF(D1012="",E1012,D1012),IF(E1012="(unchanged)",D1012,E1012)))))</f>
      </c>
      <c r="M1012" s="6">
        <f>IF(AND(I1012="Cut",N1012&gt;0,K1012=""),"USED: say what replaces it (Note)",IF(AND(I1012="Rename",J1012=""),"type the new name",IF(AND(L1012&lt;&gt;"",L1012&lt;&gt;"(decide)",COUNTIF($L$2:$L$1680,L1012)&gt;1),"SAME FINAL NAME AS ANOTHER ROW","")))</f>
      </c>
      <c r="N1012" s="6">
        <v>0</v>
      </c>
      <c r="O1012" s="6" t="s">
        <v>2</v>
      </c>
    </row>
    <row r="1013" spans="1:15" x14ac:dyDescent="0.25">
      <c r="A1013">
        <v>1012</v>
      </c>
      <c r="B1013" t="s">
        <v>1242</v>
      </c>
      <c r="C1013" t="s">
        <v>1348</v>
      </c>
      <c r="D1013" t="s">
        <v>1349</v>
      </c>
      <c r="E1013" t="s">
        <v>292</v>
      </c>
      <c r="F1013" t="s">
        <v>2</v>
      </c>
      <c r="G1013" t="s">
        <v>94</v>
      </c>
      <c r="H1013" t="s">
        <v>39</v>
      </c>
      <c r="I1013" s="5" t="s">
        <v>294</v>
      </c>
      <c r="J1013" s="5" t="s">
        <v>2</v>
      </c>
      <c r="K1013" s="5" t="s">
        <v>2</v>
      </c>
      <c r="L1013" s="6">
        <f>IF(I1013="Cut","",IF(I1013="Your call","(decide)",IF(I1013="Rename",J1013,IF(I1013="Keep",IF(D1013="",E1013,D1013),IF(E1013="(unchanged)",D1013,E1013)))))</f>
      </c>
      <c r="M1013" s="6">
        <f>IF(AND(I1013="Cut",N1013&gt;0,K1013=""),"USED: say what replaces it (Note)",IF(AND(I1013="Rename",J1013=""),"type the new name",IF(AND(L1013&lt;&gt;"",L1013&lt;&gt;"(decide)",COUNTIF($L$2:$L$1680,L1013)&gt;1),"SAME FINAL NAME AS ANOTHER ROW","")))</f>
      </c>
      <c r="N1013" s="6">
        <v>1</v>
      </c>
      <c r="O1013" s="6" t="s">
        <v>2</v>
      </c>
    </row>
    <row r="1014" spans="1:15" x14ac:dyDescent="0.25">
      <c r="A1014">
        <v>1013</v>
      </c>
      <c r="B1014" t="s">
        <v>1242</v>
      </c>
      <c r="C1014" t="s">
        <v>1348</v>
      </c>
      <c r="D1014" t="s">
        <v>1350</v>
      </c>
      <c r="E1014" t="s">
        <v>292</v>
      </c>
      <c r="F1014" t="s">
        <v>2</v>
      </c>
      <c r="G1014" t="s">
        <v>94</v>
      </c>
      <c r="H1014" t="s">
        <v>39</v>
      </c>
      <c r="I1014" s="5" t="s">
        <v>294</v>
      </c>
      <c r="J1014" s="5" t="s">
        <v>2</v>
      </c>
      <c r="K1014" s="5" t="s">
        <v>2</v>
      </c>
      <c r="L1014" s="6">
        <f>IF(I1014="Cut","",IF(I1014="Your call","(decide)",IF(I1014="Rename",J1014,IF(I1014="Keep",IF(D1014="",E1014,D1014),IF(E1014="(unchanged)",D1014,E1014)))))</f>
      </c>
      <c r="M1014" s="6">
        <f>IF(AND(I1014="Cut",N1014&gt;0,K1014=""),"USED: say what replaces it (Note)",IF(AND(I1014="Rename",J1014=""),"type the new name",IF(AND(L1014&lt;&gt;"",L1014&lt;&gt;"(decide)",COUNTIF($L$2:$L$1680,L1014)&gt;1),"SAME FINAL NAME AS ANOTHER ROW","")))</f>
      </c>
      <c r="N1014" s="6">
        <v>1</v>
      </c>
      <c r="O1014" s="6" t="s">
        <v>2</v>
      </c>
    </row>
    <row r="1015" spans="1:15" x14ac:dyDescent="0.25">
      <c r="A1015">
        <v>1014</v>
      </c>
      <c r="B1015" t="s">
        <v>1242</v>
      </c>
      <c r="C1015" t="s">
        <v>1351</v>
      </c>
      <c r="D1015" t="s">
        <v>1352</v>
      </c>
      <c r="E1015" t="s">
        <v>292</v>
      </c>
      <c r="F1015" t="s">
        <v>2</v>
      </c>
      <c r="G1015" t="s">
        <v>38</v>
      </c>
      <c r="H1015" t="s">
        <v>39</v>
      </c>
      <c r="I1015" s="5" t="s">
        <v>294</v>
      </c>
      <c r="J1015" s="5" t="s">
        <v>2</v>
      </c>
      <c r="K1015" s="5" t="s">
        <v>2</v>
      </c>
      <c r="L1015" s="6">
        <f>IF(I1015="Cut","",IF(I1015="Your call","(decide)",IF(I1015="Rename",J1015,IF(I1015="Keep",IF(D1015="",E1015,D1015),IF(E1015="(unchanged)",D1015,E1015)))))</f>
      </c>
      <c r="M1015" s="6">
        <f>IF(AND(I1015="Cut",N1015&gt;0,K1015=""),"USED: say what replaces it (Note)",IF(AND(I1015="Rename",J1015=""),"type the new name",IF(AND(L1015&lt;&gt;"",L1015&lt;&gt;"(decide)",COUNTIF($L$2:$L$1680,L1015)&gt;1),"SAME FINAL NAME AS ANOTHER ROW","")))</f>
      </c>
      <c r="N1015" s="6">
        <v>0</v>
      </c>
      <c r="O1015" s="6" t="s">
        <v>2</v>
      </c>
    </row>
    <row r="1016" spans="1:15" x14ac:dyDescent="0.25">
      <c r="A1016">
        <v>1015</v>
      </c>
      <c r="B1016" t="s">
        <v>1242</v>
      </c>
      <c r="C1016" t="s">
        <v>1353</v>
      </c>
      <c r="D1016" t="s">
        <v>1354</v>
      </c>
      <c r="E1016" t="s">
        <v>292</v>
      </c>
      <c r="F1016" t="s">
        <v>2</v>
      </c>
      <c r="G1016" t="s">
        <v>38</v>
      </c>
      <c r="H1016" t="s">
        <v>39</v>
      </c>
      <c r="I1016" s="5" t="s">
        <v>294</v>
      </c>
      <c r="J1016" s="5" t="s">
        <v>2</v>
      </c>
      <c r="K1016" s="5" t="s">
        <v>2</v>
      </c>
      <c r="L1016" s="6">
        <f>IF(I1016="Cut","",IF(I1016="Your call","(decide)",IF(I1016="Rename",J1016,IF(I1016="Keep",IF(D1016="",E1016,D1016),IF(E1016="(unchanged)",D1016,E1016)))))</f>
      </c>
      <c r="M1016" s="6">
        <f>IF(AND(I1016="Cut",N1016&gt;0,K1016=""),"USED: say what replaces it (Note)",IF(AND(I1016="Rename",J1016=""),"type the new name",IF(AND(L1016&lt;&gt;"",L1016&lt;&gt;"(decide)",COUNTIF($L$2:$L$1680,L1016)&gt;1),"SAME FINAL NAME AS ANOTHER ROW","")))</f>
      </c>
      <c r="N1016" s="6">
        <v>0</v>
      </c>
      <c r="O1016" s="6" t="s">
        <v>2</v>
      </c>
    </row>
    <row r="1017" spans="1:15" x14ac:dyDescent="0.25">
      <c r="A1017">
        <v>1016</v>
      </c>
      <c r="B1017" t="s">
        <v>1242</v>
      </c>
      <c r="C1017" t="s">
        <v>1355</v>
      </c>
      <c r="D1017" t="s">
        <v>1356</v>
      </c>
      <c r="E1017" t="s">
        <v>292</v>
      </c>
      <c r="F1017" t="s">
        <v>2</v>
      </c>
      <c r="G1017" t="s">
        <v>94</v>
      </c>
      <c r="H1017" t="s">
        <v>39</v>
      </c>
      <c r="I1017" s="5" t="s">
        <v>294</v>
      </c>
      <c r="J1017" s="5" t="s">
        <v>2</v>
      </c>
      <c r="K1017" s="5" t="s">
        <v>2</v>
      </c>
      <c r="L1017" s="6">
        <f>IF(I1017="Cut","",IF(I1017="Your call","(decide)",IF(I1017="Rename",J1017,IF(I1017="Keep",IF(D1017="",E1017,D1017),IF(E1017="(unchanged)",D1017,E1017)))))</f>
      </c>
      <c r="M1017" s="6">
        <f>IF(AND(I1017="Cut",N1017&gt;0,K1017=""),"USED: say what replaces it (Note)",IF(AND(I1017="Rename",J1017=""),"type the new name",IF(AND(L1017&lt;&gt;"",L1017&lt;&gt;"(decide)",COUNTIF($L$2:$L$1680,L1017)&gt;1),"SAME FINAL NAME AS ANOTHER ROW","")))</f>
      </c>
      <c r="N1017" s="6">
        <v>1</v>
      </c>
      <c r="O1017" s="6" t="s">
        <v>2</v>
      </c>
    </row>
    <row r="1018" spans="1:15" x14ac:dyDescent="0.25">
      <c r="A1018">
        <v>1017</v>
      </c>
      <c r="B1018" t="s">
        <v>1242</v>
      </c>
      <c r="C1018" t="s">
        <v>1355</v>
      </c>
      <c r="D1018" t="s">
        <v>1357</v>
      </c>
      <c r="E1018" t="s">
        <v>292</v>
      </c>
      <c r="F1018" t="s">
        <v>2</v>
      </c>
      <c r="G1018" t="s">
        <v>38</v>
      </c>
      <c r="H1018" t="s">
        <v>39</v>
      </c>
      <c r="I1018" s="5" t="s">
        <v>294</v>
      </c>
      <c r="J1018" s="5" t="s">
        <v>2</v>
      </c>
      <c r="K1018" s="5" t="s">
        <v>2</v>
      </c>
      <c r="L1018" s="6">
        <f>IF(I1018="Cut","",IF(I1018="Your call","(decide)",IF(I1018="Rename",J1018,IF(I1018="Keep",IF(D1018="",E1018,D1018),IF(E1018="(unchanged)",D1018,E1018)))))</f>
      </c>
      <c r="M1018" s="6">
        <f>IF(AND(I1018="Cut",N1018&gt;0,K1018=""),"USED: say what replaces it (Note)",IF(AND(I1018="Rename",J1018=""),"type the new name",IF(AND(L1018&lt;&gt;"",L1018&lt;&gt;"(decide)",COUNTIF($L$2:$L$1680,L1018)&gt;1),"SAME FINAL NAME AS ANOTHER ROW","")))</f>
      </c>
      <c r="N1018" s="6">
        <v>0</v>
      </c>
      <c r="O1018" s="6" t="s">
        <v>2</v>
      </c>
    </row>
    <row r="1019" spans="1:15" x14ac:dyDescent="0.25">
      <c r="A1019">
        <v>1018</v>
      </c>
      <c r="B1019" t="s">
        <v>1358</v>
      </c>
      <c r="C1019" t="s">
        <v>2</v>
      </c>
      <c r="D1019" t="s">
        <v>1359</v>
      </c>
      <c r="E1019" t="s">
        <v>292</v>
      </c>
      <c r="F1019" t="s">
        <v>2</v>
      </c>
      <c r="G1019" t="s">
        <v>38</v>
      </c>
      <c r="H1019" t="s">
        <v>39</v>
      </c>
      <c r="I1019" s="5" t="s">
        <v>294</v>
      </c>
      <c r="J1019" s="5" t="s">
        <v>2</v>
      </c>
      <c r="K1019" s="5" t="s">
        <v>2</v>
      </c>
      <c r="L1019" s="6">
        <f>IF(I1019="Cut","",IF(I1019="Your call","(decide)",IF(I1019="Rename",J1019,IF(I1019="Keep",IF(D1019="",E1019,D1019),IF(E1019="(unchanged)",D1019,E1019)))))</f>
      </c>
      <c r="M1019" s="6">
        <f>IF(AND(I1019="Cut",N1019&gt;0,K1019=""),"USED: say what replaces it (Note)",IF(AND(I1019="Rename",J1019=""),"type the new name",IF(AND(L1019&lt;&gt;"",L1019&lt;&gt;"(decide)",COUNTIF($L$2:$L$1680,L1019)&gt;1),"SAME FINAL NAME AS ANOTHER ROW","")))</f>
      </c>
      <c r="N1019" s="6">
        <v>0</v>
      </c>
      <c r="O1019" s="6" t="s">
        <v>2</v>
      </c>
    </row>
    <row r="1020" spans="1:15" x14ac:dyDescent="0.25">
      <c r="A1020">
        <v>1019</v>
      </c>
      <c r="B1020" t="s">
        <v>1358</v>
      </c>
      <c r="C1020" t="s">
        <v>2</v>
      </c>
      <c r="D1020" t="s">
        <v>1360</v>
      </c>
      <c r="E1020" t="s">
        <v>292</v>
      </c>
      <c r="F1020" t="s">
        <v>2</v>
      </c>
      <c r="G1020" t="s">
        <v>38</v>
      </c>
      <c r="H1020" t="s">
        <v>39</v>
      </c>
      <c r="I1020" s="5" t="s">
        <v>294</v>
      </c>
      <c r="J1020" s="5" t="s">
        <v>2</v>
      </c>
      <c r="K1020" s="5" t="s">
        <v>2</v>
      </c>
      <c r="L1020" s="6">
        <f>IF(I1020="Cut","",IF(I1020="Your call","(decide)",IF(I1020="Rename",J1020,IF(I1020="Keep",IF(D1020="",E1020,D1020),IF(E1020="(unchanged)",D1020,E1020)))))</f>
      </c>
      <c r="M1020" s="6">
        <f>IF(AND(I1020="Cut",N1020&gt;0,K1020=""),"USED: say what replaces it (Note)",IF(AND(I1020="Rename",J1020=""),"type the new name",IF(AND(L1020&lt;&gt;"",L1020&lt;&gt;"(decide)",COUNTIF($L$2:$L$1680,L1020)&gt;1),"SAME FINAL NAME AS ANOTHER ROW","")))</f>
      </c>
      <c r="N1020" s="6">
        <v>0</v>
      </c>
      <c r="O1020" s="6" t="s">
        <v>2</v>
      </c>
    </row>
    <row r="1021" spans="1:15" x14ac:dyDescent="0.25">
      <c r="A1021">
        <v>1020</v>
      </c>
      <c r="B1021" t="s">
        <v>1358</v>
      </c>
      <c r="C1021" t="s">
        <v>1361</v>
      </c>
      <c r="D1021" t="s">
        <v>1362</v>
      </c>
      <c r="E1021" t="s">
        <v>292</v>
      </c>
      <c r="F1021" t="s">
        <v>2</v>
      </c>
      <c r="G1021" t="s">
        <v>38</v>
      </c>
      <c r="H1021" t="s">
        <v>39</v>
      </c>
      <c r="I1021" s="5" t="s">
        <v>294</v>
      </c>
      <c r="J1021" s="5" t="s">
        <v>2</v>
      </c>
      <c r="K1021" s="5" t="s">
        <v>2</v>
      </c>
      <c r="L1021" s="6">
        <f>IF(I1021="Cut","",IF(I1021="Your call","(decide)",IF(I1021="Rename",J1021,IF(I1021="Keep",IF(D1021="",E1021,D1021),IF(E1021="(unchanged)",D1021,E1021)))))</f>
      </c>
      <c r="M1021" s="6">
        <f>IF(AND(I1021="Cut",N1021&gt;0,K1021=""),"USED: say what replaces it (Note)",IF(AND(I1021="Rename",J1021=""),"type the new name",IF(AND(L1021&lt;&gt;"",L1021&lt;&gt;"(decide)",COUNTIF($L$2:$L$1680,L1021)&gt;1),"SAME FINAL NAME AS ANOTHER ROW","")))</f>
      </c>
      <c r="N1021" s="6">
        <v>0</v>
      </c>
      <c r="O1021" s="6" t="s">
        <v>2</v>
      </c>
    </row>
    <row r="1022" spans="1:15" x14ac:dyDescent="0.25">
      <c r="A1022">
        <v>1021</v>
      </c>
      <c r="B1022" t="s">
        <v>1358</v>
      </c>
      <c r="C1022" t="s">
        <v>1361</v>
      </c>
      <c r="D1022" t="s">
        <v>1363</v>
      </c>
      <c r="E1022" t="s">
        <v>292</v>
      </c>
      <c r="F1022" t="s">
        <v>2</v>
      </c>
      <c r="G1022" t="s">
        <v>38</v>
      </c>
      <c r="H1022" t="s">
        <v>39</v>
      </c>
      <c r="I1022" s="5" t="s">
        <v>294</v>
      </c>
      <c r="J1022" s="5" t="s">
        <v>2</v>
      </c>
      <c r="K1022" s="5" t="s">
        <v>2</v>
      </c>
      <c r="L1022" s="6">
        <f>IF(I1022="Cut","",IF(I1022="Your call","(decide)",IF(I1022="Rename",J1022,IF(I1022="Keep",IF(D1022="",E1022,D1022),IF(E1022="(unchanged)",D1022,E1022)))))</f>
      </c>
      <c r="M1022" s="6">
        <f>IF(AND(I1022="Cut",N1022&gt;0,K1022=""),"USED: say what replaces it (Note)",IF(AND(I1022="Rename",J1022=""),"type the new name",IF(AND(L1022&lt;&gt;"",L1022&lt;&gt;"(decide)",COUNTIF($L$2:$L$1680,L1022)&gt;1),"SAME FINAL NAME AS ANOTHER ROW","")))</f>
      </c>
      <c r="N1022" s="6">
        <v>0</v>
      </c>
      <c r="O1022" s="6" t="s">
        <v>2</v>
      </c>
    </row>
    <row r="1023" spans="1:15" x14ac:dyDescent="0.25">
      <c r="A1023">
        <v>1022</v>
      </c>
      <c r="B1023" t="s">
        <v>1358</v>
      </c>
      <c r="C1023" t="s">
        <v>1361</v>
      </c>
      <c r="D1023" t="s">
        <v>1364</v>
      </c>
      <c r="E1023" t="s">
        <v>292</v>
      </c>
      <c r="F1023" t="s">
        <v>2</v>
      </c>
      <c r="G1023" t="s">
        <v>38</v>
      </c>
      <c r="H1023" t="s">
        <v>39</v>
      </c>
      <c r="I1023" s="5" t="s">
        <v>294</v>
      </c>
      <c r="J1023" s="5" t="s">
        <v>2</v>
      </c>
      <c r="K1023" s="5" t="s">
        <v>2</v>
      </c>
      <c r="L1023" s="6">
        <f>IF(I1023="Cut","",IF(I1023="Your call","(decide)",IF(I1023="Rename",J1023,IF(I1023="Keep",IF(D1023="",E1023,D1023),IF(E1023="(unchanged)",D1023,E1023)))))</f>
      </c>
      <c r="M1023" s="6">
        <f>IF(AND(I1023="Cut",N1023&gt;0,K1023=""),"USED: say what replaces it (Note)",IF(AND(I1023="Rename",J1023=""),"type the new name",IF(AND(L1023&lt;&gt;"",L1023&lt;&gt;"(decide)",COUNTIF($L$2:$L$1680,L1023)&gt;1),"SAME FINAL NAME AS ANOTHER ROW","")))</f>
      </c>
      <c r="N1023" s="6">
        <v>0</v>
      </c>
      <c r="O1023" s="6" t="s">
        <v>2</v>
      </c>
    </row>
    <row r="1024" spans="1:15" x14ac:dyDescent="0.25">
      <c r="A1024">
        <v>1023</v>
      </c>
      <c r="B1024" t="s">
        <v>1358</v>
      </c>
      <c r="C1024" t="s">
        <v>1361</v>
      </c>
      <c r="D1024" t="s">
        <v>1365</v>
      </c>
      <c r="E1024" t="s">
        <v>292</v>
      </c>
      <c r="F1024" t="s">
        <v>2</v>
      </c>
      <c r="G1024" t="s">
        <v>38</v>
      </c>
      <c r="H1024" t="s">
        <v>39</v>
      </c>
      <c r="I1024" s="5" t="s">
        <v>294</v>
      </c>
      <c r="J1024" s="5" t="s">
        <v>2</v>
      </c>
      <c r="K1024" s="5" t="s">
        <v>2</v>
      </c>
      <c r="L1024" s="6">
        <f>IF(I1024="Cut","",IF(I1024="Your call","(decide)",IF(I1024="Rename",J1024,IF(I1024="Keep",IF(D1024="",E1024,D1024),IF(E1024="(unchanged)",D1024,E1024)))))</f>
      </c>
      <c r="M1024" s="6">
        <f>IF(AND(I1024="Cut",N1024&gt;0,K1024=""),"USED: say what replaces it (Note)",IF(AND(I1024="Rename",J1024=""),"type the new name",IF(AND(L1024&lt;&gt;"",L1024&lt;&gt;"(decide)",COUNTIF($L$2:$L$1680,L1024)&gt;1),"SAME FINAL NAME AS ANOTHER ROW","")))</f>
      </c>
      <c r="N1024" s="6">
        <v>0</v>
      </c>
      <c r="O1024" s="6" t="s">
        <v>2</v>
      </c>
    </row>
    <row r="1025" spans="1:15" x14ac:dyDescent="0.25">
      <c r="A1025">
        <v>1024</v>
      </c>
      <c r="B1025" t="s">
        <v>1358</v>
      </c>
      <c r="C1025" t="s">
        <v>1361</v>
      </c>
      <c r="D1025" t="s">
        <v>1366</v>
      </c>
      <c r="E1025" t="s">
        <v>292</v>
      </c>
      <c r="F1025" t="s">
        <v>2</v>
      </c>
      <c r="G1025" t="s">
        <v>38</v>
      </c>
      <c r="H1025" t="s">
        <v>39</v>
      </c>
      <c r="I1025" s="5" t="s">
        <v>294</v>
      </c>
      <c r="J1025" s="5" t="s">
        <v>2</v>
      </c>
      <c r="K1025" s="5" t="s">
        <v>2</v>
      </c>
      <c r="L1025" s="6">
        <f>IF(I1025="Cut","",IF(I1025="Your call","(decide)",IF(I1025="Rename",J1025,IF(I1025="Keep",IF(D1025="",E1025,D1025),IF(E1025="(unchanged)",D1025,E1025)))))</f>
      </c>
      <c r="M1025" s="6">
        <f>IF(AND(I1025="Cut",N1025&gt;0,K1025=""),"USED: say what replaces it (Note)",IF(AND(I1025="Rename",J1025=""),"type the new name",IF(AND(L1025&lt;&gt;"",L1025&lt;&gt;"(decide)",COUNTIF($L$2:$L$1680,L1025)&gt;1),"SAME FINAL NAME AS ANOTHER ROW","")))</f>
      </c>
      <c r="N1025" s="6">
        <v>0</v>
      </c>
      <c r="O1025" s="6" t="s">
        <v>2</v>
      </c>
    </row>
    <row r="1026" spans="1:15" x14ac:dyDescent="0.25">
      <c r="A1026">
        <v>1025</v>
      </c>
      <c r="B1026" t="s">
        <v>1358</v>
      </c>
      <c r="C1026" t="s">
        <v>2</v>
      </c>
      <c r="D1026" t="s">
        <v>1367</v>
      </c>
      <c r="E1026" t="s">
        <v>292</v>
      </c>
      <c r="F1026" t="s">
        <v>2</v>
      </c>
      <c r="G1026" t="s">
        <v>38</v>
      </c>
      <c r="H1026" t="s">
        <v>39</v>
      </c>
      <c r="I1026" s="5" t="s">
        <v>294</v>
      </c>
      <c r="J1026" s="5" t="s">
        <v>2</v>
      </c>
      <c r="K1026" s="5" t="s">
        <v>2</v>
      </c>
      <c r="L1026" s="6">
        <f>IF(I1026="Cut","",IF(I1026="Your call","(decide)",IF(I1026="Rename",J1026,IF(I1026="Keep",IF(D1026="",E1026,D1026),IF(E1026="(unchanged)",D1026,E1026)))))</f>
      </c>
      <c r="M1026" s="6">
        <f>IF(AND(I1026="Cut",N1026&gt;0,K1026=""),"USED: say what replaces it (Note)",IF(AND(I1026="Rename",J1026=""),"type the new name",IF(AND(L1026&lt;&gt;"",L1026&lt;&gt;"(decide)",COUNTIF($L$2:$L$1680,L1026)&gt;1),"SAME FINAL NAME AS ANOTHER ROW","")))</f>
      </c>
      <c r="N1026" s="6">
        <v>0</v>
      </c>
      <c r="O1026" s="6" t="s">
        <v>2</v>
      </c>
    </row>
    <row r="1027" spans="1:15" x14ac:dyDescent="0.25">
      <c r="A1027">
        <v>1026</v>
      </c>
      <c r="B1027" t="s">
        <v>1358</v>
      </c>
      <c r="C1027" t="s">
        <v>2</v>
      </c>
      <c r="D1027" t="s">
        <v>1368</v>
      </c>
      <c r="E1027" t="s">
        <v>292</v>
      </c>
      <c r="F1027" t="s">
        <v>2</v>
      </c>
      <c r="G1027" t="s">
        <v>38</v>
      </c>
      <c r="H1027" t="s">
        <v>39</v>
      </c>
      <c r="I1027" s="5" t="s">
        <v>294</v>
      </c>
      <c r="J1027" s="5" t="s">
        <v>2</v>
      </c>
      <c r="K1027" s="5" t="s">
        <v>2</v>
      </c>
      <c r="L1027" s="6">
        <f>IF(I1027="Cut","",IF(I1027="Your call","(decide)",IF(I1027="Rename",J1027,IF(I1027="Keep",IF(D1027="",E1027,D1027),IF(E1027="(unchanged)",D1027,E1027)))))</f>
      </c>
      <c r="M1027" s="6">
        <f>IF(AND(I1027="Cut",N1027&gt;0,K1027=""),"USED: say what replaces it (Note)",IF(AND(I1027="Rename",J1027=""),"type the new name",IF(AND(L1027&lt;&gt;"",L1027&lt;&gt;"(decide)",COUNTIF($L$2:$L$1680,L1027)&gt;1),"SAME FINAL NAME AS ANOTHER ROW","")))</f>
      </c>
      <c r="N1027" s="6">
        <v>0</v>
      </c>
      <c r="O1027" s="6" t="s">
        <v>2</v>
      </c>
    </row>
    <row r="1028" spans="1:15" x14ac:dyDescent="0.25">
      <c r="A1028">
        <v>1027</v>
      </c>
      <c r="B1028" t="s">
        <v>1358</v>
      </c>
      <c r="C1028" t="s">
        <v>1369</v>
      </c>
      <c r="D1028" t="s">
        <v>1370</v>
      </c>
      <c r="E1028" t="s">
        <v>1371</v>
      </c>
      <c r="F1028" t="s">
        <v>1372</v>
      </c>
      <c r="G1028" t="s">
        <v>38</v>
      </c>
      <c r="H1028" t="s">
        <v>39</v>
      </c>
      <c r="I1028" s="5" t="s">
        <v>40</v>
      </c>
      <c r="J1028" s="5" t="s">
        <v>2</v>
      </c>
      <c r="K1028" s="5" t="s">
        <v>2</v>
      </c>
      <c r="L1028" s="6">
        <f>IF(I1028="Cut","",IF(I1028="Your call","(decide)",IF(I1028="Rename",J1028,IF(I1028="Keep",IF(D1028="",E1028,D1028),IF(E1028="(unchanged)",D1028,E1028)))))</f>
      </c>
      <c r="M1028" s="6">
        <f>IF(AND(I1028="Cut",N1028&gt;0,K1028=""),"USED: say what replaces it (Note)",IF(AND(I1028="Rename",J1028=""),"type the new name",IF(AND(L1028&lt;&gt;"",L1028&lt;&gt;"(decide)",COUNTIF($L$2:$L$1680,L1028)&gt;1),"SAME FINAL NAME AS ANOTHER ROW","")))</f>
      </c>
      <c r="N1028" s="6">
        <v>0</v>
      </c>
      <c r="O1028" s="6" t="s">
        <v>2</v>
      </c>
    </row>
    <row r="1029" spans="1:15" x14ac:dyDescent="0.25">
      <c r="A1029">
        <v>1028</v>
      </c>
      <c r="B1029" t="s">
        <v>1358</v>
      </c>
      <c r="C1029" t="s">
        <v>1369</v>
      </c>
      <c r="D1029" t="s">
        <v>1373</v>
      </c>
      <c r="E1029" t="s">
        <v>1374</v>
      </c>
      <c r="F1029" t="s">
        <v>1372</v>
      </c>
      <c r="G1029" t="s">
        <v>38</v>
      </c>
      <c r="H1029" t="s">
        <v>39</v>
      </c>
      <c r="I1029" s="5" t="s">
        <v>40</v>
      </c>
      <c r="J1029" s="5" t="s">
        <v>2</v>
      </c>
      <c r="K1029" s="5" t="s">
        <v>2</v>
      </c>
      <c r="L1029" s="6">
        <f>IF(I1029="Cut","",IF(I1029="Your call","(decide)",IF(I1029="Rename",J1029,IF(I1029="Keep",IF(D1029="",E1029,D1029),IF(E1029="(unchanged)",D1029,E1029)))))</f>
      </c>
      <c r="M1029" s="6">
        <f>IF(AND(I1029="Cut",N1029&gt;0,K1029=""),"USED: say what replaces it (Note)",IF(AND(I1029="Rename",J1029=""),"type the new name",IF(AND(L1029&lt;&gt;"",L1029&lt;&gt;"(decide)",COUNTIF($L$2:$L$1680,L1029)&gt;1),"SAME FINAL NAME AS ANOTHER ROW","")))</f>
      </c>
      <c r="N1029" s="6">
        <v>0</v>
      </c>
      <c r="O1029" s="6" t="s">
        <v>2</v>
      </c>
    </row>
    <row r="1030" spans="1:15" x14ac:dyDescent="0.25">
      <c r="A1030">
        <v>1029</v>
      </c>
      <c r="B1030" t="s">
        <v>1358</v>
      </c>
      <c r="C1030" t="s">
        <v>1369</v>
      </c>
      <c r="D1030" t="s">
        <v>1375</v>
      </c>
      <c r="E1030" t="s">
        <v>1376</v>
      </c>
      <c r="F1030" t="s">
        <v>1372</v>
      </c>
      <c r="G1030" t="s">
        <v>38</v>
      </c>
      <c r="H1030" t="s">
        <v>39</v>
      </c>
      <c r="I1030" s="5" t="s">
        <v>40</v>
      </c>
      <c r="J1030" s="5" t="s">
        <v>2</v>
      </c>
      <c r="K1030" s="5" t="s">
        <v>2</v>
      </c>
      <c r="L1030" s="6">
        <f>IF(I1030="Cut","",IF(I1030="Your call","(decide)",IF(I1030="Rename",J1030,IF(I1030="Keep",IF(D1030="",E1030,D1030),IF(E1030="(unchanged)",D1030,E1030)))))</f>
      </c>
      <c r="M1030" s="6">
        <f>IF(AND(I1030="Cut",N1030&gt;0,K1030=""),"USED: say what replaces it (Note)",IF(AND(I1030="Rename",J1030=""),"type the new name",IF(AND(L1030&lt;&gt;"",L1030&lt;&gt;"(decide)",COUNTIF($L$2:$L$1680,L1030)&gt;1),"SAME FINAL NAME AS ANOTHER ROW","")))</f>
      </c>
      <c r="N1030" s="6">
        <v>0</v>
      </c>
      <c r="O1030" s="6" t="s">
        <v>2</v>
      </c>
    </row>
    <row r="1031" spans="1:15" x14ac:dyDescent="0.25">
      <c r="A1031">
        <v>1030</v>
      </c>
      <c r="B1031" t="s">
        <v>1358</v>
      </c>
      <c r="C1031" t="s">
        <v>1377</v>
      </c>
      <c r="D1031" t="s">
        <v>1378</v>
      </c>
      <c r="E1031" t="s">
        <v>1379</v>
      </c>
      <c r="F1031" t="s">
        <v>1372</v>
      </c>
      <c r="G1031" t="s">
        <v>94</v>
      </c>
      <c r="H1031" t="s">
        <v>39</v>
      </c>
      <c r="I1031" s="5" t="s">
        <v>40</v>
      </c>
      <c r="J1031" s="5" t="s">
        <v>2</v>
      </c>
      <c r="K1031" s="5" t="s">
        <v>2</v>
      </c>
      <c r="L1031" s="6">
        <f>IF(I1031="Cut","",IF(I1031="Your call","(decide)",IF(I1031="Rename",J1031,IF(I1031="Keep",IF(D1031="",E1031,D1031),IF(E1031="(unchanged)",D1031,E1031)))))</f>
      </c>
      <c r="M1031" s="6">
        <f>IF(AND(I1031="Cut",N1031&gt;0,K1031=""),"USED: say what replaces it (Note)",IF(AND(I1031="Rename",J1031=""),"type the new name",IF(AND(L1031&lt;&gt;"",L1031&lt;&gt;"(decide)",COUNTIF($L$2:$L$1680,L1031)&gt;1),"SAME FINAL NAME AS ANOTHER ROW","")))</f>
      </c>
      <c r="N1031" s="6">
        <v>1</v>
      </c>
      <c r="O1031" s="6" t="s">
        <v>2</v>
      </c>
    </row>
    <row r="1032" spans="1:15" x14ac:dyDescent="0.25">
      <c r="A1032">
        <v>1031</v>
      </c>
      <c r="B1032" t="s">
        <v>1358</v>
      </c>
      <c r="C1032" t="s">
        <v>1377</v>
      </c>
      <c r="D1032" t="s">
        <v>1380</v>
      </c>
      <c r="E1032" t="s">
        <v>1381</v>
      </c>
      <c r="F1032" t="s">
        <v>1372</v>
      </c>
      <c r="G1032" t="s">
        <v>1382</v>
      </c>
      <c r="H1032" t="s">
        <v>39</v>
      </c>
      <c r="I1032" s="5" t="s">
        <v>40</v>
      </c>
      <c r="J1032" s="5" t="s">
        <v>2</v>
      </c>
      <c r="K1032" s="5" t="s">
        <v>2</v>
      </c>
      <c r="L1032" s="6">
        <f>IF(I1032="Cut","",IF(I1032="Your call","(decide)",IF(I1032="Rename",J1032,IF(I1032="Keep",IF(D1032="",E1032,D1032),IF(E1032="(unchanged)",D1032,E1032)))))</f>
      </c>
      <c r="M1032" s="6">
        <f>IF(AND(I1032="Cut",N1032&gt;0,K1032=""),"USED: say what replaces it (Note)",IF(AND(I1032="Rename",J1032=""),"type the new name",IF(AND(L1032&lt;&gt;"",L1032&lt;&gt;"(decide)",COUNTIF($L$2:$L$1680,L1032)&gt;1),"SAME FINAL NAME AS ANOTHER ROW","")))</f>
      </c>
      <c r="N1032" s="6">
        <v>10</v>
      </c>
      <c r="O1032" s="6" t="s">
        <v>2</v>
      </c>
    </row>
    <row r="1033" spans="1:15" x14ac:dyDescent="0.25">
      <c r="A1033">
        <v>1032</v>
      </c>
      <c r="B1033" t="s">
        <v>1358</v>
      </c>
      <c r="C1033" t="s">
        <v>1377</v>
      </c>
      <c r="D1033" t="s">
        <v>1383</v>
      </c>
      <c r="E1033" t="s">
        <v>1384</v>
      </c>
      <c r="F1033" t="s">
        <v>1372</v>
      </c>
      <c r="G1033" t="s">
        <v>38</v>
      </c>
      <c r="H1033" t="s">
        <v>39</v>
      </c>
      <c r="I1033" s="5" t="s">
        <v>40</v>
      </c>
      <c r="J1033" s="5" t="s">
        <v>2</v>
      </c>
      <c r="K1033" s="5" t="s">
        <v>2</v>
      </c>
      <c r="L1033" s="6">
        <f>IF(I1033="Cut","",IF(I1033="Your call","(decide)",IF(I1033="Rename",J1033,IF(I1033="Keep",IF(D1033="",E1033,D1033),IF(E1033="(unchanged)",D1033,E1033)))))</f>
      </c>
      <c r="M1033" s="6">
        <f>IF(AND(I1033="Cut",N1033&gt;0,K1033=""),"USED: say what replaces it (Note)",IF(AND(I1033="Rename",J1033=""),"type the new name",IF(AND(L1033&lt;&gt;"",L1033&lt;&gt;"(decide)",COUNTIF($L$2:$L$1680,L1033)&gt;1),"SAME FINAL NAME AS ANOTHER ROW","")))</f>
      </c>
      <c r="N1033" s="6">
        <v>0</v>
      </c>
      <c r="O1033" s="6" t="s">
        <v>2</v>
      </c>
    </row>
    <row r="1034" spans="1:15" x14ac:dyDescent="0.25">
      <c r="A1034">
        <v>1033</v>
      </c>
      <c r="B1034" t="s">
        <v>1358</v>
      </c>
      <c r="C1034" t="s">
        <v>1377</v>
      </c>
      <c r="D1034" t="s">
        <v>1385</v>
      </c>
      <c r="E1034" t="s">
        <v>1386</v>
      </c>
      <c r="F1034" t="s">
        <v>1372</v>
      </c>
      <c r="G1034" t="s">
        <v>38</v>
      </c>
      <c r="H1034" t="s">
        <v>39</v>
      </c>
      <c r="I1034" s="5" t="s">
        <v>40</v>
      </c>
      <c r="J1034" s="5" t="s">
        <v>2</v>
      </c>
      <c r="K1034" s="5" t="s">
        <v>2</v>
      </c>
      <c r="L1034" s="6">
        <f>IF(I1034="Cut","",IF(I1034="Your call","(decide)",IF(I1034="Rename",J1034,IF(I1034="Keep",IF(D1034="",E1034,D1034),IF(E1034="(unchanged)",D1034,E1034)))))</f>
      </c>
      <c r="M1034" s="6">
        <f>IF(AND(I1034="Cut",N1034&gt;0,K1034=""),"USED: say what replaces it (Note)",IF(AND(I1034="Rename",J1034=""),"type the new name",IF(AND(L1034&lt;&gt;"",L1034&lt;&gt;"(decide)",COUNTIF($L$2:$L$1680,L1034)&gt;1),"SAME FINAL NAME AS ANOTHER ROW","")))</f>
      </c>
      <c r="N1034" s="6">
        <v>0</v>
      </c>
      <c r="O1034" s="6" t="s">
        <v>2</v>
      </c>
    </row>
    <row r="1035" spans="1:15" x14ac:dyDescent="0.25">
      <c r="A1035">
        <v>1034</v>
      </c>
      <c r="B1035" t="s">
        <v>1358</v>
      </c>
      <c r="C1035" t="s">
        <v>1377</v>
      </c>
      <c r="D1035" t="s">
        <v>1387</v>
      </c>
      <c r="E1035" t="s">
        <v>1388</v>
      </c>
      <c r="F1035" t="s">
        <v>1372</v>
      </c>
      <c r="G1035" t="s">
        <v>38</v>
      </c>
      <c r="H1035" t="s">
        <v>39</v>
      </c>
      <c r="I1035" s="5" t="s">
        <v>40</v>
      </c>
      <c r="J1035" s="5" t="s">
        <v>2</v>
      </c>
      <c r="K1035" s="5" t="s">
        <v>2</v>
      </c>
      <c r="L1035" s="6">
        <f>IF(I1035="Cut","",IF(I1035="Your call","(decide)",IF(I1035="Rename",J1035,IF(I1035="Keep",IF(D1035="",E1035,D1035),IF(E1035="(unchanged)",D1035,E1035)))))</f>
      </c>
      <c r="M1035" s="6">
        <f>IF(AND(I1035="Cut",N1035&gt;0,K1035=""),"USED: say what replaces it (Note)",IF(AND(I1035="Rename",J1035=""),"type the new name",IF(AND(L1035&lt;&gt;"",L1035&lt;&gt;"(decide)",COUNTIF($L$2:$L$1680,L1035)&gt;1),"SAME FINAL NAME AS ANOTHER ROW","")))</f>
      </c>
      <c r="N1035" s="6">
        <v>0</v>
      </c>
      <c r="O1035" s="6" t="s">
        <v>2</v>
      </c>
    </row>
    <row r="1036" spans="1:15" x14ac:dyDescent="0.25">
      <c r="A1036">
        <v>1035</v>
      </c>
      <c r="B1036" t="s">
        <v>1358</v>
      </c>
      <c r="C1036" t="s">
        <v>1377</v>
      </c>
      <c r="D1036" t="s">
        <v>1389</v>
      </c>
      <c r="E1036" t="s">
        <v>1390</v>
      </c>
      <c r="F1036" t="s">
        <v>1372</v>
      </c>
      <c r="G1036" t="s">
        <v>38</v>
      </c>
      <c r="H1036" t="s">
        <v>39</v>
      </c>
      <c r="I1036" s="5" t="s">
        <v>40</v>
      </c>
      <c r="J1036" s="5" t="s">
        <v>2</v>
      </c>
      <c r="K1036" s="5" t="s">
        <v>2</v>
      </c>
      <c r="L1036" s="6">
        <f>IF(I1036="Cut","",IF(I1036="Your call","(decide)",IF(I1036="Rename",J1036,IF(I1036="Keep",IF(D1036="",E1036,D1036),IF(E1036="(unchanged)",D1036,E1036)))))</f>
      </c>
      <c r="M1036" s="6">
        <f>IF(AND(I1036="Cut",N1036&gt;0,K1036=""),"USED: say what replaces it (Note)",IF(AND(I1036="Rename",J1036=""),"type the new name",IF(AND(L1036&lt;&gt;"",L1036&lt;&gt;"(decide)",COUNTIF($L$2:$L$1680,L1036)&gt;1),"SAME FINAL NAME AS ANOTHER ROW","")))</f>
      </c>
      <c r="N1036" s="6">
        <v>0</v>
      </c>
      <c r="O1036" s="6" t="s">
        <v>2</v>
      </c>
    </row>
    <row r="1037" spans="1:15" x14ac:dyDescent="0.25">
      <c r="A1037">
        <v>1036</v>
      </c>
      <c r="B1037" t="s">
        <v>1358</v>
      </c>
      <c r="C1037" t="s">
        <v>1377</v>
      </c>
      <c r="D1037" t="s">
        <v>1391</v>
      </c>
      <c r="E1037" t="s">
        <v>1392</v>
      </c>
      <c r="F1037" t="s">
        <v>1372</v>
      </c>
      <c r="G1037" t="s">
        <v>38</v>
      </c>
      <c r="H1037" t="s">
        <v>39</v>
      </c>
      <c r="I1037" s="5" t="s">
        <v>40</v>
      </c>
      <c r="J1037" s="5" t="s">
        <v>2</v>
      </c>
      <c r="K1037" s="5" t="s">
        <v>2</v>
      </c>
      <c r="L1037" s="6">
        <f>IF(I1037="Cut","",IF(I1037="Your call","(decide)",IF(I1037="Rename",J1037,IF(I1037="Keep",IF(D1037="",E1037,D1037),IF(E1037="(unchanged)",D1037,E1037)))))</f>
      </c>
      <c r="M1037" s="6">
        <f>IF(AND(I1037="Cut",N1037&gt;0,K1037=""),"USED: say what replaces it (Note)",IF(AND(I1037="Rename",J1037=""),"type the new name",IF(AND(L1037&lt;&gt;"",L1037&lt;&gt;"(decide)",COUNTIF($L$2:$L$1680,L1037)&gt;1),"SAME FINAL NAME AS ANOTHER ROW","")))</f>
      </c>
      <c r="N1037" s="6">
        <v>0</v>
      </c>
      <c r="O1037" s="6" t="s">
        <v>2</v>
      </c>
    </row>
    <row r="1038" spans="1:15" x14ac:dyDescent="0.25">
      <c r="A1038">
        <v>1037</v>
      </c>
      <c r="B1038" t="s">
        <v>1358</v>
      </c>
      <c r="C1038" t="s">
        <v>1377</v>
      </c>
      <c r="D1038" t="s">
        <v>1393</v>
      </c>
      <c r="E1038" t="s">
        <v>1394</v>
      </c>
      <c r="F1038" t="s">
        <v>1372</v>
      </c>
      <c r="G1038" t="s">
        <v>38</v>
      </c>
      <c r="H1038" t="s">
        <v>39</v>
      </c>
      <c r="I1038" s="5" t="s">
        <v>40</v>
      </c>
      <c r="J1038" s="5" t="s">
        <v>2</v>
      </c>
      <c r="K1038" s="5" t="s">
        <v>2</v>
      </c>
      <c r="L1038" s="6">
        <f>IF(I1038="Cut","",IF(I1038="Your call","(decide)",IF(I1038="Rename",J1038,IF(I1038="Keep",IF(D1038="",E1038,D1038),IF(E1038="(unchanged)",D1038,E1038)))))</f>
      </c>
      <c r="M1038" s="6">
        <f>IF(AND(I1038="Cut",N1038&gt;0,K1038=""),"USED: say what replaces it (Note)",IF(AND(I1038="Rename",J1038=""),"type the new name",IF(AND(L1038&lt;&gt;"",L1038&lt;&gt;"(decide)",COUNTIF($L$2:$L$1680,L1038)&gt;1),"SAME FINAL NAME AS ANOTHER ROW","")))</f>
      </c>
      <c r="N1038" s="6">
        <v>0</v>
      </c>
      <c r="O1038" s="6" t="s">
        <v>2</v>
      </c>
    </row>
    <row r="1039" spans="1:15" x14ac:dyDescent="0.25">
      <c r="A1039">
        <v>1038</v>
      </c>
      <c r="B1039" t="s">
        <v>1358</v>
      </c>
      <c r="C1039" t="s">
        <v>1395</v>
      </c>
      <c r="D1039" t="s">
        <v>1396</v>
      </c>
      <c r="E1039" t="s">
        <v>1397</v>
      </c>
      <c r="F1039" t="s">
        <v>1372</v>
      </c>
      <c r="G1039" t="s">
        <v>38</v>
      </c>
      <c r="H1039" t="s">
        <v>39</v>
      </c>
      <c r="I1039" s="5" t="s">
        <v>40</v>
      </c>
      <c r="J1039" s="5" t="s">
        <v>2</v>
      </c>
      <c r="K1039" s="5" t="s">
        <v>2</v>
      </c>
      <c r="L1039" s="6">
        <f>IF(I1039="Cut","",IF(I1039="Your call","(decide)",IF(I1039="Rename",J1039,IF(I1039="Keep",IF(D1039="",E1039,D1039),IF(E1039="(unchanged)",D1039,E1039)))))</f>
      </c>
      <c r="M1039" s="6">
        <f>IF(AND(I1039="Cut",N1039&gt;0,K1039=""),"USED: say what replaces it (Note)",IF(AND(I1039="Rename",J1039=""),"type the new name",IF(AND(L1039&lt;&gt;"",L1039&lt;&gt;"(decide)",COUNTIF($L$2:$L$1680,L1039)&gt;1),"SAME FINAL NAME AS ANOTHER ROW","")))</f>
      </c>
      <c r="N1039" s="6">
        <v>0</v>
      </c>
      <c r="O1039" s="6" t="s">
        <v>2</v>
      </c>
    </row>
    <row r="1040" spans="1:15" x14ac:dyDescent="0.25">
      <c r="A1040">
        <v>1039</v>
      </c>
      <c r="B1040" t="s">
        <v>1358</v>
      </c>
      <c r="C1040" t="s">
        <v>1395</v>
      </c>
      <c r="D1040" t="s">
        <v>1398</v>
      </c>
      <c r="E1040" t="s">
        <v>1399</v>
      </c>
      <c r="F1040" t="s">
        <v>1372</v>
      </c>
      <c r="G1040" t="s">
        <v>38</v>
      </c>
      <c r="H1040" t="s">
        <v>39</v>
      </c>
      <c r="I1040" s="5" t="s">
        <v>40</v>
      </c>
      <c r="J1040" s="5" t="s">
        <v>2</v>
      </c>
      <c r="K1040" s="5" t="s">
        <v>2</v>
      </c>
      <c r="L1040" s="6">
        <f>IF(I1040="Cut","",IF(I1040="Your call","(decide)",IF(I1040="Rename",J1040,IF(I1040="Keep",IF(D1040="",E1040,D1040),IF(E1040="(unchanged)",D1040,E1040)))))</f>
      </c>
      <c r="M1040" s="6">
        <f>IF(AND(I1040="Cut",N1040&gt;0,K1040=""),"USED: say what replaces it (Note)",IF(AND(I1040="Rename",J1040=""),"type the new name",IF(AND(L1040&lt;&gt;"",L1040&lt;&gt;"(decide)",COUNTIF($L$2:$L$1680,L1040)&gt;1),"SAME FINAL NAME AS ANOTHER ROW","")))</f>
      </c>
      <c r="N1040" s="6">
        <v>0</v>
      </c>
      <c r="O1040" s="6" t="s">
        <v>2</v>
      </c>
    </row>
    <row r="1041" spans="1:15" x14ac:dyDescent="0.25">
      <c r="A1041">
        <v>1040</v>
      </c>
      <c r="B1041" t="s">
        <v>1358</v>
      </c>
      <c r="C1041" t="s">
        <v>1395</v>
      </c>
      <c r="D1041" t="s">
        <v>1400</v>
      </c>
      <c r="E1041" t="s">
        <v>1401</v>
      </c>
      <c r="F1041" t="s">
        <v>1372</v>
      </c>
      <c r="G1041" t="s">
        <v>38</v>
      </c>
      <c r="H1041" t="s">
        <v>39</v>
      </c>
      <c r="I1041" s="5" t="s">
        <v>40</v>
      </c>
      <c r="J1041" s="5" t="s">
        <v>2</v>
      </c>
      <c r="K1041" s="5" t="s">
        <v>2</v>
      </c>
      <c r="L1041" s="6">
        <f>IF(I1041="Cut","",IF(I1041="Your call","(decide)",IF(I1041="Rename",J1041,IF(I1041="Keep",IF(D1041="",E1041,D1041),IF(E1041="(unchanged)",D1041,E1041)))))</f>
      </c>
      <c r="M1041" s="6">
        <f>IF(AND(I1041="Cut",N1041&gt;0,K1041=""),"USED: say what replaces it (Note)",IF(AND(I1041="Rename",J1041=""),"type the new name",IF(AND(L1041&lt;&gt;"",L1041&lt;&gt;"(decide)",COUNTIF($L$2:$L$1680,L1041)&gt;1),"SAME FINAL NAME AS ANOTHER ROW","")))</f>
      </c>
      <c r="N1041" s="6">
        <v>0</v>
      </c>
      <c r="O1041" s="6" t="s">
        <v>2</v>
      </c>
    </row>
    <row r="1042" spans="1:15" x14ac:dyDescent="0.25">
      <c r="A1042">
        <v>1041</v>
      </c>
      <c r="B1042" t="s">
        <v>1358</v>
      </c>
      <c r="C1042" t="s">
        <v>1395</v>
      </c>
      <c r="D1042" t="s">
        <v>1402</v>
      </c>
      <c r="E1042" t="s">
        <v>1403</v>
      </c>
      <c r="F1042" t="s">
        <v>1372</v>
      </c>
      <c r="G1042" t="s">
        <v>38</v>
      </c>
      <c r="H1042" t="s">
        <v>39</v>
      </c>
      <c r="I1042" s="5" t="s">
        <v>40</v>
      </c>
      <c r="J1042" s="5" t="s">
        <v>2</v>
      </c>
      <c r="K1042" s="5" t="s">
        <v>2</v>
      </c>
      <c r="L1042" s="6">
        <f>IF(I1042="Cut","",IF(I1042="Your call","(decide)",IF(I1042="Rename",J1042,IF(I1042="Keep",IF(D1042="",E1042,D1042),IF(E1042="(unchanged)",D1042,E1042)))))</f>
      </c>
      <c r="M1042" s="6">
        <f>IF(AND(I1042="Cut",N1042&gt;0,K1042=""),"USED: say what replaces it (Note)",IF(AND(I1042="Rename",J1042=""),"type the new name",IF(AND(L1042&lt;&gt;"",L1042&lt;&gt;"(decide)",COUNTIF($L$2:$L$1680,L1042)&gt;1),"SAME FINAL NAME AS ANOTHER ROW","")))</f>
      </c>
      <c r="N1042" s="6">
        <v>0</v>
      </c>
      <c r="O1042" s="6" t="s">
        <v>2</v>
      </c>
    </row>
    <row r="1043" spans="1:15" x14ac:dyDescent="0.25">
      <c r="A1043">
        <v>1042</v>
      </c>
      <c r="B1043" t="s">
        <v>1358</v>
      </c>
      <c r="C1043" t="s">
        <v>1404</v>
      </c>
      <c r="D1043" t="s">
        <v>1405</v>
      </c>
      <c r="E1043" t="s">
        <v>1406</v>
      </c>
      <c r="F1043" t="s">
        <v>1372</v>
      </c>
      <c r="G1043" t="s">
        <v>38</v>
      </c>
      <c r="H1043" t="s">
        <v>39</v>
      </c>
      <c r="I1043" s="5" t="s">
        <v>40</v>
      </c>
      <c r="J1043" s="5" t="s">
        <v>2</v>
      </c>
      <c r="K1043" s="5" t="s">
        <v>2</v>
      </c>
      <c r="L1043" s="6">
        <f>IF(I1043="Cut","",IF(I1043="Your call","(decide)",IF(I1043="Rename",J1043,IF(I1043="Keep",IF(D1043="",E1043,D1043),IF(E1043="(unchanged)",D1043,E1043)))))</f>
      </c>
      <c r="M1043" s="6">
        <f>IF(AND(I1043="Cut",N1043&gt;0,K1043=""),"USED: say what replaces it (Note)",IF(AND(I1043="Rename",J1043=""),"type the new name",IF(AND(L1043&lt;&gt;"",L1043&lt;&gt;"(decide)",COUNTIF($L$2:$L$1680,L1043)&gt;1),"SAME FINAL NAME AS ANOTHER ROW","")))</f>
      </c>
      <c r="N1043" s="6">
        <v>0</v>
      </c>
      <c r="O1043" s="6" t="s">
        <v>2</v>
      </c>
    </row>
    <row r="1044" spans="1:15" x14ac:dyDescent="0.25">
      <c r="A1044">
        <v>1043</v>
      </c>
      <c r="B1044" t="s">
        <v>1358</v>
      </c>
      <c r="C1044" t="s">
        <v>1404</v>
      </c>
      <c r="D1044" t="s">
        <v>1407</v>
      </c>
      <c r="E1044" t="s">
        <v>1408</v>
      </c>
      <c r="F1044" t="s">
        <v>1372</v>
      </c>
      <c r="G1044" t="s">
        <v>94</v>
      </c>
      <c r="H1044" t="s">
        <v>39</v>
      </c>
      <c r="I1044" s="5" t="s">
        <v>40</v>
      </c>
      <c r="J1044" s="5" t="s">
        <v>2</v>
      </c>
      <c r="K1044" s="5" t="s">
        <v>2</v>
      </c>
      <c r="L1044" s="6">
        <f>IF(I1044="Cut","",IF(I1044="Your call","(decide)",IF(I1044="Rename",J1044,IF(I1044="Keep",IF(D1044="",E1044,D1044),IF(E1044="(unchanged)",D1044,E1044)))))</f>
      </c>
      <c r="M1044" s="6">
        <f>IF(AND(I1044="Cut",N1044&gt;0,K1044=""),"USED: say what replaces it (Note)",IF(AND(I1044="Rename",J1044=""),"type the new name",IF(AND(L1044&lt;&gt;"",L1044&lt;&gt;"(decide)",COUNTIF($L$2:$L$1680,L1044)&gt;1),"SAME FINAL NAME AS ANOTHER ROW","")))</f>
      </c>
      <c r="N1044" s="6">
        <v>1</v>
      </c>
      <c r="O1044" s="6" t="s">
        <v>2</v>
      </c>
    </row>
    <row r="1045" spans="1:15" x14ac:dyDescent="0.25">
      <c r="A1045">
        <v>1044</v>
      </c>
      <c r="B1045" t="s">
        <v>1358</v>
      </c>
      <c r="C1045" t="s">
        <v>1404</v>
      </c>
      <c r="D1045" t="s">
        <v>1409</v>
      </c>
      <c r="E1045" t="s">
        <v>1410</v>
      </c>
      <c r="F1045" t="s">
        <v>1372</v>
      </c>
      <c r="G1045" t="s">
        <v>38</v>
      </c>
      <c r="H1045" t="s">
        <v>39</v>
      </c>
      <c r="I1045" s="5" t="s">
        <v>40</v>
      </c>
      <c r="J1045" s="5" t="s">
        <v>2</v>
      </c>
      <c r="K1045" s="5" t="s">
        <v>2</v>
      </c>
      <c r="L1045" s="6">
        <f>IF(I1045="Cut","",IF(I1045="Your call","(decide)",IF(I1045="Rename",J1045,IF(I1045="Keep",IF(D1045="",E1045,D1045),IF(E1045="(unchanged)",D1045,E1045)))))</f>
      </c>
      <c r="M1045" s="6">
        <f>IF(AND(I1045="Cut",N1045&gt;0,K1045=""),"USED: say what replaces it (Note)",IF(AND(I1045="Rename",J1045=""),"type the new name",IF(AND(L1045&lt;&gt;"",L1045&lt;&gt;"(decide)",COUNTIF($L$2:$L$1680,L1045)&gt;1),"SAME FINAL NAME AS ANOTHER ROW","")))</f>
      </c>
      <c r="N1045" s="6">
        <v>0</v>
      </c>
      <c r="O1045" s="6" t="s">
        <v>2</v>
      </c>
    </row>
    <row r="1046" spans="1:15" x14ac:dyDescent="0.25">
      <c r="A1046">
        <v>1045</v>
      </c>
      <c r="B1046" t="s">
        <v>1358</v>
      </c>
      <c r="C1046" t="s">
        <v>1411</v>
      </c>
      <c r="D1046" t="s">
        <v>1412</v>
      </c>
      <c r="E1046" t="s">
        <v>1413</v>
      </c>
      <c r="F1046" t="s">
        <v>1372</v>
      </c>
      <c r="G1046" t="s">
        <v>38</v>
      </c>
      <c r="H1046" t="s">
        <v>39</v>
      </c>
      <c r="I1046" s="5" t="s">
        <v>40</v>
      </c>
      <c r="J1046" s="5" t="s">
        <v>2</v>
      </c>
      <c r="K1046" s="5" t="s">
        <v>2</v>
      </c>
      <c r="L1046" s="6">
        <f>IF(I1046="Cut","",IF(I1046="Your call","(decide)",IF(I1046="Rename",J1046,IF(I1046="Keep",IF(D1046="",E1046,D1046),IF(E1046="(unchanged)",D1046,E1046)))))</f>
      </c>
      <c r="M1046" s="6">
        <f>IF(AND(I1046="Cut",N1046&gt;0,K1046=""),"USED: say what replaces it (Note)",IF(AND(I1046="Rename",J1046=""),"type the new name",IF(AND(L1046&lt;&gt;"",L1046&lt;&gt;"(decide)",COUNTIF($L$2:$L$1680,L1046)&gt;1),"SAME FINAL NAME AS ANOTHER ROW","")))</f>
      </c>
      <c r="N1046" s="6">
        <v>0</v>
      </c>
      <c r="O1046" s="6" t="s">
        <v>2</v>
      </c>
    </row>
    <row r="1047" spans="1:15" x14ac:dyDescent="0.25">
      <c r="A1047">
        <v>1046</v>
      </c>
      <c r="B1047" t="s">
        <v>1358</v>
      </c>
      <c r="C1047" t="s">
        <v>1411</v>
      </c>
      <c r="D1047" t="s">
        <v>1414</v>
      </c>
      <c r="E1047" t="s">
        <v>1415</v>
      </c>
      <c r="F1047" t="s">
        <v>1372</v>
      </c>
      <c r="G1047" t="s">
        <v>58</v>
      </c>
      <c r="H1047" t="s">
        <v>39</v>
      </c>
      <c r="I1047" s="5" t="s">
        <v>40</v>
      </c>
      <c r="J1047" s="5" t="s">
        <v>2</v>
      </c>
      <c r="K1047" s="5" t="s">
        <v>2</v>
      </c>
      <c r="L1047" s="6">
        <f>IF(I1047="Cut","",IF(I1047="Your call","(decide)",IF(I1047="Rename",J1047,IF(I1047="Keep",IF(D1047="",E1047,D1047),IF(E1047="(unchanged)",D1047,E1047)))))</f>
      </c>
      <c r="M1047" s="6">
        <f>IF(AND(I1047="Cut",N1047&gt;0,K1047=""),"USED: say what replaces it (Note)",IF(AND(I1047="Rename",J1047=""),"type the new name",IF(AND(L1047&lt;&gt;"",L1047&lt;&gt;"(decide)",COUNTIF($L$2:$L$1680,L1047)&gt;1),"SAME FINAL NAME AS ANOTHER ROW","")))</f>
      </c>
      <c r="N1047" s="6">
        <v>3</v>
      </c>
      <c r="O1047" s="6" t="s">
        <v>2</v>
      </c>
    </row>
    <row r="1048" spans="1:15" x14ac:dyDescent="0.25">
      <c r="A1048">
        <v>1047</v>
      </c>
      <c r="B1048" t="s">
        <v>1358</v>
      </c>
      <c r="C1048" t="s">
        <v>1416</v>
      </c>
      <c r="D1048" t="s">
        <v>1417</v>
      </c>
      <c r="E1048" t="s">
        <v>292</v>
      </c>
      <c r="F1048" t="s">
        <v>2</v>
      </c>
      <c r="G1048" t="s">
        <v>38</v>
      </c>
      <c r="H1048" t="s">
        <v>39</v>
      </c>
      <c r="I1048" s="5" t="s">
        <v>294</v>
      </c>
      <c r="J1048" s="5" t="s">
        <v>2</v>
      </c>
      <c r="K1048" s="5" t="s">
        <v>2</v>
      </c>
      <c r="L1048" s="6">
        <f>IF(I1048="Cut","",IF(I1048="Your call","(decide)",IF(I1048="Rename",J1048,IF(I1048="Keep",IF(D1048="",E1048,D1048),IF(E1048="(unchanged)",D1048,E1048)))))</f>
      </c>
      <c r="M1048" s="6">
        <f>IF(AND(I1048="Cut",N1048&gt;0,K1048=""),"USED: say what replaces it (Note)",IF(AND(I1048="Rename",J1048=""),"type the new name",IF(AND(L1048&lt;&gt;"",L1048&lt;&gt;"(decide)",COUNTIF($L$2:$L$1680,L1048)&gt;1),"SAME FINAL NAME AS ANOTHER ROW","")))</f>
      </c>
      <c r="N1048" s="6">
        <v>0</v>
      </c>
      <c r="O1048" s="6" t="s">
        <v>2</v>
      </c>
    </row>
    <row r="1049" spans="1:15" x14ac:dyDescent="0.25">
      <c r="A1049">
        <v>1048</v>
      </c>
      <c r="B1049" t="s">
        <v>1358</v>
      </c>
      <c r="C1049" t="s">
        <v>1416</v>
      </c>
      <c r="D1049" t="s">
        <v>1418</v>
      </c>
      <c r="E1049" t="s">
        <v>292</v>
      </c>
      <c r="F1049" t="s">
        <v>2</v>
      </c>
      <c r="G1049" t="s">
        <v>151</v>
      </c>
      <c r="H1049" t="s">
        <v>39</v>
      </c>
      <c r="I1049" s="5" t="s">
        <v>294</v>
      </c>
      <c r="J1049" s="5" t="s">
        <v>2</v>
      </c>
      <c r="K1049" s="5" t="s">
        <v>2</v>
      </c>
      <c r="L1049" s="6">
        <f>IF(I1049="Cut","",IF(I1049="Your call","(decide)",IF(I1049="Rename",J1049,IF(I1049="Keep",IF(D1049="",E1049,D1049),IF(E1049="(unchanged)",D1049,E1049)))))</f>
      </c>
      <c r="M1049" s="6">
        <f>IF(AND(I1049="Cut",N1049&gt;0,K1049=""),"USED: say what replaces it (Note)",IF(AND(I1049="Rename",J1049=""),"type the new name",IF(AND(L1049&lt;&gt;"",L1049&lt;&gt;"(decide)",COUNTIF($L$2:$L$1680,L1049)&gt;1),"SAME FINAL NAME AS ANOTHER ROW","")))</f>
      </c>
      <c r="N1049" s="6">
        <v>5</v>
      </c>
      <c r="O1049" s="6" t="s">
        <v>2</v>
      </c>
    </row>
    <row r="1050" spans="1:15" x14ac:dyDescent="0.25">
      <c r="A1050">
        <v>1049</v>
      </c>
      <c r="B1050" t="s">
        <v>1358</v>
      </c>
      <c r="C1050" t="s">
        <v>1416</v>
      </c>
      <c r="D1050" t="s">
        <v>1419</v>
      </c>
      <c r="E1050" t="s">
        <v>292</v>
      </c>
      <c r="F1050" t="s">
        <v>2</v>
      </c>
      <c r="G1050" t="s">
        <v>38</v>
      </c>
      <c r="H1050" t="s">
        <v>39</v>
      </c>
      <c r="I1050" s="5" t="s">
        <v>294</v>
      </c>
      <c r="J1050" s="5" t="s">
        <v>2</v>
      </c>
      <c r="K1050" s="5" t="s">
        <v>2</v>
      </c>
      <c r="L1050" s="6">
        <f>IF(I1050="Cut","",IF(I1050="Your call","(decide)",IF(I1050="Rename",J1050,IF(I1050="Keep",IF(D1050="",E1050,D1050),IF(E1050="(unchanged)",D1050,E1050)))))</f>
      </c>
      <c r="M1050" s="6">
        <f>IF(AND(I1050="Cut",N1050&gt;0,K1050=""),"USED: say what replaces it (Note)",IF(AND(I1050="Rename",J1050=""),"type the new name",IF(AND(L1050&lt;&gt;"",L1050&lt;&gt;"(decide)",COUNTIF($L$2:$L$1680,L1050)&gt;1),"SAME FINAL NAME AS ANOTHER ROW","")))</f>
      </c>
      <c r="N1050" s="6">
        <v>0</v>
      </c>
      <c r="O1050" s="6" t="s">
        <v>2</v>
      </c>
    </row>
    <row r="1051" spans="1:15" x14ac:dyDescent="0.25">
      <c r="A1051">
        <v>1050</v>
      </c>
      <c r="B1051" t="s">
        <v>1358</v>
      </c>
      <c r="C1051" t="s">
        <v>1416</v>
      </c>
      <c r="D1051" t="s">
        <v>1420</v>
      </c>
      <c r="E1051" t="s">
        <v>292</v>
      </c>
      <c r="F1051" t="s">
        <v>2</v>
      </c>
      <c r="G1051" t="s">
        <v>1145</v>
      </c>
      <c r="H1051" t="s">
        <v>39</v>
      </c>
      <c r="I1051" s="5" t="s">
        <v>294</v>
      </c>
      <c r="J1051" s="5" t="s">
        <v>2</v>
      </c>
      <c r="K1051" s="5" t="s">
        <v>2</v>
      </c>
      <c r="L1051" s="6">
        <f>IF(I1051="Cut","",IF(I1051="Your call","(decide)",IF(I1051="Rename",J1051,IF(I1051="Keep",IF(D1051="",E1051,D1051),IF(E1051="(unchanged)",D1051,E1051)))))</f>
      </c>
      <c r="M1051" s="6">
        <f>IF(AND(I1051="Cut",N1051&gt;0,K1051=""),"USED: say what replaces it (Note)",IF(AND(I1051="Rename",J1051=""),"type the new name",IF(AND(L1051&lt;&gt;"",L1051&lt;&gt;"(decide)",COUNTIF($L$2:$L$1680,L1051)&gt;1),"SAME FINAL NAME AS ANOTHER ROW","")))</f>
      </c>
      <c r="N1051" s="6">
        <v>9</v>
      </c>
      <c r="O1051" s="6" t="s">
        <v>2</v>
      </c>
    </row>
    <row r="1052" spans="1:15" x14ac:dyDescent="0.25">
      <c r="A1052">
        <v>1051</v>
      </c>
      <c r="B1052" t="s">
        <v>1358</v>
      </c>
      <c r="C1052" t="s">
        <v>1416</v>
      </c>
      <c r="D1052" t="s">
        <v>1421</v>
      </c>
      <c r="E1052" t="s">
        <v>292</v>
      </c>
      <c r="F1052" t="s">
        <v>2</v>
      </c>
      <c r="G1052" t="s">
        <v>38</v>
      </c>
      <c r="H1052" t="s">
        <v>39</v>
      </c>
      <c r="I1052" s="5" t="s">
        <v>294</v>
      </c>
      <c r="J1052" s="5" t="s">
        <v>2</v>
      </c>
      <c r="K1052" s="5" t="s">
        <v>2</v>
      </c>
      <c r="L1052" s="6">
        <f>IF(I1052="Cut","",IF(I1052="Your call","(decide)",IF(I1052="Rename",J1052,IF(I1052="Keep",IF(D1052="",E1052,D1052),IF(E1052="(unchanged)",D1052,E1052)))))</f>
      </c>
      <c r="M1052" s="6">
        <f>IF(AND(I1052="Cut",N1052&gt;0,K1052=""),"USED: say what replaces it (Note)",IF(AND(I1052="Rename",J1052=""),"type the new name",IF(AND(L1052&lt;&gt;"",L1052&lt;&gt;"(decide)",COUNTIF($L$2:$L$1680,L1052)&gt;1),"SAME FINAL NAME AS ANOTHER ROW","")))</f>
      </c>
      <c r="N1052" s="6">
        <v>0</v>
      </c>
      <c r="O1052" s="6" t="s">
        <v>2</v>
      </c>
    </row>
    <row r="1053" spans="1:15" x14ac:dyDescent="0.25">
      <c r="A1053">
        <v>1052</v>
      </c>
      <c r="B1053" t="s">
        <v>1358</v>
      </c>
      <c r="C1053" t="s">
        <v>1416</v>
      </c>
      <c r="D1053" t="s">
        <v>1422</v>
      </c>
      <c r="E1053" t="s">
        <v>292</v>
      </c>
      <c r="F1053" t="s">
        <v>2</v>
      </c>
      <c r="G1053" t="s">
        <v>94</v>
      </c>
      <c r="H1053" t="s">
        <v>39</v>
      </c>
      <c r="I1053" s="5" t="s">
        <v>294</v>
      </c>
      <c r="J1053" s="5" t="s">
        <v>2</v>
      </c>
      <c r="K1053" s="5" t="s">
        <v>2</v>
      </c>
      <c r="L1053" s="6">
        <f>IF(I1053="Cut","",IF(I1053="Your call","(decide)",IF(I1053="Rename",J1053,IF(I1053="Keep",IF(D1053="",E1053,D1053),IF(E1053="(unchanged)",D1053,E1053)))))</f>
      </c>
      <c r="M1053" s="6">
        <f>IF(AND(I1053="Cut",N1053&gt;0,K1053=""),"USED: say what replaces it (Note)",IF(AND(I1053="Rename",J1053=""),"type the new name",IF(AND(L1053&lt;&gt;"",L1053&lt;&gt;"(decide)",COUNTIF($L$2:$L$1680,L1053)&gt;1),"SAME FINAL NAME AS ANOTHER ROW","")))</f>
      </c>
      <c r="N1053" s="6">
        <v>1</v>
      </c>
      <c r="O1053" s="6" t="s">
        <v>2</v>
      </c>
    </row>
    <row r="1054" spans="1:15" x14ac:dyDescent="0.25">
      <c r="A1054">
        <v>1053</v>
      </c>
      <c r="B1054" t="s">
        <v>1358</v>
      </c>
      <c r="C1054" t="s">
        <v>1416</v>
      </c>
      <c r="D1054" t="s">
        <v>1423</v>
      </c>
      <c r="E1054" t="s">
        <v>292</v>
      </c>
      <c r="F1054" t="s">
        <v>2</v>
      </c>
      <c r="G1054" t="s">
        <v>38</v>
      </c>
      <c r="H1054" t="s">
        <v>39</v>
      </c>
      <c r="I1054" s="5" t="s">
        <v>294</v>
      </c>
      <c r="J1054" s="5" t="s">
        <v>2</v>
      </c>
      <c r="K1054" s="5" t="s">
        <v>2</v>
      </c>
      <c r="L1054" s="6">
        <f>IF(I1054="Cut","",IF(I1054="Your call","(decide)",IF(I1054="Rename",J1054,IF(I1054="Keep",IF(D1054="",E1054,D1054),IF(E1054="(unchanged)",D1054,E1054)))))</f>
      </c>
      <c r="M1054" s="6">
        <f>IF(AND(I1054="Cut",N1054&gt;0,K1054=""),"USED: say what replaces it (Note)",IF(AND(I1054="Rename",J1054=""),"type the new name",IF(AND(L1054&lt;&gt;"",L1054&lt;&gt;"(decide)",COUNTIF($L$2:$L$1680,L1054)&gt;1),"SAME FINAL NAME AS ANOTHER ROW","")))</f>
      </c>
      <c r="N1054" s="6">
        <v>0</v>
      </c>
      <c r="O1054" s="6" t="s">
        <v>2</v>
      </c>
    </row>
    <row r="1055" spans="1:15" x14ac:dyDescent="0.25">
      <c r="A1055">
        <v>1054</v>
      </c>
      <c r="B1055" t="s">
        <v>1358</v>
      </c>
      <c r="C1055" t="s">
        <v>1416</v>
      </c>
      <c r="D1055" t="s">
        <v>1424</v>
      </c>
      <c r="E1055" t="s">
        <v>292</v>
      </c>
      <c r="F1055" t="s">
        <v>2</v>
      </c>
      <c r="G1055" t="s">
        <v>94</v>
      </c>
      <c r="H1055" t="s">
        <v>39</v>
      </c>
      <c r="I1055" s="5" t="s">
        <v>294</v>
      </c>
      <c r="J1055" s="5" t="s">
        <v>2</v>
      </c>
      <c r="K1055" s="5" t="s">
        <v>2</v>
      </c>
      <c r="L1055" s="6">
        <f>IF(I1055="Cut","",IF(I1055="Your call","(decide)",IF(I1055="Rename",J1055,IF(I1055="Keep",IF(D1055="",E1055,D1055),IF(E1055="(unchanged)",D1055,E1055)))))</f>
      </c>
      <c r="M1055" s="6">
        <f>IF(AND(I1055="Cut",N1055&gt;0,K1055=""),"USED: say what replaces it (Note)",IF(AND(I1055="Rename",J1055=""),"type the new name",IF(AND(L1055&lt;&gt;"",L1055&lt;&gt;"(decide)",COUNTIF($L$2:$L$1680,L1055)&gt;1),"SAME FINAL NAME AS ANOTHER ROW","")))</f>
      </c>
      <c r="N1055" s="6">
        <v>1</v>
      </c>
      <c r="O1055" s="6" t="s">
        <v>2</v>
      </c>
    </row>
    <row r="1056" spans="1:15" x14ac:dyDescent="0.25">
      <c r="A1056">
        <v>1055</v>
      </c>
      <c r="B1056" t="s">
        <v>1358</v>
      </c>
      <c r="C1056" t="s">
        <v>1416</v>
      </c>
      <c r="D1056" t="s">
        <v>1425</v>
      </c>
      <c r="E1056" t="s">
        <v>292</v>
      </c>
      <c r="F1056" t="s">
        <v>2</v>
      </c>
      <c r="G1056" t="s">
        <v>71</v>
      </c>
      <c r="H1056" t="s">
        <v>39</v>
      </c>
      <c r="I1056" s="5" t="s">
        <v>294</v>
      </c>
      <c r="J1056" s="5" t="s">
        <v>2</v>
      </c>
      <c r="K1056" s="5" t="s">
        <v>2</v>
      </c>
      <c r="L1056" s="6">
        <f>IF(I1056="Cut","",IF(I1056="Your call","(decide)",IF(I1056="Rename",J1056,IF(I1056="Keep",IF(D1056="",E1056,D1056),IF(E1056="(unchanged)",D1056,E1056)))))</f>
      </c>
      <c r="M1056" s="6">
        <f>IF(AND(I1056="Cut",N1056&gt;0,K1056=""),"USED: say what replaces it (Note)",IF(AND(I1056="Rename",J1056=""),"type the new name",IF(AND(L1056&lt;&gt;"",L1056&lt;&gt;"(decide)",COUNTIF($L$2:$L$1680,L1056)&gt;1),"SAME FINAL NAME AS ANOTHER ROW","")))</f>
      </c>
      <c r="N1056" s="6">
        <v>4</v>
      </c>
      <c r="O1056" s="6" t="s">
        <v>2</v>
      </c>
    </row>
    <row r="1057" spans="1:15" x14ac:dyDescent="0.25">
      <c r="A1057">
        <v>1056</v>
      </c>
      <c r="B1057" t="s">
        <v>1358</v>
      </c>
      <c r="C1057" t="s">
        <v>1416</v>
      </c>
      <c r="D1057" t="s">
        <v>1426</v>
      </c>
      <c r="E1057" t="s">
        <v>292</v>
      </c>
      <c r="F1057" t="s">
        <v>2</v>
      </c>
      <c r="G1057" t="s">
        <v>38</v>
      </c>
      <c r="H1057" t="s">
        <v>39</v>
      </c>
      <c r="I1057" s="5" t="s">
        <v>294</v>
      </c>
      <c r="J1057" s="5" t="s">
        <v>2</v>
      </c>
      <c r="K1057" s="5" t="s">
        <v>2</v>
      </c>
      <c r="L1057" s="6">
        <f>IF(I1057="Cut","",IF(I1057="Your call","(decide)",IF(I1057="Rename",J1057,IF(I1057="Keep",IF(D1057="",E1057,D1057),IF(E1057="(unchanged)",D1057,E1057)))))</f>
      </c>
      <c r="M1057" s="6">
        <f>IF(AND(I1057="Cut",N1057&gt;0,K1057=""),"USED: say what replaces it (Note)",IF(AND(I1057="Rename",J1057=""),"type the new name",IF(AND(L1057&lt;&gt;"",L1057&lt;&gt;"(decide)",COUNTIF($L$2:$L$1680,L1057)&gt;1),"SAME FINAL NAME AS ANOTHER ROW","")))</f>
      </c>
      <c r="N1057" s="6">
        <v>0</v>
      </c>
      <c r="O1057" s="6" t="s">
        <v>2</v>
      </c>
    </row>
    <row r="1058" spans="1:15" x14ac:dyDescent="0.25">
      <c r="A1058">
        <v>1057</v>
      </c>
      <c r="B1058" t="s">
        <v>1358</v>
      </c>
      <c r="C1058" t="s">
        <v>1416</v>
      </c>
      <c r="D1058" t="s">
        <v>1427</v>
      </c>
      <c r="E1058" t="s">
        <v>292</v>
      </c>
      <c r="F1058" t="s">
        <v>2</v>
      </c>
      <c r="G1058" t="s">
        <v>38</v>
      </c>
      <c r="H1058" t="s">
        <v>39</v>
      </c>
      <c r="I1058" s="5" t="s">
        <v>294</v>
      </c>
      <c r="J1058" s="5" t="s">
        <v>2</v>
      </c>
      <c r="K1058" s="5" t="s">
        <v>2</v>
      </c>
      <c r="L1058" s="6">
        <f>IF(I1058="Cut","",IF(I1058="Your call","(decide)",IF(I1058="Rename",J1058,IF(I1058="Keep",IF(D1058="",E1058,D1058),IF(E1058="(unchanged)",D1058,E1058)))))</f>
      </c>
      <c r="M1058" s="6">
        <f>IF(AND(I1058="Cut",N1058&gt;0,K1058=""),"USED: say what replaces it (Note)",IF(AND(I1058="Rename",J1058=""),"type the new name",IF(AND(L1058&lt;&gt;"",L1058&lt;&gt;"(decide)",COUNTIF($L$2:$L$1680,L1058)&gt;1),"SAME FINAL NAME AS ANOTHER ROW","")))</f>
      </c>
      <c r="N1058" s="6">
        <v>0</v>
      </c>
      <c r="O1058" s="6" t="s">
        <v>2</v>
      </c>
    </row>
    <row r="1059" spans="1:15" x14ac:dyDescent="0.25">
      <c r="A1059">
        <v>1058</v>
      </c>
      <c r="B1059" t="s">
        <v>1358</v>
      </c>
      <c r="C1059" t="s">
        <v>1416</v>
      </c>
      <c r="D1059" t="s">
        <v>1428</v>
      </c>
      <c r="E1059" t="s">
        <v>292</v>
      </c>
      <c r="F1059" t="s">
        <v>2</v>
      </c>
      <c r="G1059" t="s">
        <v>38</v>
      </c>
      <c r="H1059" t="s">
        <v>39</v>
      </c>
      <c r="I1059" s="5" t="s">
        <v>294</v>
      </c>
      <c r="J1059" s="5" t="s">
        <v>2</v>
      </c>
      <c r="K1059" s="5" t="s">
        <v>2</v>
      </c>
      <c r="L1059" s="6">
        <f>IF(I1059="Cut","",IF(I1059="Your call","(decide)",IF(I1059="Rename",J1059,IF(I1059="Keep",IF(D1059="",E1059,D1059),IF(E1059="(unchanged)",D1059,E1059)))))</f>
      </c>
      <c r="M1059" s="6">
        <f>IF(AND(I1059="Cut",N1059&gt;0,K1059=""),"USED: say what replaces it (Note)",IF(AND(I1059="Rename",J1059=""),"type the new name",IF(AND(L1059&lt;&gt;"",L1059&lt;&gt;"(decide)",COUNTIF($L$2:$L$1680,L1059)&gt;1),"SAME FINAL NAME AS ANOTHER ROW","")))</f>
      </c>
      <c r="N1059" s="6">
        <v>0</v>
      </c>
      <c r="O1059" s="6" t="s">
        <v>2</v>
      </c>
    </row>
    <row r="1060" spans="1:15" x14ac:dyDescent="0.25">
      <c r="A1060">
        <v>1059</v>
      </c>
      <c r="B1060" t="s">
        <v>1358</v>
      </c>
      <c r="C1060" t="s">
        <v>1416</v>
      </c>
      <c r="D1060" t="s">
        <v>1429</v>
      </c>
      <c r="E1060" t="s">
        <v>292</v>
      </c>
      <c r="F1060" t="s">
        <v>2</v>
      </c>
      <c r="G1060" t="s">
        <v>38</v>
      </c>
      <c r="H1060" t="s">
        <v>39</v>
      </c>
      <c r="I1060" s="5" t="s">
        <v>294</v>
      </c>
      <c r="J1060" s="5" t="s">
        <v>2</v>
      </c>
      <c r="K1060" s="5" t="s">
        <v>2</v>
      </c>
      <c r="L1060" s="6">
        <f>IF(I1060="Cut","",IF(I1060="Your call","(decide)",IF(I1060="Rename",J1060,IF(I1060="Keep",IF(D1060="",E1060,D1060),IF(E1060="(unchanged)",D1060,E1060)))))</f>
      </c>
      <c r="M1060" s="6">
        <f>IF(AND(I1060="Cut",N1060&gt;0,K1060=""),"USED: say what replaces it (Note)",IF(AND(I1060="Rename",J1060=""),"type the new name",IF(AND(L1060&lt;&gt;"",L1060&lt;&gt;"(decide)",COUNTIF($L$2:$L$1680,L1060)&gt;1),"SAME FINAL NAME AS ANOTHER ROW","")))</f>
      </c>
      <c r="N1060" s="6">
        <v>0</v>
      </c>
      <c r="O1060" s="6" t="s">
        <v>2</v>
      </c>
    </row>
    <row r="1061" spans="1:15" x14ac:dyDescent="0.25">
      <c r="A1061">
        <v>1060</v>
      </c>
      <c r="B1061" t="s">
        <v>1358</v>
      </c>
      <c r="C1061" t="s">
        <v>1416</v>
      </c>
      <c r="D1061" t="s">
        <v>1430</v>
      </c>
      <c r="E1061" t="s">
        <v>292</v>
      </c>
      <c r="F1061" t="s">
        <v>2</v>
      </c>
      <c r="G1061" t="s">
        <v>38</v>
      </c>
      <c r="H1061" t="s">
        <v>39</v>
      </c>
      <c r="I1061" s="5" t="s">
        <v>294</v>
      </c>
      <c r="J1061" s="5" t="s">
        <v>2</v>
      </c>
      <c r="K1061" s="5" t="s">
        <v>2</v>
      </c>
      <c r="L1061" s="6">
        <f>IF(I1061="Cut","",IF(I1061="Your call","(decide)",IF(I1061="Rename",J1061,IF(I1061="Keep",IF(D1061="",E1061,D1061),IF(E1061="(unchanged)",D1061,E1061)))))</f>
      </c>
      <c r="M1061" s="6">
        <f>IF(AND(I1061="Cut",N1061&gt;0,K1061=""),"USED: say what replaces it (Note)",IF(AND(I1061="Rename",J1061=""),"type the new name",IF(AND(L1061&lt;&gt;"",L1061&lt;&gt;"(decide)",COUNTIF($L$2:$L$1680,L1061)&gt;1),"SAME FINAL NAME AS ANOTHER ROW","")))</f>
      </c>
      <c r="N1061" s="6">
        <v>0</v>
      </c>
      <c r="O1061" s="6" t="s">
        <v>2</v>
      </c>
    </row>
    <row r="1062" spans="1:15" x14ac:dyDescent="0.25">
      <c r="A1062">
        <v>1061</v>
      </c>
      <c r="B1062" t="s">
        <v>1358</v>
      </c>
      <c r="C1062" t="s">
        <v>1416</v>
      </c>
      <c r="D1062" t="s">
        <v>1431</v>
      </c>
      <c r="E1062" t="s">
        <v>292</v>
      </c>
      <c r="F1062" t="s">
        <v>2</v>
      </c>
      <c r="G1062" t="s">
        <v>38</v>
      </c>
      <c r="H1062" t="s">
        <v>39</v>
      </c>
      <c r="I1062" s="5" t="s">
        <v>294</v>
      </c>
      <c r="J1062" s="5" t="s">
        <v>2</v>
      </c>
      <c r="K1062" s="5" t="s">
        <v>2</v>
      </c>
      <c r="L1062" s="6">
        <f>IF(I1062="Cut","",IF(I1062="Your call","(decide)",IF(I1062="Rename",J1062,IF(I1062="Keep",IF(D1062="",E1062,D1062),IF(E1062="(unchanged)",D1062,E1062)))))</f>
      </c>
      <c r="M1062" s="6">
        <f>IF(AND(I1062="Cut",N1062&gt;0,K1062=""),"USED: say what replaces it (Note)",IF(AND(I1062="Rename",J1062=""),"type the new name",IF(AND(L1062&lt;&gt;"",L1062&lt;&gt;"(decide)",COUNTIF($L$2:$L$1680,L1062)&gt;1),"SAME FINAL NAME AS ANOTHER ROW","")))</f>
      </c>
      <c r="N1062" s="6">
        <v>0</v>
      </c>
      <c r="O1062" s="6" t="s">
        <v>2</v>
      </c>
    </row>
    <row r="1063" spans="1:15" x14ac:dyDescent="0.25">
      <c r="A1063">
        <v>1062</v>
      </c>
      <c r="B1063" t="s">
        <v>1358</v>
      </c>
      <c r="C1063" t="s">
        <v>1432</v>
      </c>
      <c r="D1063" t="s">
        <v>1433</v>
      </c>
      <c r="E1063" t="s">
        <v>292</v>
      </c>
      <c r="F1063" t="s">
        <v>2</v>
      </c>
      <c r="G1063" t="s">
        <v>38</v>
      </c>
      <c r="H1063" t="s">
        <v>39</v>
      </c>
      <c r="I1063" s="5" t="s">
        <v>294</v>
      </c>
      <c r="J1063" s="5" t="s">
        <v>2</v>
      </c>
      <c r="K1063" s="5" t="s">
        <v>2</v>
      </c>
      <c r="L1063" s="6">
        <f>IF(I1063="Cut","",IF(I1063="Your call","(decide)",IF(I1063="Rename",J1063,IF(I1063="Keep",IF(D1063="",E1063,D1063),IF(E1063="(unchanged)",D1063,E1063)))))</f>
      </c>
      <c r="M1063" s="6">
        <f>IF(AND(I1063="Cut",N1063&gt;0,K1063=""),"USED: say what replaces it (Note)",IF(AND(I1063="Rename",J1063=""),"type the new name",IF(AND(L1063&lt;&gt;"",L1063&lt;&gt;"(decide)",COUNTIF($L$2:$L$1680,L1063)&gt;1),"SAME FINAL NAME AS ANOTHER ROW","")))</f>
      </c>
      <c r="N1063" s="6">
        <v>0</v>
      </c>
      <c r="O1063" s="6" t="s">
        <v>2</v>
      </c>
    </row>
    <row r="1064" spans="1:15" x14ac:dyDescent="0.25">
      <c r="A1064">
        <v>1063</v>
      </c>
      <c r="B1064" t="s">
        <v>1358</v>
      </c>
      <c r="C1064" t="s">
        <v>1432</v>
      </c>
      <c r="D1064" t="s">
        <v>1434</v>
      </c>
      <c r="E1064" t="s">
        <v>292</v>
      </c>
      <c r="F1064" t="s">
        <v>2</v>
      </c>
      <c r="G1064" t="s">
        <v>38</v>
      </c>
      <c r="H1064" t="s">
        <v>39</v>
      </c>
      <c r="I1064" s="5" t="s">
        <v>294</v>
      </c>
      <c r="J1064" s="5" t="s">
        <v>2</v>
      </c>
      <c r="K1064" s="5" t="s">
        <v>2</v>
      </c>
      <c r="L1064" s="6">
        <f>IF(I1064="Cut","",IF(I1064="Your call","(decide)",IF(I1064="Rename",J1064,IF(I1064="Keep",IF(D1064="",E1064,D1064),IF(E1064="(unchanged)",D1064,E1064)))))</f>
      </c>
      <c r="M1064" s="6">
        <f>IF(AND(I1064="Cut",N1064&gt;0,K1064=""),"USED: say what replaces it (Note)",IF(AND(I1064="Rename",J1064=""),"type the new name",IF(AND(L1064&lt;&gt;"",L1064&lt;&gt;"(decide)",COUNTIF($L$2:$L$1680,L1064)&gt;1),"SAME FINAL NAME AS ANOTHER ROW","")))</f>
      </c>
      <c r="N1064" s="6">
        <v>0</v>
      </c>
      <c r="O1064" s="6" t="s">
        <v>2</v>
      </c>
    </row>
    <row r="1065" spans="1:15" x14ac:dyDescent="0.25">
      <c r="A1065">
        <v>1064</v>
      </c>
      <c r="B1065" t="s">
        <v>1358</v>
      </c>
      <c r="C1065" t="s">
        <v>2</v>
      </c>
      <c r="D1065" t="s">
        <v>1435</v>
      </c>
      <c r="E1065" t="s">
        <v>292</v>
      </c>
      <c r="F1065" t="s">
        <v>2</v>
      </c>
      <c r="G1065" t="s">
        <v>94</v>
      </c>
      <c r="H1065" t="s">
        <v>39</v>
      </c>
      <c r="I1065" s="5" t="s">
        <v>294</v>
      </c>
      <c r="J1065" s="5" t="s">
        <v>2</v>
      </c>
      <c r="K1065" s="5" t="s">
        <v>2</v>
      </c>
      <c r="L1065" s="6">
        <f>IF(I1065="Cut","",IF(I1065="Your call","(decide)",IF(I1065="Rename",J1065,IF(I1065="Keep",IF(D1065="",E1065,D1065),IF(E1065="(unchanged)",D1065,E1065)))))</f>
      </c>
      <c r="M1065" s="6">
        <f>IF(AND(I1065="Cut",N1065&gt;0,K1065=""),"USED: say what replaces it (Note)",IF(AND(I1065="Rename",J1065=""),"type the new name",IF(AND(L1065&lt;&gt;"",L1065&lt;&gt;"(decide)",COUNTIF($L$2:$L$1680,L1065)&gt;1),"SAME FINAL NAME AS ANOTHER ROW","")))</f>
      </c>
      <c r="N1065" s="6">
        <v>1</v>
      </c>
      <c r="O1065" s="6" t="s">
        <v>2</v>
      </c>
    </row>
    <row r="1066" spans="1:15" x14ac:dyDescent="0.25">
      <c r="A1066">
        <v>1065</v>
      </c>
      <c r="B1066" t="s">
        <v>1358</v>
      </c>
      <c r="C1066" t="s">
        <v>1436</v>
      </c>
      <c r="D1066" t="s">
        <v>1437</v>
      </c>
      <c r="E1066" t="s">
        <v>292</v>
      </c>
      <c r="F1066" t="s">
        <v>2</v>
      </c>
      <c r="G1066" t="s">
        <v>38</v>
      </c>
      <c r="H1066" t="s">
        <v>39</v>
      </c>
      <c r="I1066" s="5" t="s">
        <v>294</v>
      </c>
      <c r="J1066" s="5" t="s">
        <v>2</v>
      </c>
      <c r="K1066" s="5" t="s">
        <v>2</v>
      </c>
      <c r="L1066" s="6">
        <f>IF(I1066="Cut","",IF(I1066="Your call","(decide)",IF(I1066="Rename",J1066,IF(I1066="Keep",IF(D1066="",E1066,D1066),IF(E1066="(unchanged)",D1066,E1066)))))</f>
      </c>
      <c r="M1066" s="6">
        <f>IF(AND(I1066="Cut",N1066&gt;0,K1066=""),"USED: say what replaces it (Note)",IF(AND(I1066="Rename",J1066=""),"type the new name",IF(AND(L1066&lt;&gt;"",L1066&lt;&gt;"(decide)",COUNTIF($L$2:$L$1680,L1066)&gt;1),"SAME FINAL NAME AS ANOTHER ROW","")))</f>
      </c>
      <c r="N1066" s="6">
        <v>0</v>
      </c>
      <c r="O1066" s="6" t="s">
        <v>2</v>
      </c>
    </row>
    <row r="1067" spans="1:15" x14ac:dyDescent="0.25">
      <c r="A1067">
        <v>1066</v>
      </c>
      <c r="B1067" t="s">
        <v>1358</v>
      </c>
      <c r="C1067" t="s">
        <v>1436</v>
      </c>
      <c r="D1067" t="s">
        <v>1438</v>
      </c>
      <c r="E1067" t="s">
        <v>292</v>
      </c>
      <c r="F1067" t="s">
        <v>2</v>
      </c>
      <c r="G1067" t="s">
        <v>38</v>
      </c>
      <c r="H1067" t="s">
        <v>39</v>
      </c>
      <c r="I1067" s="5" t="s">
        <v>294</v>
      </c>
      <c r="J1067" s="5" t="s">
        <v>2</v>
      </c>
      <c r="K1067" s="5" t="s">
        <v>2</v>
      </c>
      <c r="L1067" s="6">
        <f>IF(I1067="Cut","",IF(I1067="Your call","(decide)",IF(I1067="Rename",J1067,IF(I1067="Keep",IF(D1067="",E1067,D1067),IF(E1067="(unchanged)",D1067,E1067)))))</f>
      </c>
      <c r="M1067" s="6">
        <f>IF(AND(I1067="Cut",N1067&gt;0,K1067=""),"USED: say what replaces it (Note)",IF(AND(I1067="Rename",J1067=""),"type the new name",IF(AND(L1067&lt;&gt;"",L1067&lt;&gt;"(decide)",COUNTIF($L$2:$L$1680,L1067)&gt;1),"SAME FINAL NAME AS ANOTHER ROW","")))</f>
      </c>
      <c r="N1067" s="6">
        <v>0</v>
      </c>
      <c r="O1067" s="6" t="s">
        <v>2</v>
      </c>
    </row>
    <row r="1068" spans="1:15" x14ac:dyDescent="0.25">
      <c r="A1068">
        <v>1067</v>
      </c>
      <c r="B1068" t="s">
        <v>1358</v>
      </c>
      <c r="C1068" t="s">
        <v>1439</v>
      </c>
      <c r="D1068" t="s">
        <v>1440</v>
      </c>
      <c r="E1068" t="s">
        <v>292</v>
      </c>
      <c r="F1068" t="s">
        <v>2</v>
      </c>
      <c r="G1068" t="s">
        <v>94</v>
      </c>
      <c r="H1068" t="s">
        <v>39</v>
      </c>
      <c r="I1068" s="5" t="s">
        <v>294</v>
      </c>
      <c r="J1068" s="5" t="s">
        <v>2</v>
      </c>
      <c r="K1068" s="5" t="s">
        <v>2</v>
      </c>
      <c r="L1068" s="6">
        <f>IF(I1068="Cut","",IF(I1068="Your call","(decide)",IF(I1068="Rename",J1068,IF(I1068="Keep",IF(D1068="",E1068,D1068),IF(E1068="(unchanged)",D1068,E1068)))))</f>
      </c>
      <c r="M1068" s="6">
        <f>IF(AND(I1068="Cut",N1068&gt;0,K1068=""),"USED: say what replaces it (Note)",IF(AND(I1068="Rename",J1068=""),"type the new name",IF(AND(L1068&lt;&gt;"",L1068&lt;&gt;"(decide)",COUNTIF($L$2:$L$1680,L1068)&gt;1),"SAME FINAL NAME AS ANOTHER ROW","")))</f>
      </c>
      <c r="N1068" s="6">
        <v>1</v>
      </c>
      <c r="O1068" s="6" t="s">
        <v>2</v>
      </c>
    </row>
    <row r="1069" spans="1:15" x14ac:dyDescent="0.25">
      <c r="A1069">
        <v>1068</v>
      </c>
      <c r="B1069" t="s">
        <v>1358</v>
      </c>
      <c r="C1069" t="s">
        <v>1439</v>
      </c>
      <c r="D1069" t="s">
        <v>1441</v>
      </c>
      <c r="E1069" t="s">
        <v>292</v>
      </c>
      <c r="F1069" t="s">
        <v>2</v>
      </c>
      <c r="G1069" t="s">
        <v>38</v>
      </c>
      <c r="H1069" t="s">
        <v>39</v>
      </c>
      <c r="I1069" s="5" t="s">
        <v>294</v>
      </c>
      <c r="J1069" s="5" t="s">
        <v>2</v>
      </c>
      <c r="K1069" s="5" t="s">
        <v>2</v>
      </c>
      <c r="L1069" s="6">
        <f>IF(I1069="Cut","",IF(I1069="Your call","(decide)",IF(I1069="Rename",J1069,IF(I1069="Keep",IF(D1069="",E1069,D1069),IF(E1069="(unchanged)",D1069,E1069)))))</f>
      </c>
      <c r="M1069" s="6">
        <f>IF(AND(I1069="Cut",N1069&gt;0,K1069=""),"USED: say what replaces it (Note)",IF(AND(I1069="Rename",J1069=""),"type the new name",IF(AND(L1069&lt;&gt;"",L1069&lt;&gt;"(decide)",COUNTIF($L$2:$L$1680,L1069)&gt;1),"SAME FINAL NAME AS ANOTHER ROW","")))</f>
      </c>
      <c r="N1069" s="6">
        <v>0</v>
      </c>
      <c r="O1069" s="6" t="s">
        <v>2</v>
      </c>
    </row>
    <row r="1070" spans="1:15" x14ac:dyDescent="0.25">
      <c r="A1070">
        <v>1069</v>
      </c>
      <c r="B1070" t="s">
        <v>1358</v>
      </c>
      <c r="C1070" t="s">
        <v>1439</v>
      </c>
      <c r="D1070" t="s">
        <v>1442</v>
      </c>
      <c r="E1070" t="s">
        <v>292</v>
      </c>
      <c r="F1070" t="s">
        <v>2</v>
      </c>
      <c r="G1070" t="s">
        <v>38</v>
      </c>
      <c r="H1070" t="s">
        <v>39</v>
      </c>
      <c r="I1070" s="5" t="s">
        <v>294</v>
      </c>
      <c r="J1070" s="5" t="s">
        <v>2</v>
      </c>
      <c r="K1070" s="5" t="s">
        <v>2</v>
      </c>
      <c r="L1070" s="6">
        <f>IF(I1070="Cut","",IF(I1070="Your call","(decide)",IF(I1070="Rename",J1070,IF(I1070="Keep",IF(D1070="",E1070,D1070),IF(E1070="(unchanged)",D1070,E1070)))))</f>
      </c>
      <c r="M1070" s="6">
        <f>IF(AND(I1070="Cut",N1070&gt;0,K1070=""),"USED: say what replaces it (Note)",IF(AND(I1070="Rename",J1070=""),"type the new name",IF(AND(L1070&lt;&gt;"",L1070&lt;&gt;"(decide)",COUNTIF($L$2:$L$1680,L1070)&gt;1),"SAME FINAL NAME AS ANOTHER ROW","")))</f>
      </c>
      <c r="N1070" s="6">
        <v>0</v>
      </c>
      <c r="O1070" s="6" t="s">
        <v>2</v>
      </c>
    </row>
    <row r="1071" spans="1:15" x14ac:dyDescent="0.25">
      <c r="A1071">
        <v>1070</v>
      </c>
      <c r="B1071" t="s">
        <v>1358</v>
      </c>
      <c r="C1071" t="s">
        <v>1439</v>
      </c>
      <c r="D1071" t="s">
        <v>1443</v>
      </c>
      <c r="E1071" t="s">
        <v>292</v>
      </c>
      <c r="F1071" t="s">
        <v>2</v>
      </c>
      <c r="G1071" t="s">
        <v>94</v>
      </c>
      <c r="H1071" t="s">
        <v>39</v>
      </c>
      <c r="I1071" s="5" t="s">
        <v>294</v>
      </c>
      <c r="J1071" s="5" t="s">
        <v>2</v>
      </c>
      <c r="K1071" s="5" t="s">
        <v>2</v>
      </c>
      <c r="L1071" s="6">
        <f>IF(I1071="Cut","",IF(I1071="Your call","(decide)",IF(I1071="Rename",J1071,IF(I1071="Keep",IF(D1071="",E1071,D1071),IF(E1071="(unchanged)",D1071,E1071)))))</f>
      </c>
      <c r="M1071" s="6">
        <f>IF(AND(I1071="Cut",N1071&gt;0,K1071=""),"USED: say what replaces it (Note)",IF(AND(I1071="Rename",J1071=""),"type the new name",IF(AND(L1071&lt;&gt;"",L1071&lt;&gt;"(decide)",COUNTIF($L$2:$L$1680,L1071)&gt;1),"SAME FINAL NAME AS ANOTHER ROW","")))</f>
      </c>
      <c r="N1071" s="6">
        <v>1</v>
      </c>
      <c r="O1071" s="6" t="s">
        <v>2</v>
      </c>
    </row>
    <row r="1072" spans="1:15" x14ac:dyDescent="0.25">
      <c r="A1072">
        <v>1071</v>
      </c>
      <c r="B1072" t="s">
        <v>1358</v>
      </c>
      <c r="C1072" t="s">
        <v>1439</v>
      </c>
      <c r="D1072" t="s">
        <v>1444</v>
      </c>
      <c r="E1072" t="s">
        <v>292</v>
      </c>
      <c r="F1072" t="s">
        <v>2</v>
      </c>
      <c r="G1072" t="s">
        <v>38</v>
      </c>
      <c r="H1072" t="s">
        <v>39</v>
      </c>
      <c r="I1072" s="5" t="s">
        <v>294</v>
      </c>
      <c r="J1072" s="5" t="s">
        <v>2</v>
      </c>
      <c r="K1072" s="5" t="s">
        <v>2</v>
      </c>
      <c r="L1072" s="6">
        <f>IF(I1072="Cut","",IF(I1072="Your call","(decide)",IF(I1072="Rename",J1072,IF(I1072="Keep",IF(D1072="",E1072,D1072),IF(E1072="(unchanged)",D1072,E1072)))))</f>
      </c>
      <c r="M1072" s="6">
        <f>IF(AND(I1072="Cut",N1072&gt;0,K1072=""),"USED: say what replaces it (Note)",IF(AND(I1072="Rename",J1072=""),"type the new name",IF(AND(L1072&lt;&gt;"",L1072&lt;&gt;"(decide)",COUNTIF($L$2:$L$1680,L1072)&gt;1),"SAME FINAL NAME AS ANOTHER ROW","")))</f>
      </c>
      <c r="N1072" s="6">
        <v>0</v>
      </c>
      <c r="O1072" s="6" t="s">
        <v>2</v>
      </c>
    </row>
    <row r="1073" spans="1:15" x14ac:dyDescent="0.25">
      <c r="A1073">
        <v>1072</v>
      </c>
      <c r="B1073" t="s">
        <v>1358</v>
      </c>
      <c r="C1073" t="s">
        <v>1445</v>
      </c>
      <c r="D1073" t="s">
        <v>1446</v>
      </c>
      <c r="E1073" t="s">
        <v>292</v>
      </c>
      <c r="F1073" t="s">
        <v>2</v>
      </c>
      <c r="G1073" t="s">
        <v>38</v>
      </c>
      <c r="H1073" t="s">
        <v>39</v>
      </c>
      <c r="I1073" s="5" t="s">
        <v>294</v>
      </c>
      <c r="J1073" s="5" t="s">
        <v>2</v>
      </c>
      <c r="K1073" s="5" t="s">
        <v>2</v>
      </c>
      <c r="L1073" s="6">
        <f>IF(I1073="Cut","",IF(I1073="Your call","(decide)",IF(I1073="Rename",J1073,IF(I1073="Keep",IF(D1073="",E1073,D1073),IF(E1073="(unchanged)",D1073,E1073)))))</f>
      </c>
      <c r="M1073" s="6">
        <f>IF(AND(I1073="Cut",N1073&gt;0,K1073=""),"USED: say what replaces it (Note)",IF(AND(I1073="Rename",J1073=""),"type the new name",IF(AND(L1073&lt;&gt;"",L1073&lt;&gt;"(decide)",COUNTIF($L$2:$L$1680,L1073)&gt;1),"SAME FINAL NAME AS ANOTHER ROW","")))</f>
      </c>
      <c r="N1073" s="6">
        <v>0</v>
      </c>
      <c r="O1073" s="6" t="s">
        <v>2</v>
      </c>
    </row>
    <row r="1074" spans="1:15" x14ac:dyDescent="0.25">
      <c r="A1074">
        <v>1073</v>
      </c>
      <c r="B1074" t="s">
        <v>1358</v>
      </c>
      <c r="C1074" t="s">
        <v>1445</v>
      </c>
      <c r="D1074" t="s">
        <v>1447</v>
      </c>
      <c r="E1074" t="s">
        <v>292</v>
      </c>
      <c r="F1074" t="s">
        <v>2</v>
      </c>
      <c r="G1074" t="s">
        <v>38</v>
      </c>
      <c r="H1074" t="s">
        <v>39</v>
      </c>
      <c r="I1074" s="5" t="s">
        <v>294</v>
      </c>
      <c r="J1074" s="5" t="s">
        <v>2</v>
      </c>
      <c r="K1074" s="5" t="s">
        <v>2</v>
      </c>
      <c r="L1074" s="6">
        <f>IF(I1074="Cut","",IF(I1074="Your call","(decide)",IF(I1074="Rename",J1074,IF(I1074="Keep",IF(D1074="",E1074,D1074),IF(E1074="(unchanged)",D1074,E1074)))))</f>
      </c>
      <c r="M1074" s="6">
        <f>IF(AND(I1074="Cut",N1074&gt;0,K1074=""),"USED: say what replaces it (Note)",IF(AND(I1074="Rename",J1074=""),"type the new name",IF(AND(L1074&lt;&gt;"",L1074&lt;&gt;"(decide)",COUNTIF($L$2:$L$1680,L1074)&gt;1),"SAME FINAL NAME AS ANOTHER ROW","")))</f>
      </c>
      <c r="N1074" s="6">
        <v>0</v>
      </c>
      <c r="O1074" s="6" t="s">
        <v>2</v>
      </c>
    </row>
    <row r="1075" spans="1:15" x14ac:dyDescent="0.25">
      <c r="A1075">
        <v>1074</v>
      </c>
      <c r="B1075" t="s">
        <v>1358</v>
      </c>
      <c r="C1075" t="s">
        <v>1448</v>
      </c>
      <c r="D1075" t="s">
        <v>1449</v>
      </c>
      <c r="E1075" t="s">
        <v>292</v>
      </c>
      <c r="F1075" t="s">
        <v>2</v>
      </c>
      <c r="G1075" t="s">
        <v>38</v>
      </c>
      <c r="H1075" t="s">
        <v>39</v>
      </c>
      <c r="I1075" s="5" t="s">
        <v>294</v>
      </c>
      <c r="J1075" s="5" t="s">
        <v>2</v>
      </c>
      <c r="K1075" s="5" t="s">
        <v>2</v>
      </c>
      <c r="L1075" s="6">
        <f>IF(I1075="Cut","",IF(I1075="Your call","(decide)",IF(I1075="Rename",J1075,IF(I1075="Keep",IF(D1075="",E1075,D1075),IF(E1075="(unchanged)",D1075,E1075)))))</f>
      </c>
      <c r="M1075" s="6">
        <f>IF(AND(I1075="Cut",N1075&gt;0,K1075=""),"USED: say what replaces it (Note)",IF(AND(I1075="Rename",J1075=""),"type the new name",IF(AND(L1075&lt;&gt;"",L1075&lt;&gt;"(decide)",COUNTIF($L$2:$L$1680,L1075)&gt;1),"SAME FINAL NAME AS ANOTHER ROW","")))</f>
      </c>
      <c r="N1075" s="6">
        <v>0</v>
      </c>
      <c r="O1075" s="6" t="s">
        <v>2</v>
      </c>
    </row>
    <row r="1076" spans="1:15" x14ac:dyDescent="0.25">
      <c r="A1076">
        <v>1075</v>
      </c>
      <c r="B1076" t="s">
        <v>1358</v>
      </c>
      <c r="C1076" t="s">
        <v>1448</v>
      </c>
      <c r="D1076" t="s">
        <v>1450</v>
      </c>
      <c r="E1076" t="s">
        <v>292</v>
      </c>
      <c r="F1076" t="s">
        <v>2</v>
      </c>
      <c r="G1076" t="s">
        <v>38</v>
      </c>
      <c r="H1076" t="s">
        <v>39</v>
      </c>
      <c r="I1076" s="5" t="s">
        <v>294</v>
      </c>
      <c r="J1076" s="5" t="s">
        <v>2</v>
      </c>
      <c r="K1076" s="5" t="s">
        <v>2</v>
      </c>
      <c r="L1076" s="6">
        <f>IF(I1076="Cut","",IF(I1076="Your call","(decide)",IF(I1076="Rename",J1076,IF(I1076="Keep",IF(D1076="",E1076,D1076),IF(E1076="(unchanged)",D1076,E1076)))))</f>
      </c>
      <c r="M1076" s="6">
        <f>IF(AND(I1076="Cut",N1076&gt;0,K1076=""),"USED: say what replaces it (Note)",IF(AND(I1076="Rename",J1076=""),"type the new name",IF(AND(L1076&lt;&gt;"",L1076&lt;&gt;"(decide)",COUNTIF($L$2:$L$1680,L1076)&gt;1),"SAME FINAL NAME AS ANOTHER ROW","")))</f>
      </c>
      <c r="N1076" s="6">
        <v>0</v>
      </c>
      <c r="O1076" s="6" t="s">
        <v>2</v>
      </c>
    </row>
    <row r="1077" spans="1:15" x14ac:dyDescent="0.25">
      <c r="A1077">
        <v>1076</v>
      </c>
      <c r="B1077" t="s">
        <v>1358</v>
      </c>
      <c r="C1077" t="s">
        <v>1448</v>
      </c>
      <c r="D1077" t="s">
        <v>1451</v>
      </c>
      <c r="E1077" t="s">
        <v>292</v>
      </c>
      <c r="F1077" t="s">
        <v>2</v>
      </c>
      <c r="G1077" t="s">
        <v>38</v>
      </c>
      <c r="H1077" t="s">
        <v>39</v>
      </c>
      <c r="I1077" s="5" t="s">
        <v>294</v>
      </c>
      <c r="J1077" s="5" t="s">
        <v>2</v>
      </c>
      <c r="K1077" s="5" t="s">
        <v>2</v>
      </c>
      <c r="L1077" s="6">
        <f>IF(I1077="Cut","",IF(I1077="Your call","(decide)",IF(I1077="Rename",J1077,IF(I1077="Keep",IF(D1077="",E1077,D1077),IF(E1077="(unchanged)",D1077,E1077)))))</f>
      </c>
      <c r="M1077" s="6">
        <f>IF(AND(I1077="Cut",N1077&gt;0,K1077=""),"USED: say what replaces it (Note)",IF(AND(I1077="Rename",J1077=""),"type the new name",IF(AND(L1077&lt;&gt;"",L1077&lt;&gt;"(decide)",COUNTIF($L$2:$L$1680,L1077)&gt;1),"SAME FINAL NAME AS ANOTHER ROW","")))</f>
      </c>
      <c r="N1077" s="6">
        <v>0</v>
      </c>
      <c r="O1077" s="6" t="s">
        <v>2</v>
      </c>
    </row>
    <row r="1078" spans="1:15" x14ac:dyDescent="0.25">
      <c r="A1078">
        <v>1077</v>
      </c>
      <c r="B1078" t="s">
        <v>1358</v>
      </c>
      <c r="C1078" t="s">
        <v>1448</v>
      </c>
      <c r="D1078" t="s">
        <v>1452</v>
      </c>
      <c r="E1078" t="s">
        <v>292</v>
      </c>
      <c r="F1078" t="s">
        <v>2</v>
      </c>
      <c r="G1078" t="s">
        <v>71</v>
      </c>
      <c r="H1078" t="s">
        <v>39</v>
      </c>
      <c r="I1078" s="5" t="s">
        <v>294</v>
      </c>
      <c r="J1078" s="5" t="s">
        <v>2</v>
      </c>
      <c r="K1078" s="5" t="s">
        <v>2</v>
      </c>
      <c r="L1078" s="6">
        <f>IF(I1078="Cut","",IF(I1078="Your call","(decide)",IF(I1078="Rename",J1078,IF(I1078="Keep",IF(D1078="",E1078,D1078),IF(E1078="(unchanged)",D1078,E1078)))))</f>
      </c>
      <c r="M1078" s="6">
        <f>IF(AND(I1078="Cut",N1078&gt;0,K1078=""),"USED: say what replaces it (Note)",IF(AND(I1078="Rename",J1078=""),"type the new name",IF(AND(L1078&lt;&gt;"",L1078&lt;&gt;"(decide)",COUNTIF($L$2:$L$1680,L1078)&gt;1),"SAME FINAL NAME AS ANOTHER ROW","")))</f>
      </c>
      <c r="N1078" s="6">
        <v>4</v>
      </c>
      <c r="O1078" s="6" t="s">
        <v>2</v>
      </c>
    </row>
    <row r="1079" spans="1:15" x14ac:dyDescent="0.25">
      <c r="A1079">
        <v>1078</v>
      </c>
      <c r="B1079" t="s">
        <v>1358</v>
      </c>
      <c r="C1079" t="s">
        <v>1448</v>
      </c>
      <c r="D1079" t="s">
        <v>1453</v>
      </c>
      <c r="E1079" t="s">
        <v>292</v>
      </c>
      <c r="F1079" t="s">
        <v>2</v>
      </c>
      <c r="G1079" t="s">
        <v>38</v>
      </c>
      <c r="H1079" t="s">
        <v>39</v>
      </c>
      <c r="I1079" s="5" t="s">
        <v>294</v>
      </c>
      <c r="J1079" s="5" t="s">
        <v>2</v>
      </c>
      <c r="K1079" s="5" t="s">
        <v>2</v>
      </c>
      <c r="L1079" s="6">
        <f>IF(I1079="Cut","",IF(I1079="Your call","(decide)",IF(I1079="Rename",J1079,IF(I1079="Keep",IF(D1079="",E1079,D1079),IF(E1079="(unchanged)",D1079,E1079)))))</f>
      </c>
      <c r="M1079" s="6">
        <f>IF(AND(I1079="Cut",N1079&gt;0,K1079=""),"USED: say what replaces it (Note)",IF(AND(I1079="Rename",J1079=""),"type the new name",IF(AND(L1079&lt;&gt;"",L1079&lt;&gt;"(decide)",COUNTIF($L$2:$L$1680,L1079)&gt;1),"SAME FINAL NAME AS ANOTHER ROW","")))</f>
      </c>
      <c r="N1079" s="6">
        <v>0</v>
      </c>
      <c r="O1079" s="6" t="s">
        <v>2</v>
      </c>
    </row>
    <row r="1080" spans="1:15" x14ac:dyDescent="0.25">
      <c r="A1080">
        <v>1079</v>
      </c>
      <c r="B1080" t="s">
        <v>1358</v>
      </c>
      <c r="C1080" t="s">
        <v>1448</v>
      </c>
      <c r="D1080" t="s">
        <v>1454</v>
      </c>
      <c r="E1080" t="s">
        <v>292</v>
      </c>
      <c r="F1080" t="s">
        <v>2</v>
      </c>
      <c r="G1080" t="s">
        <v>38</v>
      </c>
      <c r="H1080" t="s">
        <v>39</v>
      </c>
      <c r="I1080" s="5" t="s">
        <v>294</v>
      </c>
      <c r="J1080" s="5" t="s">
        <v>2</v>
      </c>
      <c r="K1080" s="5" t="s">
        <v>2</v>
      </c>
      <c r="L1080" s="6">
        <f>IF(I1080="Cut","",IF(I1080="Your call","(decide)",IF(I1080="Rename",J1080,IF(I1080="Keep",IF(D1080="",E1080,D1080),IF(E1080="(unchanged)",D1080,E1080)))))</f>
      </c>
      <c r="M1080" s="6">
        <f>IF(AND(I1080="Cut",N1080&gt;0,K1080=""),"USED: say what replaces it (Note)",IF(AND(I1080="Rename",J1080=""),"type the new name",IF(AND(L1080&lt;&gt;"",L1080&lt;&gt;"(decide)",COUNTIF($L$2:$L$1680,L1080)&gt;1),"SAME FINAL NAME AS ANOTHER ROW","")))</f>
      </c>
      <c r="N1080" s="6">
        <v>0</v>
      </c>
      <c r="O1080" s="6" t="s">
        <v>2</v>
      </c>
    </row>
    <row r="1081" spans="1:15" x14ac:dyDescent="0.25">
      <c r="A1081">
        <v>1080</v>
      </c>
      <c r="B1081" t="s">
        <v>1358</v>
      </c>
      <c r="C1081" t="s">
        <v>1448</v>
      </c>
      <c r="D1081" t="s">
        <v>1455</v>
      </c>
      <c r="E1081" t="s">
        <v>292</v>
      </c>
      <c r="F1081" t="s">
        <v>2</v>
      </c>
      <c r="G1081" t="s">
        <v>38</v>
      </c>
      <c r="H1081" t="s">
        <v>39</v>
      </c>
      <c r="I1081" s="5" t="s">
        <v>294</v>
      </c>
      <c r="J1081" s="5" t="s">
        <v>2</v>
      </c>
      <c r="K1081" s="5" t="s">
        <v>2</v>
      </c>
      <c r="L1081" s="6">
        <f>IF(I1081="Cut","",IF(I1081="Your call","(decide)",IF(I1081="Rename",J1081,IF(I1081="Keep",IF(D1081="",E1081,D1081),IF(E1081="(unchanged)",D1081,E1081)))))</f>
      </c>
      <c r="M1081" s="6">
        <f>IF(AND(I1081="Cut",N1081&gt;0,K1081=""),"USED: say what replaces it (Note)",IF(AND(I1081="Rename",J1081=""),"type the new name",IF(AND(L1081&lt;&gt;"",L1081&lt;&gt;"(decide)",COUNTIF($L$2:$L$1680,L1081)&gt;1),"SAME FINAL NAME AS ANOTHER ROW","")))</f>
      </c>
      <c r="N1081" s="6">
        <v>0</v>
      </c>
      <c r="O1081" s="6" t="s">
        <v>2</v>
      </c>
    </row>
    <row r="1082" spans="1:15" x14ac:dyDescent="0.25">
      <c r="A1082">
        <v>1081</v>
      </c>
      <c r="B1082" t="s">
        <v>1358</v>
      </c>
      <c r="C1082" t="s">
        <v>1448</v>
      </c>
      <c r="D1082" t="s">
        <v>1456</v>
      </c>
      <c r="E1082" t="s">
        <v>292</v>
      </c>
      <c r="F1082" t="s">
        <v>2</v>
      </c>
      <c r="G1082" t="s">
        <v>38</v>
      </c>
      <c r="H1082" t="s">
        <v>39</v>
      </c>
      <c r="I1082" s="5" t="s">
        <v>294</v>
      </c>
      <c r="J1082" s="5" t="s">
        <v>2</v>
      </c>
      <c r="K1082" s="5" t="s">
        <v>2</v>
      </c>
      <c r="L1082" s="6">
        <f>IF(I1082="Cut","",IF(I1082="Your call","(decide)",IF(I1082="Rename",J1082,IF(I1082="Keep",IF(D1082="",E1082,D1082),IF(E1082="(unchanged)",D1082,E1082)))))</f>
      </c>
      <c r="M1082" s="6">
        <f>IF(AND(I1082="Cut",N1082&gt;0,K1082=""),"USED: say what replaces it (Note)",IF(AND(I1082="Rename",J1082=""),"type the new name",IF(AND(L1082&lt;&gt;"",L1082&lt;&gt;"(decide)",COUNTIF($L$2:$L$1680,L1082)&gt;1),"SAME FINAL NAME AS ANOTHER ROW","")))</f>
      </c>
      <c r="N1082" s="6">
        <v>0</v>
      </c>
      <c r="O1082" s="6" t="s">
        <v>2</v>
      </c>
    </row>
    <row r="1083" spans="1:15" x14ac:dyDescent="0.25">
      <c r="A1083">
        <v>1082</v>
      </c>
      <c r="B1083" t="s">
        <v>1358</v>
      </c>
      <c r="C1083" t="s">
        <v>1448</v>
      </c>
      <c r="D1083" t="s">
        <v>1457</v>
      </c>
      <c r="E1083" t="s">
        <v>292</v>
      </c>
      <c r="F1083" t="s">
        <v>2</v>
      </c>
      <c r="G1083" t="s">
        <v>38</v>
      </c>
      <c r="H1083" t="s">
        <v>39</v>
      </c>
      <c r="I1083" s="5" t="s">
        <v>294</v>
      </c>
      <c r="J1083" s="5" t="s">
        <v>2</v>
      </c>
      <c r="K1083" s="5" t="s">
        <v>2</v>
      </c>
      <c r="L1083" s="6">
        <f>IF(I1083="Cut","",IF(I1083="Your call","(decide)",IF(I1083="Rename",J1083,IF(I1083="Keep",IF(D1083="",E1083,D1083),IF(E1083="(unchanged)",D1083,E1083)))))</f>
      </c>
      <c r="M1083" s="6">
        <f>IF(AND(I1083="Cut",N1083&gt;0,K1083=""),"USED: say what replaces it (Note)",IF(AND(I1083="Rename",J1083=""),"type the new name",IF(AND(L1083&lt;&gt;"",L1083&lt;&gt;"(decide)",COUNTIF($L$2:$L$1680,L1083)&gt;1),"SAME FINAL NAME AS ANOTHER ROW","")))</f>
      </c>
      <c r="N1083" s="6">
        <v>0</v>
      </c>
      <c r="O1083" s="6" t="s">
        <v>2</v>
      </c>
    </row>
    <row r="1084" spans="1:15" x14ac:dyDescent="0.25">
      <c r="A1084">
        <v>1083</v>
      </c>
      <c r="B1084" t="s">
        <v>1358</v>
      </c>
      <c r="C1084" t="s">
        <v>1448</v>
      </c>
      <c r="D1084" t="s">
        <v>1458</v>
      </c>
      <c r="E1084" t="s">
        <v>292</v>
      </c>
      <c r="F1084" t="s">
        <v>2</v>
      </c>
      <c r="G1084" t="s">
        <v>94</v>
      </c>
      <c r="H1084" t="s">
        <v>39</v>
      </c>
      <c r="I1084" s="5" t="s">
        <v>294</v>
      </c>
      <c r="J1084" s="5" t="s">
        <v>2</v>
      </c>
      <c r="K1084" s="5" t="s">
        <v>2</v>
      </c>
      <c r="L1084" s="6">
        <f>IF(I1084="Cut","",IF(I1084="Your call","(decide)",IF(I1084="Rename",J1084,IF(I1084="Keep",IF(D1084="",E1084,D1084),IF(E1084="(unchanged)",D1084,E1084)))))</f>
      </c>
      <c r="M1084" s="6">
        <f>IF(AND(I1084="Cut",N1084&gt;0,K1084=""),"USED: say what replaces it (Note)",IF(AND(I1084="Rename",J1084=""),"type the new name",IF(AND(L1084&lt;&gt;"",L1084&lt;&gt;"(decide)",COUNTIF($L$2:$L$1680,L1084)&gt;1),"SAME FINAL NAME AS ANOTHER ROW","")))</f>
      </c>
      <c r="N1084" s="6">
        <v>1</v>
      </c>
      <c r="O1084" s="6" t="s">
        <v>2</v>
      </c>
    </row>
    <row r="1085" spans="1:15" x14ac:dyDescent="0.25">
      <c r="A1085">
        <v>1084</v>
      </c>
      <c r="B1085" t="s">
        <v>1358</v>
      </c>
      <c r="C1085" t="s">
        <v>1448</v>
      </c>
      <c r="D1085" t="s">
        <v>1459</v>
      </c>
      <c r="E1085" t="s">
        <v>292</v>
      </c>
      <c r="F1085" t="s">
        <v>2</v>
      </c>
      <c r="G1085" t="s">
        <v>38</v>
      </c>
      <c r="H1085" t="s">
        <v>39</v>
      </c>
      <c r="I1085" s="5" t="s">
        <v>294</v>
      </c>
      <c r="J1085" s="5" t="s">
        <v>2</v>
      </c>
      <c r="K1085" s="5" t="s">
        <v>2</v>
      </c>
      <c r="L1085" s="6">
        <f>IF(I1085="Cut","",IF(I1085="Your call","(decide)",IF(I1085="Rename",J1085,IF(I1085="Keep",IF(D1085="",E1085,D1085),IF(E1085="(unchanged)",D1085,E1085)))))</f>
      </c>
      <c r="M1085" s="6">
        <f>IF(AND(I1085="Cut",N1085&gt;0,K1085=""),"USED: say what replaces it (Note)",IF(AND(I1085="Rename",J1085=""),"type the new name",IF(AND(L1085&lt;&gt;"",L1085&lt;&gt;"(decide)",COUNTIF($L$2:$L$1680,L1085)&gt;1),"SAME FINAL NAME AS ANOTHER ROW","")))</f>
      </c>
      <c r="N1085" s="6">
        <v>0</v>
      </c>
      <c r="O1085" s="6" t="s">
        <v>2</v>
      </c>
    </row>
    <row r="1086" spans="1:15" x14ac:dyDescent="0.25">
      <c r="A1086">
        <v>1085</v>
      </c>
      <c r="B1086" t="s">
        <v>1358</v>
      </c>
      <c r="C1086" t="s">
        <v>1448</v>
      </c>
      <c r="D1086" t="s">
        <v>1460</v>
      </c>
      <c r="E1086" t="s">
        <v>292</v>
      </c>
      <c r="F1086" t="s">
        <v>2</v>
      </c>
      <c r="G1086" t="s">
        <v>38</v>
      </c>
      <c r="H1086" t="s">
        <v>39</v>
      </c>
      <c r="I1086" s="5" t="s">
        <v>294</v>
      </c>
      <c r="J1086" s="5" t="s">
        <v>2</v>
      </c>
      <c r="K1086" s="5" t="s">
        <v>2</v>
      </c>
      <c r="L1086" s="6">
        <f>IF(I1086="Cut","",IF(I1086="Your call","(decide)",IF(I1086="Rename",J1086,IF(I1086="Keep",IF(D1086="",E1086,D1086),IF(E1086="(unchanged)",D1086,E1086)))))</f>
      </c>
      <c r="M1086" s="6">
        <f>IF(AND(I1086="Cut",N1086&gt;0,K1086=""),"USED: say what replaces it (Note)",IF(AND(I1086="Rename",J1086=""),"type the new name",IF(AND(L1086&lt;&gt;"",L1086&lt;&gt;"(decide)",COUNTIF($L$2:$L$1680,L1086)&gt;1),"SAME FINAL NAME AS ANOTHER ROW","")))</f>
      </c>
      <c r="N1086" s="6">
        <v>0</v>
      </c>
      <c r="O1086" s="6" t="s">
        <v>2</v>
      </c>
    </row>
    <row r="1087" spans="1:15" x14ac:dyDescent="0.25">
      <c r="A1087">
        <v>1086</v>
      </c>
      <c r="B1087" t="s">
        <v>1358</v>
      </c>
      <c r="C1087" t="s">
        <v>1448</v>
      </c>
      <c r="D1087" t="s">
        <v>1461</v>
      </c>
      <c r="E1087" t="s">
        <v>292</v>
      </c>
      <c r="F1087" t="s">
        <v>2</v>
      </c>
      <c r="G1087" t="s">
        <v>94</v>
      </c>
      <c r="H1087" t="s">
        <v>39</v>
      </c>
      <c r="I1087" s="5" t="s">
        <v>294</v>
      </c>
      <c r="J1087" s="5" t="s">
        <v>2</v>
      </c>
      <c r="K1087" s="5" t="s">
        <v>2</v>
      </c>
      <c r="L1087" s="6">
        <f>IF(I1087="Cut","",IF(I1087="Your call","(decide)",IF(I1087="Rename",J1087,IF(I1087="Keep",IF(D1087="",E1087,D1087),IF(E1087="(unchanged)",D1087,E1087)))))</f>
      </c>
      <c r="M1087" s="6">
        <f>IF(AND(I1087="Cut",N1087&gt;0,K1087=""),"USED: say what replaces it (Note)",IF(AND(I1087="Rename",J1087=""),"type the new name",IF(AND(L1087&lt;&gt;"",L1087&lt;&gt;"(decide)",COUNTIF($L$2:$L$1680,L1087)&gt;1),"SAME FINAL NAME AS ANOTHER ROW","")))</f>
      </c>
      <c r="N1087" s="6">
        <v>1</v>
      </c>
      <c r="O1087" s="6" t="s">
        <v>2</v>
      </c>
    </row>
    <row r="1088" spans="1:15" x14ac:dyDescent="0.25">
      <c r="A1088">
        <v>1087</v>
      </c>
      <c r="B1088" t="s">
        <v>1358</v>
      </c>
      <c r="C1088" t="s">
        <v>1448</v>
      </c>
      <c r="D1088" t="s">
        <v>1462</v>
      </c>
      <c r="E1088" t="s">
        <v>292</v>
      </c>
      <c r="F1088" t="s">
        <v>2</v>
      </c>
      <c r="G1088" t="s">
        <v>38</v>
      </c>
      <c r="H1088" t="s">
        <v>39</v>
      </c>
      <c r="I1088" s="5" t="s">
        <v>294</v>
      </c>
      <c r="J1088" s="5" t="s">
        <v>2</v>
      </c>
      <c r="K1088" s="5" t="s">
        <v>2</v>
      </c>
      <c r="L1088" s="6">
        <f>IF(I1088="Cut","",IF(I1088="Your call","(decide)",IF(I1088="Rename",J1088,IF(I1088="Keep",IF(D1088="",E1088,D1088),IF(E1088="(unchanged)",D1088,E1088)))))</f>
      </c>
      <c r="M1088" s="6">
        <f>IF(AND(I1088="Cut",N1088&gt;0,K1088=""),"USED: say what replaces it (Note)",IF(AND(I1088="Rename",J1088=""),"type the new name",IF(AND(L1088&lt;&gt;"",L1088&lt;&gt;"(decide)",COUNTIF($L$2:$L$1680,L1088)&gt;1),"SAME FINAL NAME AS ANOTHER ROW","")))</f>
      </c>
      <c r="N1088" s="6">
        <v>0</v>
      </c>
      <c r="O1088" s="6" t="s">
        <v>2</v>
      </c>
    </row>
    <row r="1089" spans="1:15" x14ac:dyDescent="0.25">
      <c r="A1089">
        <v>1088</v>
      </c>
      <c r="B1089" t="s">
        <v>1358</v>
      </c>
      <c r="C1089" t="s">
        <v>1448</v>
      </c>
      <c r="D1089" t="s">
        <v>1463</v>
      </c>
      <c r="E1089" t="s">
        <v>292</v>
      </c>
      <c r="F1089" t="s">
        <v>2</v>
      </c>
      <c r="G1089" t="s">
        <v>38</v>
      </c>
      <c r="H1089" t="s">
        <v>39</v>
      </c>
      <c r="I1089" s="5" t="s">
        <v>294</v>
      </c>
      <c r="J1089" s="5" t="s">
        <v>2</v>
      </c>
      <c r="K1089" s="5" t="s">
        <v>2</v>
      </c>
      <c r="L1089" s="6">
        <f>IF(I1089="Cut","",IF(I1089="Your call","(decide)",IF(I1089="Rename",J1089,IF(I1089="Keep",IF(D1089="",E1089,D1089),IF(E1089="(unchanged)",D1089,E1089)))))</f>
      </c>
      <c r="M1089" s="6">
        <f>IF(AND(I1089="Cut",N1089&gt;0,K1089=""),"USED: say what replaces it (Note)",IF(AND(I1089="Rename",J1089=""),"type the new name",IF(AND(L1089&lt;&gt;"",L1089&lt;&gt;"(decide)",COUNTIF($L$2:$L$1680,L1089)&gt;1),"SAME FINAL NAME AS ANOTHER ROW","")))</f>
      </c>
      <c r="N1089" s="6">
        <v>0</v>
      </c>
      <c r="O1089" s="6" t="s">
        <v>2</v>
      </c>
    </row>
    <row r="1090" spans="1:15" x14ac:dyDescent="0.25">
      <c r="A1090">
        <v>1089</v>
      </c>
      <c r="B1090" t="s">
        <v>1358</v>
      </c>
      <c r="C1090" t="s">
        <v>1448</v>
      </c>
      <c r="D1090" t="s">
        <v>1464</v>
      </c>
      <c r="E1090" t="s">
        <v>292</v>
      </c>
      <c r="F1090" t="s">
        <v>2</v>
      </c>
      <c r="G1090" t="s">
        <v>38</v>
      </c>
      <c r="H1090" t="s">
        <v>39</v>
      </c>
      <c r="I1090" s="5" t="s">
        <v>294</v>
      </c>
      <c r="J1090" s="5" t="s">
        <v>2</v>
      </c>
      <c r="K1090" s="5" t="s">
        <v>2</v>
      </c>
      <c r="L1090" s="6">
        <f>IF(I1090="Cut","",IF(I1090="Your call","(decide)",IF(I1090="Rename",J1090,IF(I1090="Keep",IF(D1090="",E1090,D1090),IF(E1090="(unchanged)",D1090,E1090)))))</f>
      </c>
      <c r="M1090" s="6">
        <f>IF(AND(I1090="Cut",N1090&gt;0,K1090=""),"USED: say what replaces it (Note)",IF(AND(I1090="Rename",J1090=""),"type the new name",IF(AND(L1090&lt;&gt;"",L1090&lt;&gt;"(decide)",COUNTIF($L$2:$L$1680,L1090)&gt;1),"SAME FINAL NAME AS ANOTHER ROW","")))</f>
      </c>
      <c r="N1090" s="6">
        <v>0</v>
      </c>
      <c r="O1090" s="6" t="s">
        <v>2</v>
      </c>
    </row>
    <row r="1091" spans="1:15" x14ac:dyDescent="0.25">
      <c r="A1091">
        <v>1090</v>
      </c>
      <c r="B1091" t="s">
        <v>1358</v>
      </c>
      <c r="C1091" t="s">
        <v>2</v>
      </c>
      <c r="D1091" t="s">
        <v>1465</v>
      </c>
      <c r="E1091" t="s">
        <v>292</v>
      </c>
      <c r="F1091" t="s">
        <v>2</v>
      </c>
      <c r="G1091" t="s">
        <v>38</v>
      </c>
      <c r="H1091" t="s">
        <v>39</v>
      </c>
      <c r="I1091" s="5" t="s">
        <v>294</v>
      </c>
      <c r="J1091" s="5" t="s">
        <v>2</v>
      </c>
      <c r="K1091" s="5" t="s">
        <v>2</v>
      </c>
      <c r="L1091" s="6">
        <f>IF(I1091="Cut","",IF(I1091="Your call","(decide)",IF(I1091="Rename",J1091,IF(I1091="Keep",IF(D1091="",E1091,D1091),IF(E1091="(unchanged)",D1091,E1091)))))</f>
      </c>
      <c r="M1091" s="6">
        <f>IF(AND(I1091="Cut",N1091&gt;0,K1091=""),"USED: say what replaces it (Note)",IF(AND(I1091="Rename",J1091=""),"type the new name",IF(AND(L1091&lt;&gt;"",L1091&lt;&gt;"(decide)",COUNTIF($L$2:$L$1680,L1091)&gt;1),"SAME FINAL NAME AS ANOTHER ROW","")))</f>
      </c>
      <c r="N1091" s="6">
        <v>0</v>
      </c>
      <c r="O1091" s="6" t="s">
        <v>2</v>
      </c>
    </row>
    <row r="1092" spans="1:15" x14ac:dyDescent="0.25">
      <c r="A1092">
        <v>1091</v>
      </c>
      <c r="B1092" t="s">
        <v>1358</v>
      </c>
      <c r="C1092" t="s">
        <v>2</v>
      </c>
      <c r="D1092" t="s">
        <v>1466</v>
      </c>
      <c r="E1092" t="s">
        <v>292</v>
      </c>
      <c r="F1092" t="s">
        <v>2</v>
      </c>
      <c r="G1092" t="s">
        <v>38</v>
      </c>
      <c r="H1092" t="s">
        <v>39</v>
      </c>
      <c r="I1092" s="5" t="s">
        <v>294</v>
      </c>
      <c r="J1092" s="5" t="s">
        <v>2</v>
      </c>
      <c r="K1092" s="5" t="s">
        <v>2</v>
      </c>
      <c r="L1092" s="6">
        <f>IF(I1092="Cut","",IF(I1092="Your call","(decide)",IF(I1092="Rename",J1092,IF(I1092="Keep",IF(D1092="",E1092,D1092),IF(E1092="(unchanged)",D1092,E1092)))))</f>
      </c>
      <c r="M1092" s="6">
        <f>IF(AND(I1092="Cut",N1092&gt;0,K1092=""),"USED: say what replaces it (Note)",IF(AND(I1092="Rename",J1092=""),"type the new name",IF(AND(L1092&lt;&gt;"",L1092&lt;&gt;"(decide)",COUNTIF($L$2:$L$1680,L1092)&gt;1),"SAME FINAL NAME AS ANOTHER ROW","")))</f>
      </c>
      <c r="N1092" s="6">
        <v>0</v>
      </c>
      <c r="O1092" s="6" t="s">
        <v>2</v>
      </c>
    </row>
    <row r="1093" spans="1:15" x14ac:dyDescent="0.25">
      <c r="A1093">
        <v>1092</v>
      </c>
      <c r="B1093" t="s">
        <v>1358</v>
      </c>
      <c r="C1093" t="s">
        <v>2</v>
      </c>
      <c r="D1093" t="s">
        <v>1467</v>
      </c>
      <c r="E1093" t="s">
        <v>292</v>
      </c>
      <c r="F1093" t="s">
        <v>2</v>
      </c>
      <c r="G1093" t="s">
        <v>38</v>
      </c>
      <c r="H1093" t="s">
        <v>39</v>
      </c>
      <c r="I1093" s="5" t="s">
        <v>294</v>
      </c>
      <c r="J1093" s="5" t="s">
        <v>2</v>
      </c>
      <c r="K1093" s="5" t="s">
        <v>2</v>
      </c>
      <c r="L1093" s="6">
        <f>IF(I1093="Cut","",IF(I1093="Your call","(decide)",IF(I1093="Rename",J1093,IF(I1093="Keep",IF(D1093="",E1093,D1093),IF(E1093="(unchanged)",D1093,E1093)))))</f>
      </c>
      <c r="M1093" s="6">
        <f>IF(AND(I1093="Cut",N1093&gt;0,K1093=""),"USED: say what replaces it (Note)",IF(AND(I1093="Rename",J1093=""),"type the new name",IF(AND(L1093&lt;&gt;"",L1093&lt;&gt;"(decide)",COUNTIF($L$2:$L$1680,L1093)&gt;1),"SAME FINAL NAME AS ANOTHER ROW","")))</f>
      </c>
      <c r="N1093" s="6">
        <v>0</v>
      </c>
      <c r="O1093" s="6" t="s">
        <v>2</v>
      </c>
    </row>
    <row r="1094" spans="1:15" x14ac:dyDescent="0.25">
      <c r="A1094">
        <v>1093</v>
      </c>
      <c r="B1094" t="s">
        <v>1358</v>
      </c>
      <c r="C1094" t="s">
        <v>2</v>
      </c>
      <c r="D1094" t="s">
        <v>1468</v>
      </c>
      <c r="E1094" t="s">
        <v>292</v>
      </c>
      <c r="F1094" t="s">
        <v>2</v>
      </c>
      <c r="G1094" t="s">
        <v>94</v>
      </c>
      <c r="H1094" t="s">
        <v>39</v>
      </c>
      <c r="I1094" s="5" t="s">
        <v>294</v>
      </c>
      <c r="J1094" s="5" t="s">
        <v>2</v>
      </c>
      <c r="K1094" s="5" t="s">
        <v>2</v>
      </c>
      <c r="L1094" s="6">
        <f>IF(I1094="Cut","",IF(I1094="Your call","(decide)",IF(I1094="Rename",J1094,IF(I1094="Keep",IF(D1094="",E1094,D1094),IF(E1094="(unchanged)",D1094,E1094)))))</f>
      </c>
      <c r="M1094" s="6">
        <f>IF(AND(I1094="Cut",N1094&gt;0,K1094=""),"USED: say what replaces it (Note)",IF(AND(I1094="Rename",J1094=""),"type the new name",IF(AND(L1094&lt;&gt;"",L1094&lt;&gt;"(decide)",COUNTIF($L$2:$L$1680,L1094)&gt;1),"SAME FINAL NAME AS ANOTHER ROW","")))</f>
      </c>
      <c r="N1094" s="6">
        <v>1</v>
      </c>
      <c r="O1094" s="6" t="s">
        <v>2</v>
      </c>
    </row>
    <row r="1095" spans="1:15" x14ac:dyDescent="0.25">
      <c r="A1095">
        <v>1094</v>
      </c>
      <c r="B1095" t="s">
        <v>1358</v>
      </c>
      <c r="C1095" t="s">
        <v>2</v>
      </c>
      <c r="D1095" t="s">
        <v>1469</v>
      </c>
      <c r="E1095" t="s">
        <v>292</v>
      </c>
      <c r="F1095" t="s">
        <v>2</v>
      </c>
      <c r="G1095" t="s">
        <v>38</v>
      </c>
      <c r="H1095" t="s">
        <v>39</v>
      </c>
      <c r="I1095" s="5" t="s">
        <v>294</v>
      </c>
      <c r="J1095" s="5" t="s">
        <v>2</v>
      </c>
      <c r="K1095" s="5" t="s">
        <v>2</v>
      </c>
      <c r="L1095" s="6">
        <f>IF(I1095="Cut","",IF(I1095="Your call","(decide)",IF(I1095="Rename",J1095,IF(I1095="Keep",IF(D1095="",E1095,D1095),IF(E1095="(unchanged)",D1095,E1095)))))</f>
      </c>
      <c r="M1095" s="6">
        <f>IF(AND(I1095="Cut",N1095&gt;0,K1095=""),"USED: say what replaces it (Note)",IF(AND(I1095="Rename",J1095=""),"type the new name",IF(AND(L1095&lt;&gt;"",L1095&lt;&gt;"(decide)",COUNTIF($L$2:$L$1680,L1095)&gt;1),"SAME FINAL NAME AS ANOTHER ROW","")))</f>
      </c>
      <c r="N1095" s="6">
        <v>0</v>
      </c>
      <c r="O1095" s="6" t="s">
        <v>2</v>
      </c>
    </row>
    <row r="1096" spans="1:15" x14ac:dyDescent="0.25">
      <c r="A1096">
        <v>1095</v>
      </c>
      <c r="B1096" t="s">
        <v>1358</v>
      </c>
      <c r="C1096" t="s">
        <v>2</v>
      </c>
      <c r="D1096" t="s">
        <v>1470</v>
      </c>
      <c r="E1096" t="s">
        <v>292</v>
      </c>
      <c r="F1096" t="s">
        <v>2</v>
      </c>
      <c r="G1096" t="s">
        <v>38</v>
      </c>
      <c r="H1096" t="s">
        <v>39</v>
      </c>
      <c r="I1096" s="5" t="s">
        <v>294</v>
      </c>
      <c r="J1096" s="5" t="s">
        <v>2</v>
      </c>
      <c r="K1096" s="5" t="s">
        <v>2</v>
      </c>
      <c r="L1096" s="6">
        <f>IF(I1096="Cut","",IF(I1096="Your call","(decide)",IF(I1096="Rename",J1096,IF(I1096="Keep",IF(D1096="",E1096,D1096),IF(E1096="(unchanged)",D1096,E1096)))))</f>
      </c>
      <c r="M1096" s="6">
        <f>IF(AND(I1096="Cut",N1096&gt;0,K1096=""),"USED: say what replaces it (Note)",IF(AND(I1096="Rename",J1096=""),"type the new name",IF(AND(L1096&lt;&gt;"",L1096&lt;&gt;"(decide)",COUNTIF($L$2:$L$1680,L1096)&gt;1),"SAME FINAL NAME AS ANOTHER ROW","")))</f>
      </c>
      <c r="N1096" s="6">
        <v>0</v>
      </c>
      <c r="O1096" s="6" t="s">
        <v>2</v>
      </c>
    </row>
    <row r="1097" spans="1:15" x14ac:dyDescent="0.25">
      <c r="A1097">
        <v>1096</v>
      </c>
      <c r="B1097" t="s">
        <v>1471</v>
      </c>
      <c r="C1097" t="s">
        <v>1472</v>
      </c>
      <c r="D1097" t="s">
        <v>1473</v>
      </c>
      <c r="E1097" t="s">
        <v>292</v>
      </c>
      <c r="F1097" t="s">
        <v>2</v>
      </c>
      <c r="G1097" t="s">
        <v>38</v>
      </c>
      <c r="H1097" t="s">
        <v>39</v>
      </c>
      <c r="I1097" s="5" t="s">
        <v>294</v>
      </c>
      <c r="J1097" s="5" t="s">
        <v>2</v>
      </c>
      <c r="K1097" s="5" t="s">
        <v>2</v>
      </c>
      <c r="L1097" s="6">
        <f>IF(I1097="Cut","",IF(I1097="Your call","(decide)",IF(I1097="Rename",J1097,IF(I1097="Keep",IF(D1097="",E1097,D1097),IF(E1097="(unchanged)",D1097,E1097)))))</f>
      </c>
      <c r="M1097" s="6">
        <f>IF(AND(I1097="Cut",N1097&gt;0,K1097=""),"USED: say what replaces it (Note)",IF(AND(I1097="Rename",J1097=""),"type the new name",IF(AND(L1097&lt;&gt;"",L1097&lt;&gt;"(decide)",COUNTIF($L$2:$L$1680,L1097)&gt;1),"SAME FINAL NAME AS ANOTHER ROW","")))</f>
      </c>
      <c r="N1097" s="6">
        <v>0</v>
      </c>
      <c r="O1097" s="6" t="s">
        <v>2</v>
      </c>
    </row>
    <row r="1098" spans="1:15" x14ac:dyDescent="0.25">
      <c r="A1098">
        <v>1097</v>
      </c>
      <c r="B1098" t="s">
        <v>1471</v>
      </c>
      <c r="C1098" t="s">
        <v>1472</v>
      </c>
      <c r="D1098" t="s">
        <v>1474</v>
      </c>
      <c r="E1098" t="s">
        <v>292</v>
      </c>
      <c r="F1098" t="s">
        <v>2</v>
      </c>
      <c r="G1098" t="s">
        <v>38</v>
      </c>
      <c r="H1098" t="s">
        <v>39</v>
      </c>
      <c r="I1098" s="5" t="s">
        <v>294</v>
      </c>
      <c r="J1098" s="5" t="s">
        <v>2</v>
      </c>
      <c r="K1098" s="5" t="s">
        <v>2</v>
      </c>
      <c r="L1098" s="6">
        <f>IF(I1098="Cut","",IF(I1098="Your call","(decide)",IF(I1098="Rename",J1098,IF(I1098="Keep",IF(D1098="",E1098,D1098),IF(E1098="(unchanged)",D1098,E1098)))))</f>
      </c>
      <c r="M1098" s="6">
        <f>IF(AND(I1098="Cut",N1098&gt;0,K1098=""),"USED: say what replaces it (Note)",IF(AND(I1098="Rename",J1098=""),"type the new name",IF(AND(L1098&lt;&gt;"",L1098&lt;&gt;"(decide)",COUNTIF($L$2:$L$1680,L1098)&gt;1),"SAME FINAL NAME AS ANOTHER ROW","")))</f>
      </c>
      <c r="N1098" s="6">
        <v>0</v>
      </c>
      <c r="O1098" s="6" t="s">
        <v>2</v>
      </c>
    </row>
    <row r="1099" spans="1:15" x14ac:dyDescent="0.25">
      <c r="A1099">
        <v>1098</v>
      </c>
      <c r="B1099" t="s">
        <v>1471</v>
      </c>
      <c r="C1099" t="s">
        <v>1475</v>
      </c>
      <c r="D1099" t="s">
        <v>1476</v>
      </c>
      <c r="E1099" t="s">
        <v>292</v>
      </c>
      <c r="F1099" t="s">
        <v>2</v>
      </c>
      <c r="G1099" t="s">
        <v>38</v>
      </c>
      <c r="H1099" t="s">
        <v>39</v>
      </c>
      <c r="I1099" s="5" t="s">
        <v>294</v>
      </c>
      <c r="J1099" s="5" t="s">
        <v>2</v>
      </c>
      <c r="K1099" s="5" t="s">
        <v>2</v>
      </c>
      <c r="L1099" s="6">
        <f>IF(I1099="Cut","",IF(I1099="Your call","(decide)",IF(I1099="Rename",J1099,IF(I1099="Keep",IF(D1099="",E1099,D1099),IF(E1099="(unchanged)",D1099,E1099)))))</f>
      </c>
      <c r="M1099" s="6">
        <f>IF(AND(I1099="Cut",N1099&gt;0,K1099=""),"USED: say what replaces it (Note)",IF(AND(I1099="Rename",J1099=""),"type the new name",IF(AND(L1099&lt;&gt;"",L1099&lt;&gt;"(decide)",COUNTIF($L$2:$L$1680,L1099)&gt;1),"SAME FINAL NAME AS ANOTHER ROW","")))</f>
      </c>
      <c r="N1099" s="6">
        <v>0</v>
      </c>
      <c r="O1099" s="6" t="s">
        <v>2</v>
      </c>
    </row>
    <row r="1100" spans="1:15" x14ac:dyDescent="0.25">
      <c r="A1100">
        <v>1099</v>
      </c>
      <c r="B1100" t="s">
        <v>1471</v>
      </c>
      <c r="C1100" t="s">
        <v>1475</v>
      </c>
      <c r="D1100" t="s">
        <v>1477</v>
      </c>
      <c r="E1100" t="s">
        <v>292</v>
      </c>
      <c r="F1100" t="s">
        <v>2</v>
      </c>
      <c r="G1100" t="s">
        <v>38</v>
      </c>
      <c r="H1100" t="s">
        <v>39</v>
      </c>
      <c r="I1100" s="5" t="s">
        <v>294</v>
      </c>
      <c r="J1100" s="5" t="s">
        <v>2</v>
      </c>
      <c r="K1100" s="5" t="s">
        <v>2</v>
      </c>
      <c r="L1100" s="6">
        <f>IF(I1100="Cut","",IF(I1100="Your call","(decide)",IF(I1100="Rename",J1100,IF(I1100="Keep",IF(D1100="",E1100,D1100),IF(E1100="(unchanged)",D1100,E1100)))))</f>
      </c>
      <c r="M1100" s="6">
        <f>IF(AND(I1100="Cut",N1100&gt;0,K1100=""),"USED: say what replaces it (Note)",IF(AND(I1100="Rename",J1100=""),"type the new name",IF(AND(L1100&lt;&gt;"",L1100&lt;&gt;"(decide)",COUNTIF($L$2:$L$1680,L1100)&gt;1),"SAME FINAL NAME AS ANOTHER ROW","")))</f>
      </c>
      <c r="N1100" s="6">
        <v>0</v>
      </c>
      <c r="O1100" s="6" t="s">
        <v>2</v>
      </c>
    </row>
    <row r="1101" spans="1:15" x14ac:dyDescent="0.25">
      <c r="A1101">
        <v>1100</v>
      </c>
      <c r="B1101" t="s">
        <v>1471</v>
      </c>
      <c r="C1101" t="s">
        <v>2</v>
      </c>
      <c r="D1101" t="s">
        <v>1478</v>
      </c>
      <c r="E1101" t="s">
        <v>292</v>
      </c>
      <c r="F1101" t="s">
        <v>2</v>
      </c>
      <c r="G1101" t="s">
        <v>38</v>
      </c>
      <c r="H1101" t="s">
        <v>39</v>
      </c>
      <c r="I1101" s="5" t="s">
        <v>294</v>
      </c>
      <c r="J1101" s="5" t="s">
        <v>2</v>
      </c>
      <c r="K1101" s="5" t="s">
        <v>2</v>
      </c>
      <c r="L1101" s="6">
        <f>IF(I1101="Cut","",IF(I1101="Your call","(decide)",IF(I1101="Rename",J1101,IF(I1101="Keep",IF(D1101="",E1101,D1101),IF(E1101="(unchanged)",D1101,E1101)))))</f>
      </c>
      <c r="M1101" s="6">
        <f>IF(AND(I1101="Cut",N1101&gt;0,K1101=""),"USED: say what replaces it (Note)",IF(AND(I1101="Rename",J1101=""),"type the new name",IF(AND(L1101&lt;&gt;"",L1101&lt;&gt;"(decide)",COUNTIF($L$2:$L$1680,L1101)&gt;1),"SAME FINAL NAME AS ANOTHER ROW","")))</f>
      </c>
      <c r="N1101" s="6">
        <v>0</v>
      </c>
      <c r="O1101" s="6" t="s">
        <v>2</v>
      </c>
    </row>
    <row r="1102" spans="1:15" x14ac:dyDescent="0.25">
      <c r="A1102">
        <v>1101</v>
      </c>
      <c r="B1102" t="s">
        <v>1471</v>
      </c>
      <c r="C1102" t="s">
        <v>2</v>
      </c>
      <c r="D1102" t="s">
        <v>1479</v>
      </c>
      <c r="E1102" t="s">
        <v>292</v>
      </c>
      <c r="F1102" t="s">
        <v>2</v>
      </c>
      <c r="G1102" t="s">
        <v>48</v>
      </c>
      <c r="H1102" t="s">
        <v>39</v>
      </c>
      <c r="I1102" s="5" t="s">
        <v>294</v>
      </c>
      <c r="J1102" s="5" t="s">
        <v>2</v>
      </c>
      <c r="K1102" s="5" t="s">
        <v>2</v>
      </c>
      <c r="L1102" s="6">
        <f>IF(I1102="Cut","",IF(I1102="Your call","(decide)",IF(I1102="Rename",J1102,IF(I1102="Keep",IF(D1102="",E1102,D1102),IF(E1102="(unchanged)",D1102,E1102)))))</f>
      </c>
      <c r="M1102" s="6">
        <f>IF(AND(I1102="Cut",N1102&gt;0,K1102=""),"USED: say what replaces it (Note)",IF(AND(I1102="Rename",J1102=""),"type the new name",IF(AND(L1102&lt;&gt;"",L1102&lt;&gt;"(decide)",COUNTIF($L$2:$L$1680,L1102)&gt;1),"SAME FINAL NAME AS ANOTHER ROW","")))</f>
      </c>
      <c r="N1102" s="6">
        <v>2</v>
      </c>
      <c r="O1102" s="6" t="s">
        <v>2</v>
      </c>
    </row>
    <row r="1103" spans="1:15" x14ac:dyDescent="0.25">
      <c r="A1103">
        <v>1102</v>
      </c>
      <c r="B1103" t="s">
        <v>1471</v>
      </c>
      <c r="C1103" t="s">
        <v>2</v>
      </c>
      <c r="D1103" t="s">
        <v>1480</v>
      </c>
      <c r="E1103" t="s">
        <v>292</v>
      </c>
      <c r="F1103" t="s">
        <v>2</v>
      </c>
      <c r="G1103" t="s">
        <v>94</v>
      </c>
      <c r="H1103" t="s">
        <v>39</v>
      </c>
      <c r="I1103" s="5" t="s">
        <v>294</v>
      </c>
      <c r="J1103" s="5" t="s">
        <v>2</v>
      </c>
      <c r="K1103" s="5" t="s">
        <v>2</v>
      </c>
      <c r="L1103" s="6">
        <f>IF(I1103="Cut","",IF(I1103="Your call","(decide)",IF(I1103="Rename",J1103,IF(I1103="Keep",IF(D1103="",E1103,D1103),IF(E1103="(unchanged)",D1103,E1103)))))</f>
      </c>
      <c r="M1103" s="6">
        <f>IF(AND(I1103="Cut",N1103&gt;0,K1103=""),"USED: say what replaces it (Note)",IF(AND(I1103="Rename",J1103=""),"type the new name",IF(AND(L1103&lt;&gt;"",L1103&lt;&gt;"(decide)",COUNTIF($L$2:$L$1680,L1103)&gt;1),"SAME FINAL NAME AS ANOTHER ROW","")))</f>
      </c>
      <c r="N1103" s="6">
        <v>1</v>
      </c>
      <c r="O1103" s="6" t="s">
        <v>2</v>
      </c>
    </row>
    <row r="1104" spans="1:15" x14ac:dyDescent="0.25">
      <c r="A1104">
        <v>1103</v>
      </c>
      <c r="B1104" t="s">
        <v>1471</v>
      </c>
      <c r="C1104" t="s">
        <v>2</v>
      </c>
      <c r="D1104" t="s">
        <v>1481</v>
      </c>
      <c r="E1104" t="s">
        <v>292</v>
      </c>
      <c r="F1104" t="s">
        <v>2</v>
      </c>
      <c r="G1104" t="s">
        <v>38</v>
      </c>
      <c r="H1104" t="s">
        <v>39</v>
      </c>
      <c r="I1104" s="5" t="s">
        <v>294</v>
      </c>
      <c r="J1104" s="5" t="s">
        <v>2</v>
      </c>
      <c r="K1104" s="5" t="s">
        <v>2</v>
      </c>
      <c r="L1104" s="6">
        <f>IF(I1104="Cut","",IF(I1104="Your call","(decide)",IF(I1104="Rename",J1104,IF(I1104="Keep",IF(D1104="",E1104,D1104),IF(E1104="(unchanged)",D1104,E1104)))))</f>
      </c>
      <c r="M1104" s="6">
        <f>IF(AND(I1104="Cut",N1104&gt;0,K1104=""),"USED: say what replaces it (Note)",IF(AND(I1104="Rename",J1104=""),"type the new name",IF(AND(L1104&lt;&gt;"",L1104&lt;&gt;"(decide)",COUNTIF($L$2:$L$1680,L1104)&gt;1),"SAME FINAL NAME AS ANOTHER ROW","")))</f>
      </c>
      <c r="N1104" s="6">
        <v>0</v>
      </c>
      <c r="O1104" s="6" t="s">
        <v>2</v>
      </c>
    </row>
    <row r="1105" spans="1:15" x14ac:dyDescent="0.25">
      <c r="A1105">
        <v>1104</v>
      </c>
      <c r="B1105" t="s">
        <v>1471</v>
      </c>
      <c r="C1105" t="s">
        <v>2</v>
      </c>
      <c r="D1105" t="s">
        <v>1482</v>
      </c>
      <c r="E1105" t="s">
        <v>292</v>
      </c>
      <c r="F1105" t="s">
        <v>2</v>
      </c>
      <c r="G1105" t="s">
        <v>38</v>
      </c>
      <c r="H1105" t="s">
        <v>39</v>
      </c>
      <c r="I1105" s="5" t="s">
        <v>294</v>
      </c>
      <c r="J1105" s="5" t="s">
        <v>2</v>
      </c>
      <c r="K1105" s="5" t="s">
        <v>2</v>
      </c>
      <c r="L1105" s="6">
        <f>IF(I1105="Cut","",IF(I1105="Your call","(decide)",IF(I1105="Rename",J1105,IF(I1105="Keep",IF(D1105="",E1105,D1105),IF(E1105="(unchanged)",D1105,E1105)))))</f>
      </c>
      <c r="M1105" s="6">
        <f>IF(AND(I1105="Cut",N1105&gt;0,K1105=""),"USED: say what replaces it (Note)",IF(AND(I1105="Rename",J1105=""),"type the new name",IF(AND(L1105&lt;&gt;"",L1105&lt;&gt;"(decide)",COUNTIF($L$2:$L$1680,L1105)&gt;1),"SAME FINAL NAME AS ANOTHER ROW","")))</f>
      </c>
      <c r="N1105" s="6">
        <v>0</v>
      </c>
      <c r="O1105" s="6" t="s">
        <v>2</v>
      </c>
    </row>
    <row r="1106" spans="1:15" x14ac:dyDescent="0.25">
      <c r="A1106">
        <v>1105</v>
      </c>
      <c r="B1106" t="s">
        <v>1471</v>
      </c>
      <c r="C1106" t="s">
        <v>2</v>
      </c>
      <c r="D1106" t="s">
        <v>1483</v>
      </c>
      <c r="E1106" t="s">
        <v>292</v>
      </c>
      <c r="F1106" t="s">
        <v>2</v>
      </c>
      <c r="G1106" t="s">
        <v>38</v>
      </c>
      <c r="H1106" t="s">
        <v>39</v>
      </c>
      <c r="I1106" s="5" t="s">
        <v>294</v>
      </c>
      <c r="J1106" s="5" t="s">
        <v>2</v>
      </c>
      <c r="K1106" s="5" t="s">
        <v>2</v>
      </c>
      <c r="L1106" s="6">
        <f>IF(I1106="Cut","",IF(I1106="Your call","(decide)",IF(I1106="Rename",J1106,IF(I1106="Keep",IF(D1106="",E1106,D1106),IF(E1106="(unchanged)",D1106,E1106)))))</f>
      </c>
      <c r="M1106" s="6">
        <f>IF(AND(I1106="Cut",N1106&gt;0,K1106=""),"USED: say what replaces it (Note)",IF(AND(I1106="Rename",J1106=""),"type the new name",IF(AND(L1106&lt;&gt;"",L1106&lt;&gt;"(decide)",COUNTIF($L$2:$L$1680,L1106)&gt;1),"SAME FINAL NAME AS ANOTHER ROW","")))</f>
      </c>
      <c r="N1106" s="6">
        <v>0</v>
      </c>
      <c r="O1106" s="6" t="s">
        <v>2</v>
      </c>
    </row>
    <row r="1107" spans="1:15" x14ac:dyDescent="0.25">
      <c r="A1107">
        <v>1106</v>
      </c>
      <c r="B1107" t="s">
        <v>1471</v>
      </c>
      <c r="C1107" t="s">
        <v>2</v>
      </c>
      <c r="D1107" t="s">
        <v>1484</v>
      </c>
      <c r="E1107" t="s">
        <v>292</v>
      </c>
      <c r="F1107" t="s">
        <v>2</v>
      </c>
      <c r="G1107" t="s">
        <v>38</v>
      </c>
      <c r="H1107" t="s">
        <v>39</v>
      </c>
      <c r="I1107" s="5" t="s">
        <v>294</v>
      </c>
      <c r="J1107" s="5" t="s">
        <v>2</v>
      </c>
      <c r="K1107" s="5" t="s">
        <v>2</v>
      </c>
      <c r="L1107" s="6">
        <f>IF(I1107="Cut","",IF(I1107="Your call","(decide)",IF(I1107="Rename",J1107,IF(I1107="Keep",IF(D1107="",E1107,D1107),IF(E1107="(unchanged)",D1107,E1107)))))</f>
      </c>
      <c r="M1107" s="6">
        <f>IF(AND(I1107="Cut",N1107&gt;0,K1107=""),"USED: say what replaces it (Note)",IF(AND(I1107="Rename",J1107=""),"type the new name",IF(AND(L1107&lt;&gt;"",L1107&lt;&gt;"(decide)",COUNTIF($L$2:$L$1680,L1107)&gt;1),"SAME FINAL NAME AS ANOTHER ROW","")))</f>
      </c>
      <c r="N1107" s="6">
        <v>0</v>
      </c>
      <c r="O1107" s="6" t="s">
        <v>2</v>
      </c>
    </row>
    <row r="1108" spans="1:15" x14ac:dyDescent="0.25">
      <c r="A1108">
        <v>1107</v>
      </c>
      <c r="B1108" t="s">
        <v>1471</v>
      </c>
      <c r="C1108" t="s">
        <v>2</v>
      </c>
      <c r="D1108" t="s">
        <v>1485</v>
      </c>
      <c r="E1108" t="s">
        <v>292</v>
      </c>
      <c r="F1108" t="s">
        <v>2</v>
      </c>
      <c r="G1108" t="s">
        <v>94</v>
      </c>
      <c r="H1108" t="s">
        <v>39</v>
      </c>
      <c r="I1108" s="5" t="s">
        <v>294</v>
      </c>
      <c r="J1108" s="5" t="s">
        <v>2</v>
      </c>
      <c r="K1108" s="5" t="s">
        <v>2</v>
      </c>
      <c r="L1108" s="6">
        <f>IF(I1108="Cut","",IF(I1108="Your call","(decide)",IF(I1108="Rename",J1108,IF(I1108="Keep",IF(D1108="",E1108,D1108),IF(E1108="(unchanged)",D1108,E1108)))))</f>
      </c>
      <c r="M1108" s="6">
        <f>IF(AND(I1108="Cut",N1108&gt;0,K1108=""),"USED: say what replaces it (Note)",IF(AND(I1108="Rename",J1108=""),"type the new name",IF(AND(L1108&lt;&gt;"",L1108&lt;&gt;"(decide)",COUNTIF($L$2:$L$1680,L1108)&gt;1),"SAME FINAL NAME AS ANOTHER ROW","")))</f>
      </c>
      <c r="N1108" s="6">
        <v>1</v>
      </c>
      <c r="O1108" s="6" t="s">
        <v>2</v>
      </c>
    </row>
    <row r="1109" spans="1:15" x14ac:dyDescent="0.25">
      <c r="A1109">
        <v>1108</v>
      </c>
      <c r="B1109" t="s">
        <v>1471</v>
      </c>
      <c r="C1109" t="s">
        <v>2</v>
      </c>
      <c r="D1109" t="s">
        <v>1486</v>
      </c>
      <c r="E1109" t="s">
        <v>292</v>
      </c>
      <c r="F1109" t="s">
        <v>2</v>
      </c>
      <c r="G1109" t="s">
        <v>38</v>
      </c>
      <c r="H1109" t="s">
        <v>39</v>
      </c>
      <c r="I1109" s="5" t="s">
        <v>294</v>
      </c>
      <c r="J1109" s="5" t="s">
        <v>2</v>
      </c>
      <c r="K1109" s="5" t="s">
        <v>2</v>
      </c>
      <c r="L1109" s="6">
        <f>IF(I1109="Cut","",IF(I1109="Your call","(decide)",IF(I1109="Rename",J1109,IF(I1109="Keep",IF(D1109="",E1109,D1109),IF(E1109="(unchanged)",D1109,E1109)))))</f>
      </c>
      <c r="M1109" s="6">
        <f>IF(AND(I1109="Cut",N1109&gt;0,K1109=""),"USED: say what replaces it (Note)",IF(AND(I1109="Rename",J1109=""),"type the new name",IF(AND(L1109&lt;&gt;"",L1109&lt;&gt;"(decide)",COUNTIF($L$2:$L$1680,L1109)&gt;1),"SAME FINAL NAME AS ANOTHER ROW","")))</f>
      </c>
      <c r="N1109" s="6">
        <v>0</v>
      </c>
      <c r="O1109" s="6" t="s">
        <v>2</v>
      </c>
    </row>
    <row r="1110" spans="1:15" x14ac:dyDescent="0.25">
      <c r="A1110">
        <v>1109</v>
      </c>
      <c r="B1110" t="s">
        <v>1471</v>
      </c>
      <c r="C1110" t="s">
        <v>1487</v>
      </c>
      <c r="D1110" t="s">
        <v>1488</v>
      </c>
      <c r="E1110" t="s">
        <v>292</v>
      </c>
      <c r="F1110" t="s">
        <v>2</v>
      </c>
      <c r="G1110" t="s">
        <v>38</v>
      </c>
      <c r="H1110" t="s">
        <v>39</v>
      </c>
      <c r="I1110" s="5" t="s">
        <v>294</v>
      </c>
      <c r="J1110" s="5" t="s">
        <v>2</v>
      </c>
      <c r="K1110" s="5" t="s">
        <v>2</v>
      </c>
      <c r="L1110" s="6">
        <f>IF(I1110="Cut","",IF(I1110="Your call","(decide)",IF(I1110="Rename",J1110,IF(I1110="Keep",IF(D1110="",E1110,D1110),IF(E1110="(unchanged)",D1110,E1110)))))</f>
      </c>
      <c r="M1110" s="6">
        <f>IF(AND(I1110="Cut",N1110&gt;0,K1110=""),"USED: say what replaces it (Note)",IF(AND(I1110="Rename",J1110=""),"type the new name",IF(AND(L1110&lt;&gt;"",L1110&lt;&gt;"(decide)",COUNTIF($L$2:$L$1680,L1110)&gt;1),"SAME FINAL NAME AS ANOTHER ROW","")))</f>
      </c>
      <c r="N1110" s="6">
        <v>0</v>
      </c>
      <c r="O1110" s="6" t="s">
        <v>2</v>
      </c>
    </row>
    <row r="1111" spans="1:15" x14ac:dyDescent="0.25">
      <c r="A1111">
        <v>1110</v>
      </c>
      <c r="B1111" t="s">
        <v>1471</v>
      </c>
      <c r="C1111" t="s">
        <v>1487</v>
      </c>
      <c r="D1111" t="s">
        <v>1489</v>
      </c>
      <c r="E1111" t="s">
        <v>292</v>
      </c>
      <c r="F1111" t="s">
        <v>2</v>
      </c>
      <c r="G1111" t="s">
        <v>38</v>
      </c>
      <c r="H1111" t="s">
        <v>39</v>
      </c>
      <c r="I1111" s="5" t="s">
        <v>294</v>
      </c>
      <c r="J1111" s="5" t="s">
        <v>2</v>
      </c>
      <c r="K1111" s="5" t="s">
        <v>2</v>
      </c>
      <c r="L1111" s="6">
        <f>IF(I1111="Cut","",IF(I1111="Your call","(decide)",IF(I1111="Rename",J1111,IF(I1111="Keep",IF(D1111="",E1111,D1111),IF(E1111="(unchanged)",D1111,E1111)))))</f>
      </c>
      <c r="M1111" s="6">
        <f>IF(AND(I1111="Cut",N1111&gt;0,K1111=""),"USED: say what replaces it (Note)",IF(AND(I1111="Rename",J1111=""),"type the new name",IF(AND(L1111&lt;&gt;"",L1111&lt;&gt;"(decide)",COUNTIF($L$2:$L$1680,L1111)&gt;1),"SAME FINAL NAME AS ANOTHER ROW","")))</f>
      </c>
      <c r="N1111" s="6">
        <v>0</v>
      </c>
      <c r="O1111" s="6" t="s">
        <v>2</v>
      </c>
    </row>
    <row r="1112" spans="1:15" x14ac:dyDescent="0.25">
      <c r="A1112">
        <v>1111</v>
      </c>
      <c r="B1112" t="s">
        <v>1471</v>
      </c>
      <c r="C1112" t="s">
        <v>2</v>
      </c>
      <c r="D1112" t="s">
        <v>1490</v>
      </c>
      <c r="E1112" t="s">
        <v>292</v>
      </c>
      <c r="F1112" t="s">
        <v>2</v>
      </c>
      <c r="G1112" t="s">
        <v>94</v>
      </c>
      <c r="H1112" t="s">
        <v>39</v>
      </c>
      <c r="I1112" s="5" t="s">
        <v>294</v>
      </c>
      <c r="J1112" s="5" t="s">
        <v>2</v>
      </c>
      <c r="K1112" s="5" t="s">
        <v>2</v>
      </c>
      <c r="L1112" s="6">
        <f>IF(I1112="Cut","",IF(I1112="Your call","(decide)",IF(I1112="Rename",J1112,IF(I1112="Keep",IF(D1112="",E1112,D1112),IF(E1112="(unchanged)",D1112,E1112)))))</f>
      </c>
      <c r="M1112" s="6">
        <f>IF(AND(I1112="Cut",N1112&gt;0,K1112=""),"USED: say what replaces it (Note)",IF(AND(I1112="Rename",J1112=""),"type the new name",IF(AND(L1112&lt;&gt;"",L1112&lt;&gt;"(decide)",COUNTIF($L$2:$L$1680,L1112)&gt;1),"SAME FINAL NAME AS ANOTHER ROW","")))</f>
      </c>
      <c r="N1112" s="6">
        <v>1</v>
      </c>
      <c r="O1112" s="6" t="s">
        <v>2</v>
      </c>
    </row>
    <row r="1113" spans="1:15" x14ac:dyDescent="0.25">
      <c r="A1113">
        <v>1112</v>
      </c>
      <c r="B1113" t="s">
        <v>1471</v>
      </c>
      <c r="C1113" t="s">
        <v>2</v>
      </c>
      <c r="D1113" t="s">
        <v>1491</v>
      </c>
      <c r="E1113" t="s">
        <v>292</v>
      </c>
      <c r="F1113" t="s">
        <v>2</v>
      </c>
      <c r="G1113" t="s">
        <v>38</v>
      </c>
      <c r="H1113" t="s">
        <v>39</v>
      </c>
      <c r="I1113" s="5" t="s">
        <v>294</v>
      </c>
      <c r="J1113" s="5" t="s">
        <v>2</v>
      </c>
      <c r="K1113" s="5" t="s">
        <v>2</v>
      </c>
      <c r="L1113" s="6">
        <f>IF(I1113="Cut","",IF(I1113="Your call","(decide)",IF(I1113="Rename",J1113,IF(I1113="Keep",IF(D1113="",E1113,D1113),IF(E1113="(unchanged)",D1113,E1113)))))</f>
      </c>
      <c r="M1113" s="6">
        <f>IF(AND(I1113="Cut",N1113&gt;0,K1113=""),"USED: say what replaces it (Note)",IF(AND(I1113="Rename",J1113=""),"type the new name",IF(AND(L1113&lt;&gt;"",L1113&lt;&gt;"(decide)",COUNTIF($L$2:$L$1680,L1113)&gt;1),"SAME FINAL NAME AS ANOTHER ROW","")))</f>
      </c>
      <c r="N1113" s="6">
        <v>0</v>
      </c>
      <c r="O1113" s="6" t="s">
        <v>2</v>
      </c>
    </row>
    <row r="1114" spans="1:15" x14ac:dyDescent="0.25">
      <c r="A1114">
        <v>1113</v>
      </c>
      <c r="B1114" t="s">
        <v>1471</v>
      </c>
      <c r="C1114" t="s">
        <v>1492</v>
      </c>
      <c r="D1114" t="s">
        <v>1493</v>
      </c>
      <c r="E1114" t="s">
        <v>292</v>
      </c>
      <c r="F1114" t="s">
        <v>2</v>
      </c>
      <c r="G1114" t="s">
        <v>38</v>
      </c>
      <c r="H1114" t="s">
        <v>39</v>
      </c>
      <c r="I1114" s="5" t="s">
        <v>294</v>
      </c>
      <c r="J1114" s="5" t="s">
        <v>2</v>
      </c>
      <c r="K1114" s="5" t="s">
        <v>2</v>
      </c>
      <c r="L1114" s="6">
        <f>IF(I1114="Cut","",IF(I1114="Your call","(decide)",IF(I1114="Rename",J1114,IF(I1114="Keep",IF(D1114="",E1114,D1114),IF(E1114="(unchanged)",D1114,E1114)))))</f>
      </c>
      <c r="M1114" s="6">
        <f>IF(AND(I1114="Cut",N1114&gt;0,K1114=""),"USED: say what replaces it (Note)",IF(AND(I1114="Rename",J1114=""),"type the new name",IF(AND(L1114&lt;&gt;"",L1114&lt;&gt;"(decide)",COUNTIF($L$2:$L$1680,L1114)&gt;1),"SAME FINAL NAME AS ANOTHER ROW","")))</f>
      </c>
      <c r="N1114" s="6">
        <v>0</v>
      </c>
      <c r="O1114" s="6" t="s">
        <v>2</v>
      </c>
    </row>
    <row r="1115" spans="1:15" x14ac:dyDescent="0.25">
      <c r="A1115">
        <v>1114</v>
      </c>
      <c r="B1115" t="s">
        <v>1471</v>
      </c>
      <c r="C1115" t="s">
        <v>1492</v>
      </c>
      <c r="D1115" t="s">
        <v>1494</v>
      </c>
      <c r="E1115" t="s">
        <v>292</v>
      </c>
      <c r="F1115" t="s">
        <v>2</v>
      </c>
      <c r="G1115" t="s">
        <v>38</v>
      </c>
      <c r="H1115" t="s">
        <v>39</v>
      </c>
      <c r="I1115" s="5" t="s">
        <v>294</v>
      </c>
      <c r="J1115" s="5" t="s">
        <v>2</v>
      </c>
      <c r="K1115" s="5" t="s">
        <v>2</v>
      </c>
      <c r="L1115" s="6">
        <f>IF(I1115="Cut","",IF(I1115="Your call","(decide)",IF(I1115="Rename",J1115,IF(I1115="Keep",IF(D1115="",E1115,D1115),IF(E1115="(unchanged)",D1115,E1115)))))</f>
      </c>
      <c r="M1115" s="6">
        <f>IF(AND(I1115="Cut",N1115&gt;0,K1115=""),"USED: say what replaces it (Note)",IF(AND(I1115="Rename",J1115=""),"type the new name",IF(AND(L1115&lt;&gt;"",L1115&lt;&gt;"(decide)",COUNTIF($L$2:$L$1680,L1115)&gt;1),"SAME FINAL NAME AS ANOTHER ROW","")))</f>
      </c>
      <c r="N1115" s="6">
        <v>0</v>
      </c>
      <c r="O1115" s="6" t="s">
        <v>2</v>
      </c>
    </row>
    <row r="1116" spans="1:15" x14ac:dyDescent="0.25">
      <c r="A1116">
        <v>1115</v>
      </c>
      <c r="B1116" t="s">
        <v>1471</v>
      </c>
      <c r="C1116" t="s">
        <v>2</v>
      </c>
      <c r="D1116" t="s">
        <v>1495</v>
      </c>
      <c r="E1116" t="s">
        <v>292</v>
      </c>
      <c r="F1116" t="s">
        <v>2</v>
      </c>
      <c r="G1116" t="s">
        <v>48</v>
      </c>
      <c r="H1116" t="s">
        <v>39</v>
      </c>
      <c r="I1116" s="5" t="s">
        <v>294</v>
      </c>
      <c r="J1116" s="5" t="s">
        <v>2</v>
      </c>
      <c r="K1116" s="5" t="s">
        <v>2</v>
      </c>
      <c r="L1116" s="6">
        <f>IF(I1116="Cut","",IF(I1116="Your call","(decide)",IF(I1116="Rename",J1116,IF(I1116="Keep",IF(D1116="",E1116,D1116),IF(E1116="(unchanged)",D1116,E1116)))))</f>
      </c>
      <c r="M1116" s="6">
        <f>IF(AND(I1116="Cut",N1116&gt;0,K1116=""),"USED: say what replaces it (Note)",IF(AND(I1116="Rename",J1116=""),"type the new name",IF(AND(L1116&lt;&gt;"",L1116&lt;&gt;"(decide)",COUNTIF($L$2:$L$1680,L1116)&gt;1),"SAME FINAL NAME AS ANOTHER ROW","")))</f>
      </c>
      <c r="N1116" s="6">
        <v>2</v>
      </c>
      <c r="O1116" s="6" t="s">
        <v>2</v>
      </c>
    </row>
    <row r="1117" spans="1:15" x14ac:dyDescent="0.25">
      <c r="A1117">
        <v>1116</v>
      </c>
      <c r="B1117" t="s">
        <v>1471</v>
      </c>
      <c r="C1117" t="s">
        <v>2</v>
      </c>
      <c r="D1117" t="s">
        <v>1496</v>
      </c>
      <c r="E1117" t="s">
        <v>292</v>
      </c>
      <c r="F1117" t="s">
        <v>2</v>
      </c>
      <c r="G1117" t="s">
        <v>38</v>
      </c>
      <c r="H1117" t="s">
        <v>39</v>
      </c>
      <c r="I1117" s="5" t="s">
        <v>294</v>
      </c>
      <c r="J1117" s="5" t="s">
        <v>2</v>
      </c>
      <c r="K1117" s="5" t="s">
        <v>2</v>
      </c>
      <c r="L1117" s="6">
        <f>IF(I1117="Cut","",IF(I1117="Your call","(decide)",IF(I1117="Rename",J1117,IF(I1117="Keep",IF(D1117="",E1117,D1117),IF(E1117="(unchanged)",D1117,E1117)))))</f>
      </c>
      <c r="M1117" s="6">
        <f>IF(AND(I1117="Cut",N1117&gt;0,K1117=""),"USED: say what replaces it (Note)",IF(AND(I1117="Rename",J1117=""),"type the new name",IF(AND(L1117&lt;&gt;"",L1117&lt;&gt;"(decide)",COUNTIF($L$2:$L$1680,L1117)&gt;1),"SAME FINAL NAME AS ANOTHER ROW","")))</f>
      </c>
      <c r="N1117" s="6">
        <v>0</v>
      </c>
      <c r="O1117" s="6" t="s">
        <v>2</v>
      </c>
    </row>
    <row r="1118" spans="1:15" x14ac:dyDescent="0.25">
      <c r="A1118">
        <v>1117</v>
      </c>
      <c r="B1118" t="s">
        <v>1471</v>
      </c>
      <c r="C1118" t="s">
        <v>2</v>
      </c>
      <c r="D1118" t="s">
        <v>1497</v>
      </c>
      <c r="E1118" t="s">
        <v>292</v>
      </c>
      <c r="F1118" t="s">
        <v>2</v>
      </c>
      <c r="G1118" t="s">
        <v>94</v>
      </c>
      <c r="H1118" t="s">
        <v>39</v>
      </c>
      <c r="I1118" s="5" t="s">
        <v>294</v>
      </c>
      <c r="J1118" s="5" t="s">
        <v>2</v>
      </c>
      <c r="K1118" s="5" t="s">
        <v>2</v>
      </c>
      <c r="L1118" s="6">
        <f>IF(I1118="Cut","",IF(I1118="Your call","(decide)",IF(I1118="Rename",J1118,IF(I1118="Keep",IF(D1118="",E1118,D1118),IF(E1118="(unchanged)",D1118,E1118)))))</f>
      </c>
      <c r="M1118" s="6">
        <f>IF(AND(I1118="Cut",N1118&gt;0,K1118=""),"USED: say what replaces it (Note)",IF(AND(I1118="Rename",J1118=""),"type the new name",IF(AND(L1118&lt;&gt;"",L1118&lt;&gt;"(decide)",COUNTIF($L$2:$L$1680,L1118)&gt;1),"SAME FINAL NAME AS ANOTHER ROW","")))</f>
      </c>
      <c r="N1118" s="6">
        <v>1</v>
      </c>
      <c r="O1118" s="6" t="s">
        <v>2</v>
      </c>
    </row>
    <row r="1119" spans="1:15" x14ac:dyDescent="0.25">
      <c r="A1119">
        <v>1118</v>
      </c>
      <c r="B1119" t="s">
        <v>1471</v>
      </c>
      <c r="C1119" t="s">
        <v>2</v>
      </c>
      <c r="D1119" t="s">
        <v>1498</v>
      </c>
      <c r="E1119" t="s">
        <v>292</v>
      </c>
      <c r="F1119" t="s">
        <v>2</v>
      </c>
      <c r="G1119" t="s">
        <v>38</v>
      </c>
      <c r="H1119" t="s">
        <v>39</v>
      </c>
      <c r="I1119" s="5" t="s">
        <v>294</v>
      </c>
      <c r="J1119" s="5" t="s">
        <v>2</v>
      </c>
      <c r="K1119" s="5" t="s">
        <v>2</v>
      </c>
      <c r="L1119" s="6">
        <f>IF(I1119="Cut","",IF(I1119="Your call","(decide)",IF(I1119="Rename",J1119,IF(I1119="Keep",IF(D1119="",E1119,D1119),IF(E1119="(unchanged)",D1119,E1119)))))</f>
      </c>
      <c r="M1119" s="6">
        <f>IF(AND(I1119="Cut",N1119&gt;0,K1119=""),"USED: say what replaces it (Note)",IF(AND(I1119="Rename",J1119=""),"type the new name",IF(AND(L1119&lt;&gt;"",L1119&lt;&gt;"(decide)",COUNTIF($L$2:$L$1680,L1119)&gt;1),"SAME FINAL NAME AS ANOTHER ROW","")))</f>
      </c>
      <c r="N1119" s="6">
        <v>0</v>
      </c>
      <c r="O1119" s="6" t="s">
        <v>2</v>
      </c>
    </row>
    <row r="1120" spans="1:15" x14ac:dyDescent="0.25">
      <c r="A1120">
        <v>1119</v>
      </c>
      <c r="B1120" t="s">
        <v>1471</v>
      </c>
      <c r="C1120" t="s">
        <v>2</v>
      </c>
      <c r="D1120" t="s">
        <v>1499</v>
      </c>
      <c r="E1120" t="s">
        <v>292</v>
      </c>
      <c r="F1120" t="s">
        <v>2</v>
      </c>
      <c r="G1120" t="s">
        <v>38</v>
      </c>
      <c r="H1120" t="s">
        <v>39</v>
      </c>
      <c r="I1120" s="5" t="s">
        <v>294</v>
      </c>
      <c r="J1120" s="5" t="s">
        <v>2</v>
      </c>
      <c r="K1120" s="5" t="s">
        <v>2</v>
      </c>
      <c r="L1120" s="6">
        <f>IF(I1120="Cut","",IF(I1120="Your call","(decide)",IF(I1120="Rename",J1120,IF(I1120="Keep",IF(D1120="",E1120,D1120),IF(E1120="(unchanged)",D1120,E1120)))))</f>
      </c>
      <c r="M1120" s="6">
        <f>IF(AND(I1120="Cut",N1120&gt;0,K1120=""),"USED: say what replaces it (Note)",IF(AND(I1120="Rename",J1120=""),"type the new name",IF(AND(L1120&lt;&gt;"",L1120&lt;&gt;"(decide)",COUNTIF($L$2:$L$1680,L1120)&gt;1),"SAME FINAL NAME AS ANOTHER ROW","")))</f>
      </c>
      <c r="N1120" s="6">
        <v>0</v>
      </c>
      <c r="O1120" s="6" t="s">
        <v>2</v>
      </c>
    </row>
    <row r="1121" spans="1:15" x14ac:dyDescent="0.25">
      <c r="A1121">
        <v>1120</v>
      </c>
      <c r="B1121" t="s">
        <v>1471</v>
      </c>
      <c r="C1121" t="s">
        <v>2</v>
      </c>
      <c r="D1121" t="s">
        <v>1500</v>
      </c>
      <c r="E1121" t="s">
        <v>292</v>
      </c>
      <c r="F1121" t="s">
        <v>2</v>
      </c>
      <c r="G1121" t="s">
        <v>38</v>
      </c>
      <c r="H1121" t="s">
        <v>39</v>
      </c>
      <c r="I1121" s="5" t="s">
        <v>294</v>
      </c>
      <c r="J1121" s="5" t="s">
        <v>2</v>
      </c>
      <c r="K1121" s="5" t="s">
        <v>2</v>
      </c>
      <c r="L1121" s="6">
        <f>IF(I1121="Cut","",IF(I1121="Your call","(decide)",IF(I1121="Rename",J1121,IF(I1121="Keep",IF(D1121="",E1121,D1121),IF(E1121="(unchanged)",D1121,E1121)))))</f>
      </c>
      <c r="M1121" s="6">
        <f>IF(AND(I1121="Cut",N1121&gt;0,K1121=""),"USED: say what replaces it (Note)",IF(AND(I1121="Rename",J1121=""),"type the new name",IF(AND(L1121&lt;&gt;"",L1121&lt;&gt;"(decide)",COUNTIF($L$2:$L$1680,L1121)&gt;1),"SAME FINAL NAME AS ANOTHER ROW","")))</f>
      </c>
      <c r="N1121" s="6">
        <v>0</v>
      </c>
      <c r="O1121" s="6" t="s">
        <v>2</v>
      </c>
    </row>
    <row r="1122" spans="1:15" x14ac:dyDescent="0.25">
      <c r="A1122">
        <v>1121</v>
      </c>
      <c r="B1122" t="s">
        <v>1471</v>
      </c>
      <c r="C1122" t="s">
        <v>2</v>
      </c>
      <c r="D1122" t="s">
        <v>1501</v>
      </c>
      <c r="E1122" t="s">
        <v>292</v>
      </c>
      <c r="F1122" t="s">
        <v>2</v>
      </c>
      <c r="G1122" t="s">
        <v>38</v>
      </c>
      <c r="H1122" t="s">
        <v>39</v>
      </c>
      <c r="I1122" s="5" t="s">
        <v>294</v>
      </c>
      <c r="J1122" s="5" t="s">
        <v>2</v>
      </c>
      <c r="K1122" s="5" t="s">
        <v>2</v>
      </c>
      <c r="L1122" s="6">
        <f>IF(I1122="Cut","",IF(I1122="Your call","(decide)",IF(I1122="Rename",J1122,IF(I1122="Keep",IF(D1122="",E1122,D1122),IF(E1122="(unchanged)",D1122,E1122)))))</f>
      </c>
      <c r="M1122" s="6">
        <f>IF(AND(I1122="Cut",N1122&gt;0,K1122=""),"USED: say what replaces it (Note)",IF(AND(I1122="Rename",J1122=""),"type the new name",IF(AND(L1122&lt;&gt;"",L1122&lt;&gt;"(decide)",COUNTIF($L$2:$L$1680,L1122)&gt;1),"SAME FINAL NAME AS ANOTHER ROW","")))</f>
      </c>
      <c r="N1122" s="6">
        <v>0</v>
      </c>
      <c r="O1122" s="6" t="s">
        <v>2</v>
      </c>
    </row>
    <row r="1123" spans="1:15" x14ac:dyDescent="0.25">
      <c r="A1123">
        <v>1122</v>
      </c>
      <c r="B1123" t="s">
        <v>1471</v>
      </c>
      <c r="C1123" t="s">
        <v>2</v>
      </c>
      <c r="D1123" t="s">
        <v>1502</v>
      </c>
      <c r="E1123" t="s">
        <v>292</v>
      </c>
      <c r="F1123" t="s">
        <v>2</v>
      </c>
      <c r="G1123" t="s">
        <v>38</v>
      </c>
      <c r="H1123" t="s">
        <v>39</v>
      </c>
      <c r="I1123" s="5" t="s">
        <v>294</v>
      </c>
      <c r="J1123" s="5" t="s">
        <v>2</v>
      </c>
      <c r="K1123" s="5" t="s">
        <v>2</v>
      </c>
      <c r="L1123" s="6">
        <f>IF(I1123="Cut","",IF(I1123="Your call","(decide)",IF(I1123="Rename",J1123,IF(I1123="Keep",IF(D1123="",E1123,D1123),IF(E1123="(unchanged)",D1123,E1123)))))</f>
      </c>
      <c r="M1123" s="6">
        <f>IF(AND(I1123="Cut",N1123&gt;0,K1123=""),"USED: say what replaces it (Note)",IF(AND(I1123="Rename",J1123=""),"type the new name",IF(AND(L1123&lt;&gt;"",L1123&lt;&gt;"(decide)",COUNTIF($L$2:$L$1680,L1123)&gt;1),"SAME FINAL NAME AS ANOTHER ROW","")))</f>
      </c>
      <c r="N1123" s="6">
        <v>0</v>
      </c>
      <c r="O1123" s="6" t="s">
        <v>2</v>
      </c>
    </row>
    <row r="1124" spans="1:15" x14ac:dyDescent="0.25">
      <c r="A1124">
        <v>1123</v>
      </c>
      <c r="B1124" t="s">
        <v>1471</v>
      </c>
      <c r="C1124" t="s">
        <v>2</v>
      </c>
      <c r="D1124" t="s">
        <v>1503</v>
      </c>
      <c r="E1124" t="s">
        <v>292</v>
      </c>
      <c r="F1124" t="s">
        <v>2</v>
      </c>
      <c r="G1124" t="s">
        <v>38</v>
      </c>
      <c r="H1124" t="s">
        <v>39</v>
      </c>
      <c r="I1124" s="5" t="s">
        <v>294</v>
      </c>
      <c r="J1124" s="5" t="s">
        <v>2</v>
      </c>
      <c r="K1124" s="5" t="s">
        <v>2</v>
      </c>
      <c r="L1124" s="6">
        <f>IF(I1124="Cut","",IF(I1124="Your call","(decide)",IF(I1124="Rename",J1124,IF(I1124="Keep",IF(D1124="",E1124,D1124),IF(E1124="(unchanged)",D1124,E1124)))))</f>
      </c>
      <c r="M1124" s="6">
        <f>IF(AND(I1124="Cut",N1124&gt;0,K1124=""),"USED: say what replaces it (Note)",IF(AND(I1124="Rename",J1124=""),"type the new name",IF(AND(L1124&lt;&gt;"",L1124&lt;&gt;"(decide)",COUNTIF($L$2:$L$1680,L1124)&gt;1),"SAME FINAL NAME AS ANOTHER ROW","")))</f>
      </c>
      <c r="N1124" s="6">
        <v>0</v>
      </c>
      <c r="O1124" s="6" t="s">
        <v>2</v>
      </c>
    </row>
    <row r="1125" spans="1:15" x14ac:dyDescent="0.25">
      <c r="A1125">
        <v>1124</v>
      </c>
      <c r="B1125" t="s">
        <v>1471</v>
      </c>
      <c r="C1125" t="s">
        <v>2</v>
      </c>
      <c r="D1125" t="s">
        <v>1504</v>
      </c>
      <c r="E1125" t="s">
        <v>292</v>
      </c>
      <c r="F1125" t="s">
        <v>2</v>
      </c>
      <c r="G1125" t="s">
        <v>38</v>
      </c>
      <c r="H1125" t="s">
        <v>39</v>
      </c>
      <c r="I1125" s="5" t="s">
        <v>294</v>
      </c>
      <c r="J1125" s="5" t="s">
        <v>2</v>
      </c>
      <c r="K1125" s="5" t="s">
        <v>2</v>
      </c>
      <c r="L1125" s="6">
        <f>IF(I1125="Cut","",IF(I1125="Your call","(decide)",IF(I1125="Rename",J1125,IF(I1125="Keep",IF(D1125="",E1125,D1125),IF(E1125="(unchanged)",D1125,E1125)))))</f>
      </c>
      <c r="M1125" s="6">
        <f>IF(AND(I1125="Cut",N1125&gt;0,K1125=""),"USED: say what replaces it (Note)",IF(AND(I1125="Rename",J1125=""),"type the new name",IF(AND(L1125&lt;&gt;"",L1125&lt;&gt;"(decide)",COUNTIF($L$2:$L$1680,L1125)&gt;1),"SAME FINAL NAME AS ANOTHER ROW","")))</f>
      </c>
      <c r="N1125" s="6">
        <v>0</v>
      </c>
      <c r="O1125" s="6" t="s">
        <v>2</v>
      </c>
    </row>
    <row r="1126" spans="1:15" x14ac:dyDescent="0.25">
      <c r="A1126">
        <v>1125</v>
      </c>
      <c r="B1126" t="s">
        <v>1471</v>
      </c>
      <c r="C1126" t="s">
        <v>2</v>
      </c>
      <c r="D1126" t="s">
        <v>1505</v>
      </c>
      <c r="E1126" t="s">
        <v>292</v>
      </c>
      <c r="F1126" t="s">
        <v>2</v>
      </c>
      <c r="G1126" t="s">
        <v>38</v>
      </c>
      <c r="H1126" t="s">
        <v>39</v>
      </c>
      <c r="I1126" s="5" t="s">
        <v>294</v>
      </c>
      <c r="J1126" s="5" t="s">
        <v>2</v>
      </c>
      <c r="K1126" s="5" t="s">
        <v>2</v>
      </c>
      <c r="L1126" s="6">
        <f>IF(I1126="Cut","",IF(I1126="Your call","(decide)",IF(I1126="Rename",J1126,IF(I1126="Keep",IF(D1126="",E1126,D1126),IF(E1126="(unchanged)",D1126,E1126)))))</f>
      </c>
      <c r="M1126" s="6">
        <f>IF(AND(I1126="Cut",N1126&gt;0,K1126=""),"USED: say what replaces it (Note)",IF(AND(I1126="Rename",J1126=""),"type the new name",IF(AND(L1126&lt;&gt;"",L1126&lt;&gt;"(decide)",COUNTIF($L$2:$L$1680,L1126)&gt;1),"SAME FINAL NAME AS ANOTHER ROW","")))</f>
      </c>
      <c r="N1126" s="6">
        <v>0</v>
      </c>
      <c r="O1126" s="6" t="s">
        <v>2</v>
      </c>
    </row>
    <row r="1127" spans="1:15" x14ac:dyDescent="0.25">
      <c r="A1127">
        <v>1126</v>
      </c>
      <c r="B1127" t="s">
        <v>1471</v>
      </c>
      <c r="C1127" t="s">
        <v>2</v>
      </c>
      <c r="D1127" t="s">
        <v>1506</v>
      </c>
      <c r="E1127" t="s">
        <v>292</v>
      </c>
      <c r="F1127" t="s">
        <v>2</v>
      </c>
      <c r="G1127" t="s">
        <v>38</v>
      </c>
      <c r="H1127" t="s">
        <v>39</v>
      </c>
      <c r="I1127" s="5" t="s">
        <v>294</v>
      </c>
      <c r="J1127" s="5" t="s">
        <v>2</v>
      </c>
      <c r="K1127" s="5" t="s">
        <v>2</v>
      </c>
      <c r="L1127" s="6">
        <f>IF(I1127="Cut","",IF(I1127="Your call","(decide)",IF(I1127="Rename",J1127,IF(I1127="Keep",IF(D1127="",E1127,D1127),IF(E1127="(unchanged)",D1127,E1127)))))</f>
      </c>
      <c r="M1127" s="6">
        <f>IF(AND(I1127="Cut",N1127&gt;0,K1127=""),"USED: say what replaces it (Note)",IF(AND(I1127="Rename",J1127=""),"type the new name",IF(AND(L1127&lt;&gt;"",L1127&lt;&gt;"(decide)",COUNTIF($L$2:$L$1680,L1127)&gt;1),"SAME FINAL NAME AS ANOTHER ROW","")))</f>
      </c>
      <c r="N1127" s="6">
        <v>0</v>
      </c>
      <c r="O1127" s="6" t="s">
        <v>2</v>
      </c>
    </row>
    <row r="1128" spans="1:15" x14ac:dyDescent="0.25">
      <c r="A1128">
        <v>1127</v>
      </c>
      <c r="B1128" t="s">
        <v>1471</v>
      </c>
      <c r="C1128" t="s">
        <v>2</v>
      </c>
      <c r="D1128" t="s">
        <v>1507</v>
      </c>
      <c r="E1128" t="s">
        <v>292</v>
      </c>
      <c r="F1128" t="s">
        <v>2</v>
      </c>
      <c r="G1128" t="s">
        <v>94</v>
      </c>
      <c r="H1128" t="s">
        <v>39</v>
      </c>
      <c r="I1128" s="5" t="s">
        <v>294</v>
      </c>
      <c r="J1128" s="5" t="s">
        <v>2</v>
      </c>
      <c r="K1128" s="5" t="s">
        <v>2</v>
      </c>
      <c r="L1128" s="6">
        <f>IF(I1128="Cut","",IF(I1128="Your call","(decide)",IF(I1128="Rename",J1128,IF(I1128="Keep",IF(D1128="",E1128,D1128),IF(E1128="(unchanged)",D1128,E1128)))))</f>
      </c>
      <c r="M1128" s="6">
        <f>IF(AND(I1128="Cut",N1128&gt;0,K1128=""),"USED: say what replaces it (Note)",IF(AND(I1128="Rename",J1128=""),"type the new name",IF(AND(L1128&lt;&gt;"",L1128&lt;&gt;"(decide)",COUNTIF($L$2:$L$1680,L1128)&gt;1),"SAME FINAL NAME AS ANOTHER ROW","")))</f>
      </c>
      <c r="N1128" s="6">
        <v>1</v>
      </c>
      <c r="O1128" s="6" t="s">
        <v>2</v>
      </c>
    </row>
    <row r="1129" spans="1:15" x14ac:dyDescent="0.25">
      <c r="A1129">
        <v>1128</v>
      </c>
      <c r="B1129" t="s">
        <v>1471</v>
      </c>
      <c r="C1129" t="s">
        <v>2</v>
      </c>
      <c r="D1129" t="s">
        <v>1508</v>
      </c>
      <c r="E1129" t="s">
        <v>292</v>
      </c>
      <c r="F1129" t="s">
        <v>2</v>
      </c>
      <c r="G1129" t="s">
        <v>38</v>
      </c>
      <c r="H1129" t="s">
        <v>39</v>
      </c>
      <c r="I1129" s="5" t="s">
        <v>294</v>
      </c>
      <c r="J1129" s="5" t="s">
        <v>2</v>
      </c>
      <c r="K1129" s="5" t="s">
        <v>2</v>
      </c>
      <c r="L1129" s="6">
        <f>IF(I1129="Cut","",IF(I1129="Your call","(decide)",IF(I1129="Rename",J1129,IF(I1129="Keep",IF(D1129="",E1129,D1129),IF(E1129="(unchanged)",D1129,E1129)))))</f>
      </c>
      <c r="M1129" s="6">
        <f>IF(AND(I1129="Cut",N1129&gt;0,K1129=""),"USED: say what replaces it (Note)",IF(AND(I1129="Rename",J1129=""),"type the new name",IF(AND(L1129&lt;&gt;"",L1129&lt;&gt;"(decide)",COUNTIF($L$2:$L$1680,L1129)&gt;1),"SAME FINAL NAME AS ANOTHER ROW","")))</f>
      </c>
      <c r="N1129" s="6">
        <v>0</v>
      </c>
      <c r="O1129" s="6" t="s">
        <v>2</v>
      </c>
    </row>
    <row r="1130" spans="1:15" x14ac:dyDescent="0.25">
      <c r="A1130">
        <v>1129</v>
      </c>
      <c r="B1130" t="s">
        <v>1471</v>
      </c>
      <c r="C1130" t="s">
        <v>1509</v>
      </c>
      <c r="D1130" t="s">
        <v>1510</v>
      </c>
      <c r="E1130" t="s">
        <v>292</v>
      </c>
      <c r="F1130" t="s">
        <v>2</v>
      </c>
      <c r="G1130" t="s">
        <v>38</v>
      </c>
      <c r="H1130" t="s">
        <v>39</v>
      </c>
      <c r="I1130" s="5" t="s">
        <v>294</v>
      </c>
      <c r="J1130" s="5" t="s">
        <v>2</v>
      </c>
      <c r="K1130" s="5" t="s">
        <v>2</v>
      </c>
      <c r="L1130" s="6">
        <f>IF(I1130="Cut","",IF(I1130="Your call","(decide)",IF(I1130="Rename",J1130,IF(I1130="Keep",IF(D1130="",E1130,D1130),IF(E1130="(unchanged)",D1130,E1130)))))</f>
      </c>
      <c r="M1130" s="6">
        <f>IF(AND(I1130="Cut",N1130&gt;0,K1130=""),"USED: say what replaces it (Note)",IF(AND(I1130="Rename",J1130=""),"type the new name",IF(AND(L1130&lt;&gt;"",L1130&lt;&gt;"(decide)",COUNTIF($L$2:$L$1680,L1130)&gt;1),"SAME FINAL NAME AS ANOTHER ROW","")))</f>
      </c>
      <c r="N1130" s="6">
        <v>0</v>
      </c>
      <c r="O1130" s="6" t="s">
        <v>2</v>
      </c>
    </row>
    <row r="1131" spans="1:15" x14ac:dyDescent="0.25">
      <c r="A1131">
        <v>1130</v>
      </c>
      <c r="B1131" t="s">
        <v>1471</v>
      </c>
      <c r="C1131" t="s">
        <v>1509</v>
      </c>
      <c r="D1131" t="s">
        <v>1511</v>
      </c>
      <c r="E1131" t="s">
        <v>292</v>
      </c>
      <c r="F1131" t="s">
        <v>2</v>
      </c>
      <c r="G1131" t="s">
        <v>38</v>
      </c>
      <c r="H1131" t="s">
        <v>39</v>
      </c>
      <c r="I1131" s="5" t="s">
        <v>294</v>
      </c>
      <c r="J1131" s="5" t="s">
        <v>2</v>
      </c>
      <c r="K1131" s="5" t="s">
        <v>2</v>
      </c>
      <c r="L1131" s="6">
        <f>IF(I1131="Cut","",IF(I1131="Your call","(decide)",IF(I1131="Rename",J1131,IF(I1131="Keep",IF(D1131="",E1131,D1131),IF(E1131="(unchanged)",D1131,E1131)))))</f>
      </c>
      <c r="M1131" s="6">
        <f>IF(AND(I1131="Cut",N1131&gt;0,K1131=""),"USED: say what replaces it (Note)",IF(AND(I1131="Rename",J1131=""),"type the new name",IF(AND(L1131&lt;&gt;"",L1131&lt;&gt;"(decide)",COUNTIF($L$2:$L$1680,L1131)&gt;1),"SAME FINAL NAME AS ANOTHER ROW","")))</f>
      </c>
      <c r="N1131" s="6">
        <v>0</v>
      </c>
      <c r="O1131" s="6" t="s">
        <v>2</v>
      </c>
    </row>
    <row r="1132" spans="1:15" x14ac:dyDescent="0.25">
      <c r="A1132">
        <v>1131</v>
      </c>
      <c r="B1132" t="s">
        <v>1471</v>
      </c>
      <c r="C1132" t="s">
        <v>2</v>
      </c>
      <c r="D1132" t="s">
        <v>1512</v>
      </c>
      <c r="E1132" t="s">
        <v>292</v>
      </c>
      <c r="F1132" t="s">
        <v>2</v>
      </c>
      <c r="G1132" t="s">
        <v>38</v>
      </c>
      <c r="H1132" t="s">
        <v>39</v>
      </c>
      <c r="I1132" s="5" t="s">
        <v>294</v>
      </c>
      <c r="J1132" s="5" t="s">
        <v>2</v>
      </c>
      <c r="K1132" s="5" t="s">
        <v>2</v>
      </c>
      <c r="L1132" s="6">
        <f>IF(I1132="Cut","",IF(I1132="Your call","(decide)",IF(I1132="Rename",J1132,IF(I1132="Keep",IF(D1132="",E1132,D1132),IF(E1132="(unchanged)",D1132,E1132)))))</f>
      </c>
      <c r="M1132" s="6">
        <f>IF(AND(I1132="Cut",N1132&gt;0,K1132=""),"USED: say what replaces it (Note)",IF(AND(I1132="Rename",J1132=""),"type the new name",IF(AND(L1132&lt;&gt;"",L1132&lt;&gt;"(decide)",COUNTIF($L$2:$L$1680,L1132)&gt;1),"SAME FINAL NAME AS ANOTHER ROW","")))</f>
      </c>
      <c r="N1132" s="6">
        <v>0</v>
      </c>
      <c r="O1132" s="6" t="s">
        <v>2</v>
      </c>
    </row>
    <row r="1133" spans="1:15" x14ac:dyDescent="0.25">
      <c r="A1133">
        <v>1132</v>
      </c>
      <c r="B1133" t="s">
        <v>1471</v>
      </c>
      <c r="C1133" t="s">
        <v>2</v>
      </c>
      <c r="D1133" t="s">
        <v>1513</v>
      </c>
      <c r="E1133" t="s">
        <v>292</v>
      </c>
      <c r="F1133" t="s">
        <v>2</v>
      </c>
      <c r="G1133" t="s">
        <v>38</v>
      </c>
      <c r="H1133" t="s">
        <v>39</v>
      </c>
      <c r="I1133" s="5" t="s">
        <v>294</v>
      </c>
      <c r="J1133" s="5" t="s">
        <v>2</v>
      </c>
      <c r="K1133" s="5" t="s">
        <v>2</v>
      </c>
      <c r="L1133" s="6">
        <f>IF(I1133="Cut","",IF(I1133="Your call","(decide)",IF(I1133="Rename",J1133,IF(I1133="Keep",IF(D1133="",E1133,D1133),IF(E1133="(unchanged)",D1133,E1133)))))</f>
      </c>
      <c r="M1133" s="6">
        <f>IF(AND(I1133="Cut",N1133&gt;0,K1133=""),"USED: say what replaces it (Note)",IF(AND(I1133="Rename",J1133=""),"type the new name",IF(AND(L1133&lt;&gt;"",L1133&lt;&gt;"(decide)",COUNTIF($L$2:$L$1680,L1133)&gt;1),"SAME FINAL NAME AS ANOTHER ROW","")))</f>
      </c>
      <c r="N1133" s="6">
        <v>0</v>
      </c>
      <c r="O1133" s="6" t="s">
        <v>2</v>
      </c>
    </row>
    <row r="1134" spans="1:15" x14ac:dyDescent="0.25">
      <c r="A1134">
        <v>1133</v>
      </c>
      <c r="B1134" t="s">
        <v>1471</v>
      </c>
      <c r="C1134" t="s">
        <v>2</v>
      </c>
      <c r="D1134" t="s">
        <v>1514</v>
      </c>
      <c r="E1134" t="s">
        <v>292</v>
      </c>
      <c r="F1134" t="s">
        <v>2</v>
      </c>
      <c r="G1134" t="s">
        <v>94</v>
      </c>
      <c r="H1134" t="s">
        <v>39</v>
      </c>
      <c r="I1134" s="5" t="s">
        <v>294</v>
      </c>
      <c r="J1134" s="5" t="s">
        <v>2</v>
      </c>
      <c r="K1134" s="5" t="s">
        <v>2</v>
      </c>
      <c r="L1134" s="6">
        <f>IF(I1134="Cut","",IF(I1134="Your call","(decide)",IF(I1134="Rename",J1134,IF(I1134="Keep",IF(D1134="",E1134,D1134),IF(E1134="(unchanged)",D1134,E1134)))))</f>
      </c>
      <c r="M1134" s="6">
        <f>IF(AND(I1134="Cut",N1134&gt;0,K1134=""),"USED: say what replaces it (Note)",IF(AND(I1134="Rename",J1134=""),"type the new name",IF(AND(L1134&lt;&gt;"",L1134&lt;&gt;"(decide)",COUNTIF($L$2:$L$1680,L1134)&gt;1),"SAME FINAL NAME AS ANOTHER ROW","")))</f>
      </c>
      <c r="N1134" s="6">
        <v>1</v>
      </c>
      <c r="O1134" s="6" t="s">
        <v>2</v>
      </c>
    </row>
    <row r="1135" spans="1:15" x14ac:dyDescent="0.25">
      <c r="A1135">
        <v>1134</v>
      </c>
      <c r="B1135" t="s">
        <v>1471</v>
      </c>
      <c r="C1135" t="s">
        <v>2</v>
      </c>
      <c r="D1135" t="s">
        <v>1515</v>
      </c>
      <c r="E1135" t="s">
        <v>292</v>
      </c>
      <c r="F1135" t="s">
        <v>2</v>
      </c>
      <c r="G1135" t="s">
        <v>38</v>
      </c>
      <c r="H1135" t="s">
        <v>39</v>
      </c>
      <c r="I1135" s="5" t="s">
        <v>294</v>
      </c>
      <c r="J1135" s="5" t="s">
        <v>2</v>
      </c>
      <c r="K1135" s="5" t="s">
        <v>2</v>
      </c>
      <c r="L1135" s="6">
        <f>IF(I1135="Cut","",IF(I1135="Your call","(decide)",IF(I1135="Rename",J1135,IF(I1135="Keep",IF(D1135="",E1135,D1135),IF(E1135="(unchanged)",D1135,E1135)))))</f>
      </c>
      <c r="M1135" s="6">
        <f>IF(AND(I1135="Cut",N1135&gt;0,K1135=""),"USED: say what replaces it (Note)",IF(AND(I1135="Rename",J1135=""),"type the new name",IF(AND(L1135&lt;&gt;"",L1135&lt;&gt;"(decide)",COUNTIF($L$2:$L$1680,L1135)&gt;1),"SAME FINAL NAME AS ANOTHER ROW","")))</f>
      </c>
      <c r="N1135" s="6">
        <v>0</v>
      </c>
      <c r="O1135" s="6" t="s">
        <v>2</v>
      </c>
    </row>
    <row r="1136" spans="1:15" x14ac:dyDescent="0.25">
      <c r="A1136">
        <v>1135</v>
      </c>
      <c r="B1136" t="s">
        <v>1471</v>
      </c>
      <c r="C1136" t="s">
        <v>2</v>
      </c>
      <c r="D1136" t="s">
        <v>1516</v>
      </c>
      <c r="E1136" t="s">
        <v>292</v>
      </c>
      <c r="F1136" t="s">
        <v>2</v>
      </c>
      <c r="G1136" t="s">
        <v>38</v>
      </c>
      <c r="H1136" t="s">
        <v>39</v>
      </c>
      <c r="I1136" s="5" t="s">
        <v>294</v>
      </c>
      <c r="J1136" s="5" t="s">
        <v>2</v>
      </c>
      <c r="K1136" s="5" t="s">
        <v>2</v>
      </c>
      <c r="L1136" s="6">
        <f>IF(I1136="Cut","",IF(I1136="Your call","(decide)",IF(I1136="Rename",J1136,IF(I1136="Keep",IF(D1136="",E1136,D1136),IF(E1136="(unchanged)",D1136,E1136)))))</f>
      </c>
      <c r="M1136" s="6">
        <f>IF(AND(I1136="Cut",N1136&gt;0,K1136=""),"USED: say what replaces it (Note)",IF(AND(I1136="Rename",J1136=""),"type the new name",IF(AND(L1136&lt;&gt;"",L1136&lt;&gt;"(decide)",COUNTIF($L$2:$L$1680,L1136)&gt;1),"SAME FINAL NAME AS ANOTHER ROW","")))</f>
      </c>
      <c r="N1136" s="6">
        <v>0</v>
      </c>
      <c r="O1136" s="6" t="s">
        <v>2</v>
      </c>
    </row>
    <row r="1137" spans="1:15" x14ac:dyDescent="0.25">
      <c r="A1137">
        <v>1136</v>
      </c>
      <c r="B1137" t="s">
        <v>1471</v>
      </c>
      <c r="C1137" t="s">
        <v>2</v>
      </c>
      <c r="D1137" t="s">
        <v>1517</v>
      </c>
      <c r="E1137" t="s">
        <v>292</v>
      </c>
      <c r="F1137" t="s">
        <v>2</v>
      </c>
      <c r="G1137" t="s">
        <v>94</v>
      </c>
      <c r="H1137" t="s">
        <v>39</v>
      </c>
      <c r="I1137" s="5" t="s">
        <v>294</v>
      </c>
      <c r="J1137" s="5" t="s">
        <v>2</v>
      </c>
      <c r="K1137" s="5" t="s">
        <v>2</v>
      </c>
      <c r="L1137" s="6">
        <f>IF(I1137="Cut","",IF(I1137="Your call","(decide)",IF(I1137="Rename",J1137,IF(I1137="Keep",IF(D1137="",E1137,D1137),IF(E1137="(unchanged)",D1137,E1137)))))</f>
      </c>
      <c r="M1137" s="6">
        <f>IF(AND(I1137="Cut",N1137&gt;0,K1137=""),"USED: say what replaces it (Note)",IF(AND(I1137="Rename",J1137=""),"type the new name",IF(AND(L1137&lt;&gt;"",L1137&lt;&gt;"(decide)",COUNTIF($L$2:$L$1680,L1137)&gt;1),"SAME FINAL NAME AS ANOTHER ROW","")))</f>
      </c>
      <c r="N1137" s="6">
        <v>1</v>
      </c>
      <c r="O1137" s="6" t="s">
        <v>2</v>
      </c>
    </row>
    <row r="1138" spans="1:15" x14ac:dyDescent="0.25">
      <c r="A1138">
        <v>1137</v>
      </c>
      <c r="B1138" t="s">
        <v>1471</v>
      </c>
      <c r="C1138" t="s">
        <v>2</v>
      </c>
      <c r="D1138" t="s">
        <v>1518</v>
      </c>
      <c r="E1138" t="s">
        <v>292</v>
      </c>
      <c r="F1138" t="s">
        <v>2</v>
      </c>
      <c r="G1138" t="s">
        <v>38</v>
      </c>
      <c r="H1138" t="s">
        <v>39</v>
      </c>
      <c r="I1138" s="5" t="s">
        <v>294</v>
      </c>
      <c r="J1138" s="5" t="s">
        <v>2</v>
      </c>
      <c r="K1138" s="5" t="s">
        <v>2</v>
      </c>
      <c r="L1138" s="6">
        <f>IF(I1138="Cut","",IF(I1138="Your call","(decide)",IF(I1138="Rename",J1138,IF(I1138="Keep",IF(D1138="",E1138,D1138),IF(E1138="(unchanged)",D1138,E1138)))))</f>
      </c>
      <c r="M1138" s="6">
        <f>IF(AND(I1138="Cut",N1138&gt;0,K1138=""),"USED: say what replaces it (Note)",IF(AND(I1138="Rename",J1138=""),"type the new name",IF(AND(L1138&lt;&gt;"",L1138&lt;&gt;"(decide)",COUNTIF($L$2:$L$1680,L1138)&gt;1),"SAME FINAL NAME AS ANOTHER ROW","")))</f>
      </c>
      <c r="N1138" s="6">
        <v>0</v>
      </c>
      <c r="O1138" s="6" t="s">
        <v>2</v>
      </c>
    </row>
    <row r="1139" spans="1:15" x14ac:dyDescent="0.25">
      <c r="A1139">
        <v>1138</v>
      </c>
      <c r="B1139" t="s">
        <v>1471</v>
      </c>
      <c r="C1139" t="s">
        <v>1519</v>
      </c>
      <c r="D1139" t="s">
        <v>1520</v>
      </c>
      <c r="E1139" t="s">
        <v>292</v>
      </c>
      <c r="F1139" t="s">
        <v>2</v>
      </c>
      <c r="G1139" t="s">
        <v>94</v>
      </c>
      <c r="H1139" t="s">
        <v>39</v>
      </c>
      <c r="I1139" s="5" t="s">
        <v>294</v>
      </c>
      <c r="J1139" s="5" t="s">
        <v>2</v>
      </c>
      <c r="K1139" s="5" t="s">
        <v>2</v>
      </c>
      <c r="L1139" s="6">
        <f>IF(I1139="Cut","",IF(I1139="Your call","(decide)",IF(I1139="Rename",J1139,IF(I1139="Keep",IF(D1139="",E1139,D1139),IF(E1139="(unchanged)",D1139,E1139)))))</f>
      </c>
      <c r="M1139" s="6">
        <f>IF(AND(I1139="Cut",N1139&gt;0,K1139=""),"USED: say what replaces it (Note)",IF(AND(I1139="Rename",J1139=""),"type the new name",IF(AND(L1139&lt;&gt;"",L1139&lt;&gt;"(decide)",COUNTIF($L$2:$L$1680,L1139)&gt;1),"SAME FINAL NAME AS ANOTHER ROW","")))</f>
      </c>
      <c r="N1139" s="6">
        <v>1</v>
      </c>
      <c r="O1139" s="6" t="s">
        <v>2</v>
      </c>
    </row>
    <row r="1140" spans="1:15" x14ac:dyDescent="0.25">
      <c r="A1140">
        <v>1139</v>
      </c>
      <c r="B1140" t="s">
        <v>1471</v>
      </c>
      <c r="C1140" t="s">
        <v>1519</v>
      </c>
      <c r="D1140" t="s">
        <v>1521</v>
      </c>
      <c r="E1140" t="s">
        <v>292</v>
      </c>
      <c r="F1140" t="s">
        <v>2</v>
      </c>
      <c r="G1140" t="s">
        <v>58</v>
      </c>
      <c r="H1140" t="s">
        <v>39</v>
      </c>
      <c r="I1140" s="5" t="s">
        <v>294</v>
      </c>
      <c r="J1140" s="5" t="s">
        <v>2</v>
      </c>
      <c r="K1140" s="5" t="s">
        <v>2</v>
      </c>
      <c r="L1140" s="6">
        <f>IF(I1140="Cut","",IF(I1140="Your call","(decide)",IF(I1140="Rename",J1140,IF(I1140="Keep",IF(D1140="",E1140,D1140),IF(E1140="(unchanged)",D1140,E1140)))))</f>
      </c>
      <c r="M1140" s="6">
        <f>IF(AND(I1140="Cut",N1140&gt;0,K1140=""),"USED: say what replaces it (Note)",IF(AND(I1140="Rename",J1140=""),"type the new name",IF(AND(L1140&lt;&gt;"",L1140&lt;&gt;"(decide)",COUNTIF($L$2:$L$1680,L1140)&gt;1),"SAME FINAL NAME AS ANOTHER ROW","")))</f>
      </c>
      <c r="N1140" s="6">
        <v>3</v>
      </c>
      <c r="O1140" s="6" t="s">
        <v>2</v>
      </c>
    </row>
    <row r="1141" spans="1:15" x14ac:dyDescent="0.25">
      <c r="A1141">
        <v>1140</v>
      </c>
      <c r="B1141" t="s">
        <v>1471</v>
      </c>
      <c r="C1141" t="s">
        <v>2</v>
      </c>
      <c r="D1141" t="s">
        <v>1522</v>
      </c>
      <c r="E1141" t="s">
        <v>292</v>
      </c>
      <c r="F1141" t="s">
        <v>2</v>
      </c>
      <c r="G1141" t="s">
        <v>38</v>
      </c>
      <c r="H1141" t="s">
        <v>39</v>
      </c>
      <c r="I1141" s="5" t="s">
        <v>294</v>
      </c>
      <c r="J1141" s="5" t="s">
        <v>2</v>
      </c>
      <c r="K1141" s="5" t="s">
        <v>2</v>
      </c>
      <c r="L1141" s="6">
        <f>IF(I1141="Cut","",IF(I1141="Your call","(decide)",IF(I1141="Rename",J1141,IF(I1141="Keep",IF(D1141="",E1141,D1141),IF(E1141="(unchanged)",D1141,E1141)))))</f>
      </c>
      <c r="M1141" s="6">
        <f>IF(AND(I1141="Cut",N1141&gt;0,K1141=""),"USED: say what replaces it (Note)",IF(AND(I1141="Rename",J1141=""),"type the new name",IF(AND(L1141&lt;&gt;"",L1141&lt;&gt;"(decide)",COUNTIF($L$2:$L$1680,L1141)&gt;1),"SAME FINAL NAME AS ANOTHER ROW","")))</f>
      </c>
      <c r="N1141" s="6">
        <v>0</v>
      </c>
      <c r="O1141" s="6" t="s">
        <v>2</v>
      </c>
    </row>
    <row r="1142" spans="1:15" x14ac:dyDescent="0.25">
      <c r="A1142">
        <v>1141</v>
      </c>
      <c r="B1142" t="s">
        <v>1471</v>
      </c>
      <c r="C1142" t="s">
        <v>2</v>
      </c>
      <c r="D1142" t="s">
        <v>1523</v>
      </c>
      <c r="E1142" t="s">
        <v>292</v>
      </c>
      <c r="F1142" t="s">
        <v>2</v>
      </c>
      <c r="G1142" t="s">
        <v>94</v>
      </c>
      <c r="H1142" t="s">
        <v>39</v>
      </c>
      <c r="I1142" s="5" t="s">
        <v>294</v>
      </c>
      <c r="J1142" s="5" t="s">
        <v>2</v>
      </c>
      <c r="K1142" s="5" t="s">
        <v>2</v>
      </c>
      <c r="L1142" s="6">
        <f>IF(I1142="Cut","",IF(I1142="Your call","(decide)",IF(I1142="Rename",J1142,IF(I1142="Keep",IF(D1142="",E1142,D1142),IF(E1142="(unchanged)",D1142,E1142)))))</f>
      </c>
      <c r="M1142" s="6">
        <f>IF(AND(I1142="Cut",N1142&gt;0,K1142=""),"USED: say what replaces it (Note)",IF(AND(I1142="Rename",J1142=""),"type the new name",IF(AND(L1142&lt;&gt;"",L1142&lt;&gt;"(decide)",COUNTIF($L$2:$L$1680,L1142)&gt;1),"SAME FINAL NAME AS ANOTHER ROW","")))</f>
      </c>
      <c r="N1142" s="6">
        <v>1</v>
      </c>
      <c r="O1142" s="6" t="s">
        <v>2</v>
      </c>
    </row>
    <row r="1143" spans="1:15" x14ac:dyDescent="0.25">
      <c r="A1143">
        <v>1142</v>
      </c>
      <c r="B1143" t="s">
        <v>1471</v>
      </c>
      <c r="C1143" t="s">
        <v>2</v>
      </c>
      <c r="D1143" t="s">
        <v>1524</v>
      </c>
      <c r="E1143" t="s">
        <v>292</v>
      </c>
      <c r="F1143" t="s">
        <v>2</v>
      </c>
      <c r="G1143" t="s">
        <v>38</v>
      </c>
      <c r="H1143" t="s">
        <v>39</v>
      </c>
      <c r="I1143" s="5" t="s">
        <v>294</v>
      </c>
      <c r="J1143" s="5" t="s">
        <v>2</v>
      </c>
      <c r="K1143" s="5" t="s">
        <v>2</v>
      </c>
      <c r="L1143" s="6">
        <f>IF(I1143="Cut","",IF(I1143="Your call","(decide)",IF(I1143="Rename",J1143,IF(I1143="Keep",IF(D1143="",E1143,D1143),IF(E1143="(unchanged)",D1143,E1143)))))</f>
      </c>
      <c r="M1143" s="6">
        <f>IF(AND(I1143="Cut",N1143&gt;0,K1143=""),"USED: say what replaces it (Note)",IF(AND(I1143="Rename",J1143=""),"type the new name",IF(AND(L1143&lt;&gt;"",L1143&lt;&gt;"(decide)",COUNTIF($L$2:$L$1680,L1143)&gt;1),"SAME FINAL NAME AS ANOTHER ROW","")))</f>
      </c>
      <c r="N1143" s="6">
        <v>0</v>
      </c>
      <c r="O1143" s="6" t="s">
        <v>2</v>
      </c>
    </row>
    <row r="1144" spans="1:15" x14ac:dyDescent="0.25">
      <c r="A1144">
        <v>1143</v>
      </c>
      <c r="B1144" t="s">
        <v>1471</v>
      </c>
      <c r="C1144" t="s">
        <v>2</v>
      </c>
      <c r="D1144" t="s">
        <v>1525</v>
      </c>
      <c r="E1144" t="s">
        <v>292</v>
      </c>
      <c r="F1144" t="s">
        <v>2</v>
      </c>
      <c r="G1144" t="s">
        <v>38</v>
      </c>
      <c r="H1144" t="s">
        <v>39</v>
      </c>
      <c r="I1144" s="5" t="s">
        <v>294</v>
      </c>
      <c r="J1144" s="5" t="s">
        <v>2</v>
      </c>
      <c r="K1144" s="5" t="s">
        <v>2</v>
      </c>
      <c r="L1144" s="6">
        <f>IF(I1144="Cut","",IF(I1144="Your call","(decide)",IF(I1144="Rename",J1144,IF(I1144="Keep",IF(D1144="",E1144,D1144),IF(E1144="(unchanged)",D1144,E1144)))))</f>
      </c>
      <c r="M1144" s="6">
        <f>IF(AND(I1144="Cut",N1144&gt;0,K1144=""),"USED: say what replaces it (Note)",IF(AND(I1144="Rename",J1144=""),"type the new name",IF(AND(L1144&lt;&gt;"",L1144&lt;&gt;"(decide)",COUNTIF($L$2:$L$1680,L1144)&gt;1),"SAME FINAL NAME AS ANOTHER ROW","")))</f>
      </c>
      <c r="N1144" s="6">
        <v>0</v>
      </c>
      <c r="O1144" s="6" t="s">
        <v>2</v>
      </c>
    </row>
    <row r="1145" spans="1:15" x14ac:dyDescent="0.25">
      <c r="A1145">
        <v>1144</v>
      </c>
      <c r="B1145" t="s">
        <v>1471</v>
      </c>
      <c r="C1145" t="s">
        <v>1526</v>
      </c>
      <c r="D1145" t="s">
        <v>1527</v>
      </c>
      <c r="E1145" t="s">
        <v>292</v>
      </c>
      <c r="F1145" t="s">
        <v>2</v>
      </c>
      <c r="G1145" t="s">
        <v>38</v>
      </c>
      <c r="H1145" t="s">
        <v>39</v>
      </c>
      <c r="I1145" s="5" t="s">
        <v>294</v>
      </c>
      <c r="J1145" s="5" t="s">
        <v>2</v>
      </c>
      <c r="K1145" s="5" t="s">
        <v>2</v>
      </c>
      <c r="L1145" s="6">
        <f>IF(I1145="Cut","",IF(I1145="Your call","(decide)",IF(I1145="Rename",J1145,IF(I1145="Keep",IF(D1145="",E1145,D1145),IF(E1145="(unchanged)",D1145,E1145)))))</f>
      </c>
      <c r="M1145" s="6">
        <f>IF(AND(I1145="Cut",N1145&gt;0,K1145=""),"USED: say what replaces it (Note)",IF(AND(I1145="Rename",J1145=""),"type the new name",IF(AND(L1145&lt;&gt;"",L1145&lt;&gt;"(decide)",COUNTIF($L$2:$L$1680,L1145)&gt;1),"SAME FINAL NAME AS ANOTHER ROW","")))</f>
      </c>
      <c r="N1145" s="6">
        <v>0</v>
      </c>
      <c r="O1145" s="6" t="s">
        <v>2</v>
      </c>
    </row>
    <row r="1146" spans="1:15" x14ac:dyDescent="0.25">
      <c r="A1146">
        <v>1145</v>
      </c>
      <c r="B1146" t="s">
        <v>1471</v>
      </c>
      <c r="C1146" t="s">
        <v>1526</v>
      </c>
      <c r="D1146" t="s">
        <v>1528</v>
      </c>
      <c r="E1146" t="s">
        <v>292</v>
      </c>
      <c r="F1146" t="s">
        <v>2</v>
      </c>
      <c r="G1146" t="s">
        <v>94</v>
      </c>
      <c r="H1146" t="s">
        <v>39</v>
      </c>
      <c r="I1146" s="5" t="s">
        <v>294</v>
      </c>
      <c r="J1146" s="5" t="s">
        <v>2</v>
      </c>
      <c r="K1146" s="5" t="s">
        <v>2</v>
      </c>
      <c r="L1146" s="6">
        <f>IF(I1146="Cut","",IF(I1146="Your call","(decide)",IF(I1146="Rename",J1146,IF(I1146="Keep",IF(D1146="",E1146,D1146),IF(E1146="(unchanged)",D1146,E1146)))))</f>
      </c>
      <c r="M1146" s="6">
        <f>IF(AND(I1146="Cut",N1146&gt;0,K1146=""),"USED: say what replaces it (Note)",IF(AND(I1146="Rename",J1146=""),"type the new name",IF(AND(L1146&lt;&gt;"",L1146&lt;&gt;"(decide)",COUNTIF($L$2:$L$1680,L1146)&gt;1),"SAME FINAL NAME AS ANOTHER ROW","")))</f>
      </c>
      <c r="N1146" s="6">
        <v>1</v>
      </c>
      <c r="O1146" s="6" t="s">
        <v>2</v>
      </c>
    </row>
    <row r="1147" spans="1:15" x14ac:dyDescent="0.25">
      <c r="A1147">
        <v>1146</v>
      </c>
      <c r="B1147" t="s">
        <v>1471</v>
      </c>
      <c r="C1147" t="s">
        <v>1526</v>
      </c>
      <c r="D1147" t="s">
        <v>1529</v>
      </c>
      <c r="E1147" t="s">
        <v>292</v>
      </c>
      <c r="F1147" t="s">
        <v>2</v>
      </c>
      <c r="G1147" t="s">
        <v>94</v>
      </c>
      <c r="H1147" t="s">
        <v>39</v>
      </c>
      <c r="I1147" s="5" t="s">
        <v>294</v>
      </c>
      <c r="J1147" s="5" t="s">
        <v>2</v>
      </c>
      <c r="K1147" s="5" t="s">
        <v>2</v>
      </c>
      <c r="L1147" s="6">
        <f>IF(I1147="Cut","",IF(I1147="Your call","(decide)",IF(I1147="Rename",J1147,IF(I1147="Keep",IF(D1147="",E1147,D1147),IF(E1147="(unchanged)",D1147,E1147)))))</f>
      </c>
      <c r="M1147" s="6">
        <f>IF(AND(I1147="Cut",N1147&gt;0,K1147=""),"USED: say what replaces it (Note)",IF(AND(I1147="Rename",J1147=""),"type the new name",IF(AND(L1147&lt;&gt;"",L1147&lt;&gt;"(decide)",COUNTIF($L$2:$L$1680,L1147)&gt;1),"SAME FINAL NAME AS ANOTHER ROW","")))</f>
      </c>
      <c r="N1147" s="6">
        <v>1</v>
      </c>
      <c r="O1147" s="6" t="s">
        <v>2</v>
      </c>
    </row>
    <row r="1148" spans="1:15" x14ac:dyDescent="0.25">
      <c r="A1148">
        <v>1147</v>
      </c>
      <c r="B1148" t="s">
        <v>1471</v>
      </c>
      <c r="C1148" t="s">
        <v>1530</v>
      </c>
      <c r="D1148" t="s">
        <v>1531</v>
      </c>
      <c r="E1148" t="s">
        <v>292</v>
      </c>
      <c r="F1148" t="s">
        <v>2</v>
      </c>
      <c r="G1148" t="s">
        <v>38</v>
      </c>
      <c r="H1148" t="s">
        <v>39</v>
      </c>
      <c r="I1148" s="5" t="s">
        <v>294</v>
      </c>
      <c r="J1148" s="5" t="s">
        <v>2</v>
      </c>
      <c r="K1148" s="5" t="s">
        <v>2</v>
      </c>
      <c r="L1148" s="6">
        <f>IF(I1148="Cut","",IF(I1148="Your call","(decide)",IF(I1148="Rename",J1148,IF(I1148="Keep",IF(D1148="",E1148,D1148),IF(E1148="(unchanged)",D1148,E1148)))))</f>
      </c>
      <c r="M1148" s="6">
        <f>IF(AND(I1148="Cut",N1148&gt;0,K1148=""),"USED: say what replaces it (Note)",IF(AND(I1148="Rename",J1148=""),"type the new name",IF(AND(L1148&lt;&gt;"",L1148&lt;&gt;"(decide)",COUNTIF($L$2:$L$1680,L1148)&gt;1),"SAME FINAL NAME AS ANOTHER ROW","")))</f>
      </c>
      <c r="N1148" s="6">
        <v>0</v>
      </c>
      <c r="O1148" s="6" t="s">
        <v>2</v>
      </c>
    </row>
    <row r="1149" spans="1:15" x14ac:dyDescent="0.25">
      <c r="A1149">
        <v>1148</v>
      </c>
      <c r="B1149" t="s">
        <v>1471</v>
      </c>
      <c r="C1149" t="s">
        <v>1530</v>
      </c>
      <c r="D1149" t="s">
        <v>1532</v>
      </c>
      <c r="E1149" t="s">
        <v>292</v>
      </c>
      <c r="F1149" t="s">
        <v>2</v>
      </c>
      <c r="G1149" t="s">
        <v>94</v>
      </c>
      <c r="H1149" t="s">
        <v>39</v>
      </c>
      <c r="I1149" s="5" t="s">
        <v>294</v>
      </c>
      <c r="J1149" s="5" t="s">
        <v>2</v>
      </c>
      <c r="K1149" s="5" t="s">
        <v>2</v>
      </c>
      <c r="L1149" s="6">
        <f>IF(I1149="Cut","",IF(I1149="Your call","(decide)",IF(I1149="Rename",J1149,IF(I1149="Keep",IF(D1149="",E1149,D1149),IF(E1149="(unchanged)",D1149,E1149)))))</f>
      </c>
      <c r="M1149" s="6">
        <f>IF(AND(I1149="Cut",N1149&gt;0,K1149=""),"USED: say what replaces it (Note)",IF(AND(I1149="Rename",J1149=""),"type the new name",IF(AND(L1149&lt;&gt;"",L1149&lt;&gt;"(decide)",COUNTIF($L$2:$L$1680,L1149)&gt;1),"SAME FINAL NAME AS ANOTHER ROW","")))</f>
      </c>
      <c r="N1149" s="6">
        <v>1</v>
      </c>
      <c r="O1149" s="6" t="s">
        <v>2</v>
      </c>
    </row>
    <row r="1150" spans="1:15" x14ac:dyDescent="0.25">
      <c r="A1150">
        <v>1149</v>
      </c>
      <c r="B1150" t="s">
        <v>1471</v>
      </c>
      <c r="C1150" t="s">
        <v>1533</v>
      </c>
      <c r="D1150" t="s">
        <v>1534</v>
      </c>
      <c r="E1150" t="s">
        <v>292</v>
      </c>
      <c r="F1150" t="s">
        <v>2</v>
      </c>
      <c r="G1150" t="s">
        <v>94</v>
      </c>
      <c r="H1150" t="s">
        <v>39</v>
      </c>
      <c r="I1150" s="5" t="s">
        <v>294</v>
      </c>
      <c r="J1150" s="5" t="s">
        <v>2</v>
      </c>
      <c r="K1150" s="5" t="s">
        <v>2</v>
      </c>
      <c r="L1150" s="6">
        <f>IF(I1150="Cut","",IF(I1150="Your call","(decide)",IF(I1150="Rename",J1150,IF(I1150="Keep",IF(D1150="",E1150,D1150),IF(E1150="(unchanged)",D1150,E1150)))))</f>
      </c>
      <c r="M1150" s="6">
        <f>IF(AND(I1150="Cut",N1150&gt;0,K1150=""),"USED: say what replaces it (Note)",IF(AND(I1150="Rename",J1150=""),"type the new name",IF(AND(L1150&lt;&gt;"",L1150&lt;&gt;"(decide)",COUNTIF($L$2:$L$1680,L1150)&gt;1),"SAME FINAL NAME AS ANOTHER ROW","")))</f>
      </c>
      <c r="N1150" s="6">
        <v>1</v>
      </c>
      <c r="O1150" s="6" t="s">
        <v>2</v>
      </c>
    </row>
    <row r="1151" spans="1:15" x14ac:dyDescent="0.25">
      <c r="A1151">
        <v>1150</v>
      </c>
      <c r="B1151" t="s">
        <v>1471</v>
      </c>
      <c r="C1151" t="s">
        <v>1535</v>
      </c>
      <c r="D1151" t="s">
        <v>1536</v>
      </c>
      <c r="E1151" t="s">
        <v>292</v>
      </c>
      <c r="F1151" t="s">
        <v>2</v>
      </c>
      <c r="G1151" t="s">
        <v>94</v>
      </c>
      <c r="H1151" t="s">
        <v>39</v>
      </c>
      <c r="I1151" s="5" t="s">
        <v>294</v>
      </c>
      <c r="J1151" s="5" t="s">
        <v>2</v>
      </c>
      <c r="K1151" s="5" t="s">
        <v>2</v>
      </c>
      <c r="L1151" s="6">
        <f>IF(I1151="Cut","",IF(I1151="Your call","(decide)",IF(I1151="Rename",J1151,IF(I1151="Keep",IF(D1151="",E1151,D1151),IF(E1151="(unchanged)",D1151,E1151)))))</f>
      </c>
      <c r="M1151" s="6">
        <f>IF(AND(I1151="Cut",N1151&gt;0,K1151=""),"USED: say what replaces it (Note)",IF(AND(I1151="Rename",J1151=""),"type the new name",IF(AND(L1151&lt;&gt;"",L1151&lt;&gt;"(decide)",COUNTIF($L$2:$L$1680,L1151)&gt;1),"SAME FINAL NAME AS ANOTHER ROW","")))</f>
      </c>
      <c r="N1151" s="6">
        <v>1</v>
      </c>
      <c r="O1151" s="6" t="s">
        <v>2</v>
      </c>
    </row>
    <row r="1152" spans="1:15" x14ac:dyDescent="0.25">
      <c r="A1152">
        <v>1151</v>
      </c>
      <c r="B1152" t="s">
        <v>1471</v>
      </c>
      <c r="C1152" t="s">
        <v>1537</v>
      </c>
      <c r="D1152" t="s">
        <v>1538</v>
      </c>
      <c r="E1152" t="s">
        <v>292</v>
      </c>
      <c r="F1152" t="s">
        <v>2</v>
      </c>
      <c r="G1152" t="s">
        <v>38</v>
      </c>
      <c r="H1152" t="s">
        <v>39</v>
      </c>
      <c r="I1152" s="5" t="s">
        <v>294</v>
      </c>
      <c r="J1152" s="5" t="s">
        <v>2</v>
      </c>
      <c r="K1152" s="5" t="s">
        <v>2</v>
      </c>
      <c r="L1152" s="6">
        <f>IF(I1152="Cut","",IF(I1152="Your call","(decide)",IF(I1152="Rename",J1152,IF(I1152="Keep",IF(D1152="",E1152,D1152),IF(E1152="(unchanged)",D1152,E1152)))))</f>
      </c>
      <c r="M1152" s="6">
        <f>IF(AND(I1152="Cut",N1152&gt;0,K1152=""),"USED: say what replaces it (Note)",IF(AND(I1152="Rename",J1152=""),"type the new name",IF(AND(L1152&lt;&gt;"",L1152&lt;&gt;"(decide)",COUNTIF($L$2:$L$1680,L1152)&gt;1),"SAME FINAL NAME AS ANOTHER ROW","")))</f>
      </c>
      <c r="N1152" s="6">
        <v>0</v>
      </c>
      <c r="O1152" s="6" t="s">
        <v>2</v>
      </c>
    </row>
    <row r="1153" spans="1:15" x14ac:dyDescent="0.25">
      <c r="A1153">
        <v>1152</v>
      </c>
      <c r="B1153" t="s">
        <v>1471</v>
      </c>
      <c r="C1153" t="s">
        <v>1537</v>
      </c>
      <c r="D1153" t="s">
        <v>1539</v>
      </c>
      <c r="E1153" t="s">
        <v>292</v>
      </c>
      <c r="F1153" t="s">
        <v>2</v>
      </c>
      <c r="G1153" t="s">
        <v>94</v>
      </c>
      <c r="H1153" t="s">
        <v>39</v>
      </c>
      <c r="I1153" s="5" t="s">
        <v>294</v>
      </c>
      <c r="J1153" s="5" t="s">
        <v>2</v>
      </c>
      <c r="K1153" s="5" t="s">
        <v>2</v>
      </c>
      <c r="L1153" s="6">
        <f>IF(I1153="Cut","",IF(I1153="Your call","(decide)",IF(I1153="Rename",J1153,IF(I1153="Keep",IF(D1153="",E1153,D1153),IF(E1153="(unchanged)",D1153,E1153)))))</f>
      </c>
      <c r="M1153" s="6">
        <f>IF(AND(I1153="Cut",N1153&gt;0,K1153=""),"USED: say what replaces it (Note)",IF(AND(I1153="Rename",J1153=""),"type the new name",IF(AND(L1153&lt;&gt;"",L1153&lt;&gt;"(decide)",COUNTIF($L$2:$L$1680,L1153)&gt;1),"SAME FINAL NAME AS ANOTHER ROW","")))</f>
      </c>
      <c r="N1153" s="6">
        <v>1</v>
      </c>
      <c r="O1153" s="6" t="s">
        <v>2</v>
      </c>
    </row>
    <row r="1154" spans="1:15" x14ac:dyDescent="0.25">
      <c r="A1154">
        <v>1153</v>
      </c>
      <c r="B1154" t="s">
        <v>1471</v>
      </c>
      <c r="C1154" t="s">
        <v>2</v>
      </c>
      <c r="D1154" t="s">
        <v>1540</v>
      </c>
      <c r="E1154" t="s">
        <v>292</v>
      </c>
      <c r="F1154" t="s">
        <v>2</v>
      </c>
      <c r="G1154" t="s">
        <v>38</v>
      </c>
      <c r="H1154" t="s">
        <v>39</v>
      </c>
      <c r="I1154" s="5" t="s">
        <v>294</v>
      </c>
      <c r="J1154" s="5" t="s">
        <v>2</v>
      </c>
      <c r="K1154" s="5" t="s">
        <v>2</v>
      </c>
      <c r="L1154" s="6">
        <f>IF(I1154="Cut","",IF(I1154="Your call","(decide)",IF(I1154="Rename",J1154,IF(I1154="Keep",IF(D1154="",E1154,D1154),IF(E1154="(unchanged)",D1154,E1154)))))</f>
      </c>
      <c r="M1154" s="6">
        <f>IF(AND(I1154="Cut",N1154&gt;0,K1154=""),"USED: say what replaces it (Note)",IF(AND(I1154="Rename",J1154=""),"type the new name",IF(AND(L1154&lt;&gt;"",L1154&lt;&gt;"(decide)",COUNTIF($L$2:$L$1680,L1154)&gt;1),"SAME FINAL NAME AS ANOTHER ROW","")))</f>
      </c>
      <c r="N1154" s="6">
        <v>0</v>
      </c>
      <c r="O1154" s="6" t="s">
        <v>2</v>
      </c>
    </row>
    <row r="1155" spans="1:15" x14ac:dyDescent="0.25">
      <c r="A1155">
        <v>1154</v>
      </c>
      <c r="B1155" t="s">
        <v>1471</v>
      </c>
      <c r="C1155" t="s">
        <v>2</v>
      </c>
      <c r="D1155" t="s">
        <v>1541</v>
      </c>
      <c r="E1155" t="s">
        <v>292</v>
      </c>
      <c r="F1155" t="s">
        <v>2</v>
      </c>
      <c r="G1155" t="s">
        <v>38</v>
      </c>
      <c r="H1155" t="s">
        <v>39</v>
      </c>
      <c r="I1155" s="5" t="s">
        <v>294</v>
      </c>
      <c r="J1155" s="5" t="s">
        <v>2</v>
      </c>
      <c r="K1155" s="5" t="s">
        <v>2</v>
      </c>
      <c r="L1155" s="6">
        <f>IF(I1155="Cut","",IF(I1155="Your call","(decide)",IF(I1155="Rename",J1155,IF(I1155="Keep",IF(D1155="",E1155,D1155),IF(E1155="(unchanged)",D1155,E1155)))))</f>
      </c>
      <c r="M1155" s="6">
        <f>IF(AND(I1155="Cut",N1155&gt;0,K1155=""),"USED: say what replaces it (Note)",IF(AND(I1155="Rename",J1155=""),"type the new name",IF(AND(L1155&lt;&gt;"",L1155&lt;&gt;"(decide)",COUNTIF($L$2:$L$1680,L1155)&gt;1),"SAME FINAL NAME AS ANOTHER ROW","")))</f>
      </c>
      <c r="N1155" s="6">
        <v>0</v>
      </c>
      <c r="O1155" s="6" t="s">
        <v>2</v>
      </c>
    </row>
    <row r="1156" spans="1:15" x14ac:dyDescent="0.25">
      <c r="A1156">
        <v>1155</v>
      </c>
      <c r="B1156" t="s">
        <v>1471</v>
      </c>
      <c r="C1156" t="s">
        <v>1542</v>
      </c>
      <c r="D1156" t="s">
        <v>1543</v>
      </c>
      <c r="E1156" t="s">
        <v>292</v>
      </c>
      <c r="F1156" t="s">
        <v>2</v>
      </c>
      <c r="G1156" t="s">
        <v>94</v>
      </c>
      <c r="H1156" t="s">
        <v>39</v>
      </c>
      <c r="I1156" s="5" t="s">
        <v>294</v>
      </c>
      <c r="J1156" s="5" t="s">
        <v>2</v>
      </c>
      <c r="K1156" s="5" t="s">
        <v>2</v>
      </c>
      <c r="L1156" s="6">
        <f>IF(I1156="Cut","",IF(I1156="Your call","(decide)",IF(I1156="Rename",J1156,IF(I1156="Keep",IF(D1156="",E1156,D1156),IF(E1156="(unchanged)",D1156,E1156)))))</f>
      </c>
      <c r="M1156" s="6">
        <f>IF(AND(I1156="Cut",N1156&gt;0,K1156=""),"USED: say what replaces it (Note)",IF(AND(I1156="Rename",J1156=""),"type the new name",IF(AND(L1156&lt;&gt;"",L1156&lt;&gt;"(decide)",COUNTIF($L$2:$L$1680,L1156)&gt;1),"SAME FINAL NAME AS ANOTHER ROW","")))</f>
      </c>
      <c r="N1156" s="6">
        <v>1</v>
      </c>
      <c r="O1156" s="6" t="s">
        <v>2</v>
      </c>
    </row>
    <row r="1157" spans="1:15" x14ac:dyDescent="0.25">
      <c r="A1157">
        <v>1156</v>
      </c>
      <c r="B1157" t="s">
        <v>1471</v>
      </c>
      <c r="C1157" t="s">
        <v>1542</v>
      </c>
      <c r="D1157" t="s">
        <v>1544</v>
      </c>
      <c r="E1157" t="s">
        <v>292</v>
      </c>
      <c r="F1157" t="s">
        <v>2</v>
      </c>
      <c r="G1157" t="s">
        <v>94</v>
      </c>
      <c r="H1157" t="s">
        <v>39</v>
      </c>
      <c r="I1157" s="5" t="s">
        <v>294</v>
      </c>
      <c r="J1157" s="5" t="s">
        <v>2</v>
      </c>
      <c r="K1157" s="5" t="s">
        <v>2</v>
      </c>
      <c r="L1157" s="6">
        <f>IF(I1157="Cut","",IF(I1157="Your call","(decide)",IF(I1157="Rename",J1157,IF(I1157="Keep",IF(D1157="",E1157,D1157),IF(E1157="(unchanged)",D1157,E1157)))))</f>
      </c>
      <c r="M1157" s="6">
        <f>IF(AND(I1157="Cut",N1157&gt;0,K1157=""),"USED: say what replaces it (Note)",IF(AND(I1157="Rename",J1157=""),"type the new name",IF(AND(L1157&lt;&gt;"",L1157&lt;&gt;"(decide)",COUNTIF($L$2:$L$1680,L1157)&gt;1),"SAME FINAL NAME AS ANOTHER ROW","")))</f>
      </c>
      <c r="N1157" s="6">
        <v>1</v>
      </c>
      <c r="O1157" s="6" t="s">
        <v>2</v>
      </c>
    </row>
    <row r="1158" spans="1:15" x14ac:dyDescent="0.25">
      <c r="A1158">
        <v>1157</v>
      </c>
      <c r="B1158" t="s">
        <v>1471</v>
      </c>
      <c r="C1158" t="s">
        <v>1542</v>
      </c>
      <c r="D1158" t="s">
        <v>1545</v>
      </c>
      <c r="E1158" t="s">
        <v>292</v>
      </c>
      <c r="F1158" t="s">
        <v>2</v>
      </c>
      <c r="G1158" t="s">
        <v>48</v>
      </c>
      <c r="H1158" t="s">
        <v>39</v>
      </c>
      <c r="I1158" s="5" t="s">
        <v>294</v>
      </c>
      <c r="J1158" s="5" t="s">
        <v>2</v>
      </c>
      <c r="K1158" s="5" t="s">
        <v>2</v>
      </c>
      <c r="L1158" s="6">
        <f>IF(I1158="Cut","",IF(I1158="Your call","(decide)",IF(I1158="Rename",J1158,IF(I1158="Keep",IF(D1158="",E1158,D1158),IF(E1158="(unchanged)",D1158,E1158)))))</f>
      </c>
      <c r="M1158" s="6">
        <f>IF(AND(I1158="Cut",N1158&gt;0,K1158=""),"USED: say what replaces it (Note)",IF(AND(I1158="Rename",J1158=""),"type the new name",IF(AND(L1158&lt;&gt;"",L1158&lt;&gt;"(decide)",COUNTIF($L$2:$L$1680,L1158)&gt;1),"SAME FINAL NAME AS ANOTHER ROW","")))</f>
      </c>
      <c r="N1158" s="6">
        <v>2</v>
      </c>
      <c r="O1158" s="6" t="s">
        <v>2</v>
      </c>
    </row>
    <row r="1159" spans="1:15" x14ac:dyDescent="0.25">
      <c r="A1159">
        <v>1158</v>
      </c>
      <c r="B1159" t="s">
        <v>1471</v>
      </c>
      <c r="C1159" t="s">
        <v>2</v>
      </c>
      <c r="D1159" t="s">
        <v>1546</v>
      </c>
      <c r="E1159" t="s">
        <v>292</v>
      </c>
      <c r="F1159" t="s">
        <v>2</v>
      </c>
      <c r="G1159" t="s">
        <v>94</v>
      </c>
      <c r="H1159" t="s">
        <v>39</v>
      </c>
      <c r="I1159" s="5" t="s">
        <v>294</v>
      </c>
      <c r="J1159" s="5" t="s">
        <v>2</v>
      </c>
      <c r="K1159" s="5" t="s">
        <v>2</v>
      </c>
      <c r="L1159" s="6">
        <f>IF(I1159="Cut","",IF(I1159="Your call","(decide)",IF(I1159="Rename",J1159,IF(I1159="Keep",IF(D1159="",E1159,D1159),IF(E1159="(unchanged)",D1159,E1159)))))</f>
      </c>
      <c r="M1159" s="6">
        <f>IF(AND(I1159="Cut",N1159&gt;0,K1159=""),"USED: say what replaces it (Note)",IF(AND(I1159="Rename",J1159=""),"type the new name",IF(AND(L1159&lt;&gt;"",L1159&lt;&gt;"(decide)",COUNTIF($L$2:$L$1680,L1159)&gt;1),"SAME FINAL NAME AS ANOTHER ROW","")))</f>
      </c>
      <c r="N1159" s="6">
        <v>1</v>
      </c>
      <c r="O1159" s="6" t="s">
        <v>2</v>
      </c>
    </row>
    <row r="1160" spans="1:15" x14ac:dyDescent="0.25">
      <c r="A1160">
        <v>1159</v>
      </c>
      <c r="B1160" t="s">
        <v>1471</v>
      </c>
      <c r="C1160" t="s">
        <v>2</v>
      </c>
      <c r="D1160" t="s">
        <v>1547</v>
      </c>
      <c r="E1160" t="s">
        <v>292</v>
      </c>
      <c r="F1160" t="s">
        <v>2</v>
      </c>
      <c r="G1160" t="s">
        <v>48</v>
      </c>
      <c r="H1160" t="s">
        <v>39</v>
      </c>
      <c r="I1160" s="5" t="s">
        <v>294</v>
      </c>
      <c r="J1160" s="5" t="s">
        <v>2</v>
      </c>
      <c r="K1160" s="5" t="s">
        <v>2</v>
      </c>
      <c r="L1160" s="6">
        <f>IF(I1160="Cut","",IF(I1160="Your call","(decide)",IF(I1160="Rename",J1160,IF(I1160="Keep",IF(D1160="",E1160,D1160),IF(E1160="(unchanged)",D1160,E1160)))))</f>
      </c>
      <c r="M1160" s="6">
        <f>IF(AND(I1160="Cut",N1160&gt;0,K1160=""),"USED: say what replaces it (Note)",IF(AND(I1160="Rename",J1160=""),"type the new name",IF(AND(L1160&lt;&gt;"",L1160&lt;&gt;"(decide)",COUNTIF($L$2:$L$1680,L1160)&gt;1),"SAME FINAL NAME AS ANOTHER ROW","")))</f>
      </c>
      <c r="N1160" s="6">
        <v>2</v>
      </c>
      <c r="O1160" s="6" t="s">
        <v>2</v>
      </c>
    </row>
    <row r="1161" spans="1:15" x14ac:dyDescent="0.25">
      <c r="A1161">
        <v>1160</v>
      </c>
      <c r="B1161" t="s">
        <v>1471</v>
      </c>
      <c r="C1161" t="s">
        <v>1548</v>
      </c>
      <c r="D1161" t="s">
        <v>1549</v>
      </c>
      <c r="E1161" t="s">
        <v>292</v>
      </c>
      <c r="F1161" t="s">
        <v>2</v>
      </c>
      <c r="G1161" t="s">
        <v>94</v>
      </c>
      <c r="H1161" t="s">
        <v>39</v>
      </c>
      <c r="I1161" s="5" t="s">
        <v>294</v>
      </c>
      <c r="J1161" s="5" t="s">
        <v>2</v>
      </c>
      <c r="K1161" s="5" t="s">
        <v>2</v>
      </c>
      <c r="L1161" s="6">
        <f>IF(I1161="Cut","",IF(I1161="Your call","(decide)",IF(I1161="Rename",J1161,IF(I1161="Keep",IF(D1161="",E1161,D1161),IF(E1161="(unchanged)",D1161,E1161)))))</f>
      </c>
      <c r="M1161" s="6">
        <f>IF(AND(I1161="Cut",N1161&gt;0,K1161=""),"USED: say what replaces it (Note)",IF(AND(I1161="Rename",J1161=""),"type the new name",IF(AND(L1161&lt;&gt;"",L1161&lt;&gt;"(decide)",COUNTIF($L$2:$L$1680,L1161)&gt;1),"SAME FINAL NAME AS ANOTHER ROW","")))</f>
      </c>
      <c r="N1161" s="6">
        <v>1</v>
      </c>
      <c r="O1161" s="6" t="s">
        <v>2</v>
      </c>
    </row>
    <row r="1162" spans="1:15" x14ac:dyDescent="0.25">
      <c r="A1162">
        <v>1161</v>
      </c>
      <c r="B1162" t="s">
        <v>1471</v>
      </c>
      <c r="C1162" t="s">
        <v>1548</v>
      </c>
      <c r="D1162" t="s">
        <v>1550</v>
      </c>
      <c r="E1162" t="s">
        <v>292</v>
      </c>
      <c r="F1162" t="s">
        <v>2</v>
      </c>
      <c r="G1162" t="s">
        <v>38</v>
      </c>
      <c r="H1162" t="s">
        <v>39</v>
      </c>
      <c r="I1162" s="5" t="s">
        <v>294</v>
      </c>
      <c r="J1162" s="5" t="s">
        <v>2</v>
      </c>
      <c r="K1162" s="5" t="s">
        <v>2</v>
      </c>
      <c r="L1162" s="6">
        <f>IF(I1162="Cut","",IF(I1162="Your call","(decide)",IF(I1162="Rename",J1162,IF(I1162="Keep",IF(D1162="",E1162,D1162),IF(E1162="(unchanged)",D1162,E1162)))))</f>
      </c>
      <c r="M1162" s="6">
        <f>IF(AND(I1162="Cut",N1162&gt;0,K1162=""),"USED: say what replaces it (Note)",IF(AND(I1162="Rename",J1162=""),"type the new name",IF(AND(L1162&lt;&gt;"",L1162&lt;&gt;"(decide)",COUNTIF($L$2:$L$1680,L1162)&gt;1),"SAME FINAL NAME AS ANOTHER ROW","")))</f>
      </c>
      <c r="N1162" s="6">
        <v>0</v>
      </c>
      <c r="O1162" s="6" t="s">
        <v>2</v>
      </c>
    </row>
    <row r="1163" spans="1:15" x14ac:dyDescent="0.25">
      <c r="A1163">
        <v>1162</v>
      </c>
      <c r="B1163" t="s">
        <v>1471</v>
      </c>
      <c r="C1163" t="s">
        <v>1551</v>
      </c>
      <c r="D1163" t="s">
        <v>1552</v>
      </c>
      <c r="E1163" t="s">
        <v>292</v>
      </c>
      <c r="F1163" t="s">
        <v>2</v>
      </c>
      <c r="G1163" t="s">
        <v>38</v>
      </c>
      <c r="H1163" t="s">
        <v>39</v>
      </c>
      <c r="I1163" s="5" t="s">
        <v>294</v>
      </c>
      <c r="J1163" s="5" t="s">
        <v>2</v>
      </c>
      <c r="K1163" s="5" t="s">
        <v>2</v>
      </c>
      <c r="L1163" s="6">
        <f>IF(I1163="Cut","",IF(I1163="Your call","(decide)",IF(I1163="Rename",J1163,IF(I1163="Keep",IF(D1163="",E1163,D1163),IF(E1163="(unchanged)",D1163,E1163)))))</f>
      </c>
      <c r="M1163" s="6">
        <f>IF(AND(I1163="Cut",N1163&gt;0,K1163=""),"USED: say what replaces it (Note)",IF(AND(I1163="Rename",J1163=""),"type the new name",IF(AND(L1163&lt;&gt;"",L1163&lt;&gt;"(decide)",COUNTIF($L$2:$L$1680,L1163)&gt;1),"SAME FINAL NAME AS ANOTHER ROW","")))</f>
      </c>
      <c r="N1163" s="6">
        <v>0</v>
      </c>
      <c r="O1163" s="6" t="s">
        <v>2</v>
      </c>
    </row>
    <row r="1164" spans="1:15" x14ac:dyDescent="0.25">
      <c r="A1164">
        <v>1163</v>
      </c>
      <c r="B1164" t="s">
        <v>1471</v>
      </c>
      <c r="C1164" t="s">
        <v>1551</v>
      </c>
      <c r="D1164" t="s">
        <v>1553</v>
      </c>
      <c r="E1164" t="s">
        <v>292</v>
      </c>
      <c r="F1164" t="s">
        <v>2</v>
      </c>
      <c r="G1164" t="s">
        <v>38</v>
      </c>
      <c r="H1164" t="s">
        <v>39</v>
      </c>
      <c r="I1164" s="5" t="s">
        <v>294</v>
      </c>
      <c r="J1164" s="5" t="s">
        <v>2</v>
      </c>
      <c r="K1164" s="5" t="s">
        <v>2</v>
      </c>
      <c r="L1164" s="6">
        <f>IF(I1164="Cut","",IF(I1164="Your call","(decide)",IF(I1164="Rename",J1164,IF(I1164="Keep",IF(D1164="",E1164,D1164),IF(E1164="(unchanged)",D1164,E1164)))))</f>
      </c>
      <c r="M1164" s="6">
        <f>IF(AND(I1164="Cut",N1164&gt;0,K1164=""),"USED: say what replaces it (Note)",IF(AND(I1164="Rename",J1164=""),"type the new name",IF(AND(L1164&lt;&gt;"",L1164&lt;&gt;"(decide)",COUNTIF($L$2:$L$1680,L1164)&gt;1),"SAME FINAL NAME AS ANOTHER ROW","")))</f>
      </c>
      <c r="N1164" s="6">
        <v>0</v>
      </c>
      <c r="O1164" s="6" t="s">
        <v>2</v>
      </c>
    </row>
    <row r="1165" spans="1:15" x14ac:dyDescent="0.25">
      <c r="A1165">
        <v>1164</v>
      </c>
      <c r="B1165" t="s">
        <v>1471</v>
      </c>
      <c r="C1165" t="s">
        <v>1551</v>
      </c>
      <c r="D1165" t="s">
        <v>1554</v>
      </c>
      <c r="E1165" t="s">
        <v>292</v>
      </c>
      <c r="F1165" t="s">
        <v>2</v>
      </c>
      <c r="G1165" t="s">
        <v>38</v>
      </c>
      <c r="H1165" t="s">
        <v>39</v>
      </c>
      <c r="I1165" s="5" t="s">
        <v>294</v>
      </c>
      <c r="J1165" s="5" t="s">
        <v>2</v>
      </c>
      <c r="K1165" s="5" t="s">
        <v>2</v>
      </c>
      <c r="L1165" s="6">
        <f>IF(I1165="Cut","",IF(I1165="Your call","(decide)",IF(I1165="Rename",J1165,IF(I1165="Keep",IF(D1165="",E1165,D1165),IF(E1165="(unchanged)",D1165,E1165)))))</f>
      </c>
      <c r="M1165" s="6">
        <f>IF(AND(I1165="Cut",N1165&gt;0,K1165=""),"USED: say what replaces it (Note)",IF(AND(I1165="Rename",J1165=""),"type the new name",IF(AND(L1165&lt;&gt;"",L1165&lt;&gt;"(decide)",COUNTIF($L$2:$L$1680,L1165)&gt;1),"SAME FINAL NAME AS ANOTHER ROW","")))</f>
      </c>
      <c r="N1165" s="6">
        <v>0</v>
      </c>
      <c r="O1165" s="6" t="s">
        <v>2</v>
      </c>
    </row>
    <row r="1166" spans="1:15" x14ac:dyDescent="0.25">
      <c r="A1166">
        <v>1165</v>
      </c>
      <c r="B1166" t="s">
        <v>1471</v>
      </c>
      <c r="C1166" t="s">
        <v>1555</v>
      </c>
      <c r="D1166" t="s">
        <v>1556</v>
      </c>
      <c r="E1166" t="s">
        <v>292</v>
      </c>
      <c r="F1166" t="s">
        <v>2</v>
      </c>
      <c r="G1166" t="s">
        <v>38</v>
      </c>
      <c r="H1166" t="s">
        <v>39</v>
      </c>
      <c r="I1166" s="5" t="s">
        <v>294</v>
      </c>
      <c r="J1166" s="5" t="s">
        <v>2</v>
      </c>
      <c r="K1166" s="5" t="s">
        <v>2</v>
      </c>
      <c r="L1166" s="6">
        <f>IF(I1166="Cut","",IF(I1166="Your call","(decide)",IF(I1166="Rename",J1166,IF(I1166="Keep",IF(D1166="",E1166,D1166),IF(E1166="(unchanged)",D1166,E1166)))))</f>
      </c>
      <c r="M1166" s="6">
        <f>IF(AND(I1166="Cut",N1166&gt;0,K1166=""),"USED: say what replaces it (Note)",IF(AND(I1166="Rename",J1166=""),"type the new name",IF(AND(L1166&lt;&gt;"",L1166&lt;&gt;"(decide)",COUNTIF($L$2:$L$1680,L1166)&gt;1),"SAME FINAL NAME AS ANOTHER ROW","")))</f>
      </c>
      <c r="N1166" s="6">
        <v>0</v>
      </c>
      <c r="O1166" s="6" t="s">
        <v>2</v>
      </c>
    </row>
    <row r="1167" spans="1:15" x14ac:dyDescent="0.25">
      <c r="A1167">
        <v>1166</v>
      </c>
      <c r="B1167" t="s">
        <v>1471</v>
      </c>
      <c r="C1167" t="s">
        <v>1555</v>
      </c>
      <c r="D1167" t="s">
        <v>1557</v>
      </c>
      <c r="E1167" t="s">
        <v>292</v>
      </c>
      <c r="F1167" t="s">
        <v>2</v>
      </c>
      <c r="G1167" t="s">
        <v>38</v>
      </c>
      <c r="H1167" t="s">
        <v>39</v>
      </c>
      <c r="I1167" s="5" t="s">
        <v>294</v>
      </c>
      <c r="J1167" s="5" t="s">
        <v>2</v>
      </c>
      <c r="K1167" s="5" t="s">
        <v>2</v>
      </c>
      <c r="L1167" s="6">
        <f>IF(I1167="Cut","",IF(I1167="Your call","(decide)",IF(I1167="Rename",J1167,IF(I1167="Keep",IF(D1167="",E1167,D1167),IF(E1167="(unchanged)",D1167,E1167)))))</f>
      </c>
      <c r="M1167" s="6">
        <f>IF(AND(I1167="Cut",N1167&gt;0,K1167=""),"USED: say what replaces it (Note)",IF(AND(I1167="Rename",J1167=""),"type the new name",IF(AND(L1167&lt;&gt;"",L1167&lt;&gt;"(decide)",COUNTIF($L$2:$L$1680,L1167)&gt;1),"SAME FINAL NAME AS ANOTHER ROW","")))</f>
      </c>
      <c r="N1167" s="6">
        <v>0</v>
      </c>
      <c r="O1167" s="6" t="s">
        <v>2</v>
      </c>
    </row>
    <row r="1168" spans="1:15" x14ac:dyDescent="0.25">
      <c r="A1168">
        <v>1167</v>
      </c>
      <c r="B1168" t="s">
        <v>1471</v>
      </c>
      <c r="C1168" t="s">
        <v>1555</v>
      </c>
      <c r="D1168" t="s">
        <v>1558</v>
      </c>
      <c r="E1168" t="s">
        <v>292</v>
      </c>
      <c r="F1168" t="s">
        <v>2</v>
      </c>
      <c r="G1168" t="s">
        <v>94</v>
      </c>
      <c r="H1168" t="s">
        <v>39</v>
      </c>
      <c r="I1168" s="5" t="s">
        <v>294</v>
      </c>
      <c r="J1168" s="5" t="s">
        <v>2</v>
      </c>
      <c r="K1168" s="5" t="s">
        <v>2</v>
      </c>
      <c r="L1168" s="6">
        <f>IF(I1168="Cut","",IF(I1168="Your call","(decide)",IF(I1168="Rename",J1168,IF(I1168="Keep",IF(D1168="",E1168,D1168),IF(E1168="(unchanged)",D1168,E1168)))))</f>
      </c>
      <c r="M1168" s="6">
        <f>IF(AND(I1168="Cut",N1168&gt;0,K1168=""),"USED: say what replaces it (Note)",IF(AND(I1168="Rename",J1168=""),"type the new name",IF(AND(L1168&lt;&gt;"",L1168&lt;&gt;"(decide)",COUNTIF($L$2:$L$1680,L1168)&gt;1),"SAME FINAL NAME AS ANOTHER ROW","")))</f>
      </c>
      <c r="N1168" s="6">
        <v>1</v>
      </c>
      <c r="O1168" s="6" t="s">
        <v>2</v>
      </c>
    </row>
    <row r="1169" spans="1:15" x14ac:dyDescent="0.25">
      <c r="A1169">
        <v>1168</v>
      </c>
      <c r="B1169" t="s">
        <v>1471</v>
      </c>
      <c r="C1169" t="s">
        <v>1559</v>
      </c>
      <c r="D1169" t="s">
        <v>1560</v>
      </c>
      <c r="E1169" t="s">
        <v>292</v>
      </c>
      <c r="F1169" t="s">
        <v>2</v>
      </c>
      <c r="G1169" t="s">
        <v>38</v>
      </c>
      <c r="H1169" t="s">
        <v>39</v>
      </c>
      <c r="I1169" s="5" t="s">
        <v>294</v>
      </c>
      <c r="J1169" s="5" t="s">
        <v>2</v>
      </c>
      <c r="K1169" s="5" t="s">
        <v>2</v>
      </c>
      <c r="L1169" s="6">
        <f>IF(I1169="Cut","",IF(I1169="Your call","(decide)",IF(I1169="Rename",J1169,IF(I1169="Keep",IF(D1169="",E1169,D1169),IF(E1169="(unchanged)",D1169,E1169)))))</f>
      </c>
      <c r="M1169" s="6">
        <f>IF(AND(I1169="Cut",N1169&gt;0,K1169=""),"USED: say what replaces it (Note)",IF(AND(I1169="Rename",J1169=""),"type the new name",IF(AND(L1169&lt;&gt;"",L1169&lt;&gt;"(decide)",COUNTIF($L$2:$L$1680,L1169)&gt;1),"SAME FINAL NAME AS ANOTHER ROW","")))</f>
      </c>
      <c r="N1169" s="6">
        <v>0</v>
      </c>
      <c r="O1169" s="6" t="s">
        <v>2</v>
      </c>
    </row>
    <row r="1170" spans="1:15" x14ac:dyDescent="0.25">
      <c r="A1170">
        <v>1169</v>
      </c>
      <c r="B1170" t="s">
        <v>1471</v>
      </c>
      <c r="C1170" t="s">
        <v>1559</v>
      </c>
      <c r="D1170" t="s">
        <v>1561</v>
      </c>
      <c r="E1170" t="s">
        <v>1562</v>
      </c>
      <c r="F1170" t="s">
        <v>1563</v>
      </c>
      <c r="G1170" t="s">
        <v>1564</v>
      </c>
      <c r="H1170" t="s">
        <v>39</v>
      </c>
      <c r="I1170" s="5" t="s">
        <v>40</v>
      </c>
      <c r="J1170" s="5" t="s">
        <v>2</v>
      </c>
      <c r="K1170" s="5" t="s">
        <v>2</v>
      </c>
      <c r="L1170" s="6">
        <f>IF(I1170="Cut","",IF(I1170="Your call","(decide)",IF(I1170="Rename",J1170,IF(I1170="Keep",IF(D1170="",E1170,D1170),IF(E1170="(unchanged)",D1170,E1170)))))</f>
      </c>
      <c r="M1170" s="6">
        <f>IF(AND(I1170="Cut",N1170&gt;0,K1170=""),"USED: say what replaces it (Note)",IF(AND(I1170="Rename",J1170=""),"type the new name",IF(AND(L1170&lt;&gt;"",L1170&lt;&gt;"(decide)",COUNTIF($L$2:$L$1680,L1170)&gt;1),"SAME FINAL NAME AS ANOTHER ROW","")))</f>
      </c>
      <c r="N1170" s="6">
        <v>6</v>
      </c>
      <c r="O1170" s="6" t="s">
        <v>2</v>
      </c>
    </row>
    <row r="1171" spans="1:15" x14ac:dyDescent="0.25">
      <c r="A1171">
        <v>1170</v>
      </c>
      <c r="B1171" t="s">
        <v>1471</v>
      </c>
      <c r="C1171" t="s">
        <v>1559</v>
      </c>
      <c r="D1171" t="s">
        <v>1565</v>
      </c>
      <c r="E1171" t="s">
        <v>292</v>
      </c>
      <c r="F1171" t="s">
        <v>2</v>
      </c>
      <c r="G1171" t="s">
        <v>48</v>
      </c>
      <c r="H1171" t="s">
        <v>39</v>
      </c>
      <c r="I1171" s="5" t="s">
        <v>294</v>
      </c>
      <c r="J1171" s="5" t="s">
        <v>2</v>
      </c>
      <c r="K1171" s="5" t="s">
        <v>2</v>
      </c>
      <c r="L1171" s="6">
        <f>IF(I1171="Cut","",IF(I1171="Your call","(decide)",IF(I1171="Rename",J1171,IF(I1171="Keep",IF(D1171="",E1171,D1171),IF(E1171="(unchanged)",D1171,E1171)))))</f>
      </c>
      <c r="M1171" s="6">
        <f>IF(AND(I1171="Cut",N1171&gt;0,K1171=""),"USED: say what replaces it (Note)",IF(AND(I1171="Rename",J1171=""),"type the new name",IF(AND(L1171&lt;&gt;"",L1171&lt;&gt;"(decide)",COUNTIF($L$2:$L$1680,L1171)&gt;1),"SAME FINAL NAME AS ANOTHER ROW","")))</f>
      </c>
      <c r="N1171" s="6">
        <v>2</v>
      </c>
      <c r="O1171" s="6" t="s">
        <v>2</v>
      </c>
    </row>
    <row r="1172" spans="1:15" x14ac:dyDescent="0.25">
      <c r="A1172">
        <v>1171</v>
      </c>
      <c r="B1172" t="s">
        <v>1471</v>
      </c>
      <c r="C1172" t="s">
        <v>2</v>
      </c>
      <c r="D1172" t="s">
        <v>1566</v>
      </c>
      <c r="E1172" t="s">
        <v>292</v>
      </c>
      <c r="F1172" t="s">
        <v>2</v>
      </c>
      <c r="G1172" t="s">
        <v>94</v>
      </c>
      <c r="H1172" t="s">
        <v>39</v>
      </c>
      <c r="I1172" s="5" t="s">
        <v>294</v>
      </c>
      <c r="J1172" s="5" t="s">
        <v>2</v>
      </c>
      <c r="K1172" s="5" t="s">
        <v>2</v>
      </c>
      <c r="L1172" s="6">
        <f>IF(I1172="Cut","",IF(I1172="Your call","(decide)",IF(I1172="Rename",J1172,IF(I1172="Keep",IF(D1172="",E1172,D1172),IF(E1172="(unchanged)",D1172,E1172)))))</f>
      </c>
      <c r="M1172" s="6">
        <f>IF(AND(I1172="Cut",N1172&gt;0,K1172=""),"USED: say what replaces it (Note)",IF(AND(I1172="Rename",J1172=""),"type the new name",IF(AND(L1172&lt;&gt;"",L1172&lt;&gt;"(decide)",COUNTIF($L$2:$L$1680,L1172)&gt;1),"SAME FINAL NAME AS ANOTHER ROW","")))</f>
      </c>
      <c r="N1172" s="6">
        <v>1</v>
      </c>
      <c r="O1172" s="6" t="s">
        <v>2</v>
      </c>
    </row>
    <row r="1173" spans="1:15" x14ac:dyDescent="0.25">
      <c r="A1173">
        <v>1172</v>
      </c>
      <c r="B1173" t="s">
        <v>1471</v>
      </c>
      <c r="C1173" t="s">
        <v>2</v>
      </c>
      <c r="D1173" t="s">
        <v>1567</v>
      </c>
      <c r="E1173" t="s">
        <v>292</v>
      </c>
      <c r="F1173" t="s">
        <v>2</v>
      </c>
      <c r="G1173" t="s">
        <v>38</v>
      </c>
      <c r="H1173" t="s">
        <v>39</v>
      </c>
      <c r="I1173" s="5" t="s">
        <v>294</v>
      </c>
      <c r="J1173" s="5" t="s">
        <v>2</v>
      </c>
      <c r="K1173" s="5" t="s">
        <v>2</v>
      </c>
      <c r="L1173" s="6">
        <f>IF(I1173="Cut","",IF(I1173="Your call","(decide)",IF(I1173="Rename",J1173,IF(I1173="Keep",IF(D1173="",E1173,D1173),IF(E1173="(unchanged)",D1173,E1173)))))</f>
      </c>
      <c r="M1173" s="6">
        <f>IF(AND(I1173="Cut",N1173&gt;0,K1173=""),"USED: say what replaces it (Note)",IF(AND(I1173="Rename",J1173=""),"type the new name",IF(AND(L1173&lt;&gt;"",L1173&lt;&gt;"(decide)",COUNTIF($L$2:$L$1680,L1173)&gt;1),"SAME FINAL NAME AS ANOTHER ROW","")))</f>
      </c>
      <c r="N1173" s="6">
        <v>0</v>
      </c>
      <c r="O1173" s="6" t="s">
        <v>2</v>
      </c>
    </row>
    <row r="1174" spans="1:15" x14ac:dyDescent="0.25">
      <c r="A1174">
        <v>1173</v>
      </c>
      <c r="B1174" t="s">
        <v>1471</v>
      </c>
      <c r="C1174" t="s">
        <v>1568</v>
      </c>
      <c r="D1174" t="s">
        <v>1569</v>
      </c>
      <c r="E1174" t="s">
        <v>292</v>
      </c>
      <c r="F1174" t="s">
        <v>2</v>
      </c>
      <c r="G1174" t="s">
        <v>38</v>
      </c>
      <c r="H1174" t="s">
        <v>39</v>
      </c>
      <c r="I1174" s="5" t="s">
        <v>294</v>
      </c>
      <c r="J1174" s="5" t="s">
        <v>2</v>
      </c>
      <c r="K1174" s="5" t="s">
        <v>2</v>
      </c>
      <c r="L1174" s="6">
        <f>IF(I1174="Cut","",IF(I1174="Your call","(decide)",IF(I1174="Rename",J1174,IF(I1174="Keep",IF(D1174="",E1174,D1174),IF(E1174="(unchanged)",D1174,E1174)))))</f>
      </c>
      <c r="M1174" s="6">
        <f>IF(AND(I1174="Cut",N1174&gt;0,K1174=""),"USED: say what replaces it (Note)",IF(AND(I1174="Rename",J1174=""),"type the new name",IF(AND(L1174&lt;&gt;"",L1174&lt;&gt;"(decide)",COUNTIF($L$2:$L$1680,L1174)&gt;1),"SAME FINAL NAME AS ANOTHER ROW","")))</f>
      </c>
      <c r="N1174" s="6">
        <v>0</v>
      </c>
      <c r="O1174" s="6" t="s">
        <v>2</v>
      </c>
    </row>
    <row r="1175" spans="1:15" x14ac:dyDescent="0.25">
      <c r="A1175">
        <v>1174</v>
      </c>
      <c r="B1175" t="s">
        <v>1471</v>
      </c>
      <c r="C1175" t="s">
        <v>1568</v>
      </c>
      <c r="D1175" t="s">
        <v>1570</v>
      </c>
      <c r="E1175" t="s">
        <v>292</v>
      </c>
      <c r="F1175" t="s">
        <v>2</v>
      </c>
      <c r="G1175" t="s">
        <v>38</v>
      </c>
      <c r="H1175" t="s">
        <v>39</v>
      </c>
      <c r="I1175" s="5" t="s">
        <v>294</v>
      </c>
      <c r="J1175" s="5" t="s">
        <v>2</v>
      </c>
      <c r="K1175" s="5" t="s">
        <v>2</v>
      </c>
      <c r="L1175" s="6">
        <f>IF(I1175="Cut","",IF(I1175="Your call","(decide)",IF(I1175="Rename",J1175,IF(I1175="Keep",IF(D1175="",E1175,D1175),IF(E1175="(unchanged)",D1175,E1175)))))</f>
      </c>
      <c r="M1175" s="6">
        <f>IF(AND(I1175="Cut",N1175&gt;0,K1175=""),"USED: say what replaces it (Note)",IF(AND(I1175="Rename",J1175=""),"type the new name",IF(AND(L1175&lt;&gt;"",L1175&lt;&gt;"(decide)",COUNTIF($L$2:$L$1680,L1175)&gt;1),"SAME FINAL NAME AS ANOTHER ROW","")))</f>
      </c>
      <c r="N1175" s="6">
        <v>0</v>
      </c>
      <c r="O1175" s="6" t="s">
        <v>2</v>
      </c>
    </row>
    <row r="1176" spans="1:15" x14ac:dyDescent="0.25">
      <c r="A1176">
        <v>1175</v>
      </c>
      <c r="B1176" t="s">
        <v>1471</v>
      </c>
      <c r="C1176" t="s">
        <v>2</v>
      </c>
      <c r="D1176" t="s">
        <v>1571</v>
      </c>
      <c r="E1176" t="s">
        <v>292</v>
      </c>
      <c r="F1176" t="s">
        <v>2</v>
      </c>
      <c r="G1176" t="s">
        <v>38</v>
      </c>
      <c r="H1176" t="s">
        <v>39</v>
      </c>
      <c r="I1176" s="5" t="s">
        <v>294</v>
      </c>
      <c r="J1176" s="5" t="s">
        <v>2</v>
      </c>
      <c r="K1176" s="5" t="s">
        <v>2</v>
      </c>
      <c r="L1176" s="6">
        <f>IF(I1176="Cut","",IF(I1176="Your call","(decide)",IF(I1176="Rename",J1176,IF(I1176="Keep",IF(D1176="",E1176,D1176),IF(E1176="(unchanged)",D1176,E1176)))))</f>
      </c>
      <c r="M1176" s="6">
        <f>IF(AND(I1176="Cut",N1176&gt;0,K1176=""),"USED: say what replaces it (Note)",IF(AND(I1176="Rename",J1176=""),"type the new name",IF(AND(L1176&lt;&gt;"",L1176&lt;&gt;"(decide)",COUNTIF($L$2:$L$1680,L1176)&gt;1),"SAME FINAL NAME AS ANOTHER ROW","")))</f>
      </c>
      <c r="N1176" s="6">
        <v>0</v>
      </c>
      <c r="O1176" s="6" t="s">
        <v>2</v>
      </c>
    </row>
    <row r="1177" spans="1:15" x14ac:dyDescent="0.25">
      <c r="A1177">
        <v>1176</v>
      </c>
      <c r="B1177" t="s">
        <v>1471</v>
      </c>
      <c r="C1177" t="s">
        <v>2</v>
      </c>
      <c r="D1177" t="s">
        <v>1572</v>
      </c>
      <c r="E1177" t="s">
        <v>292</v>
      </c>
      <c r="F1177" t="s">
        <v>2</v>
      </c>
      <c r="G1177" t="s">
        <v>38</v>
      </c>
      <c r="H1177" t="s">
        <v>39</v>
      </c>
      <c r="I1177" s="5" t="s">
        <v>294</v>
      </c>
      <c r="J1177" s="5" t="s">
        <v>2</v>
      </c>
      <c r="K1177" s="5" t="s">
        <v>2</v>
      </c>
      <c r="L1177" s="6">
        <f>IF(I1177="Cut","",IF(I1177="Your call","(decide)",IF(I1177="Rename",J1177,IF(I1177="Keep",IF(D1177="",E1177,D1177),IF(E1177="(unchanged)",D1177,E1177)))))</f>
      </c>
      <c r="M1177" s="6">
        <f>IF(AND(I1177="Cut",N1177&gt;0,K1177=""),"USED: say what replaces it (Note)",IF(AND(I1177="Rename",J1177=""),"type the new name",IF(AND(L1177&lt;&gt;"",L1177&lt;&gt;"(decide)",COUNTIF($L$2:$L$1680,L1177)&gt;1),"SAME FINAL NAME AS ANOTHER ROW","")))</f>
      </c>
      <c r="N1177" s="6">
        <v>0</v>
      </c>
      <c r="O1177" s="6" t="s">
        <v>2</v>
      </c>
    </row>
    <row r="1178" spans="1:15" x14ac:dyDescent="0.25">
      <c r="A1178">
        <v>1177</v>
      </c>
      <c r="B1178" t="s">
        <v>1471</v>
      </c>
      <c r="C1178" t="s">
        <v>2</v>
      </c>
      <c r="D1178" t="s">
        <v>1573</v>
      </c>
      <c r="E1178" t="s">
        <v>292</v>
      </c>
      <c r="F1178" t="s">
        <v>2</v>
      </c>
      <c r="G1178" t="s">
        <v>38</v>
      </c>
      <c r="H1178" t="s">
        <v>39</v>
      </c>
      <c r="I1178" s="5" t="s">
        <v>294</v>
      </c>
      <c r="J1178" s="5" t="s">
        <v>2</v>
      </c>
      <c r="K1178" s="5" t="s">
        <v>2</v>
      </c>
      <c r="L1178" s="6">
        <f>IF(I1178="Cut","",IF(I1178="Your call","(decide)",IF(I1178="Rename",J1178,IF(I1178="Keep",IF(D1178="",E1178,D1178),IF(E1178="(unchanged)",D1178,E1178)))))</f>
      </c>
      <c r="M1178" s="6">
        <f>IF(AND(I1178="Cut",N1178&gt;0,K1178=""),"USED: say what replaces it (Note)",IF(AND(I1178="Rename",J1178=""),"type the new name",IF(AND(L1178&lt;&gt;"",L1178&lt;&gt;"(decide)",COUNTIF($L$2:$L$1680,L1178)&gt;1),"SAME FINAL NAME AS ANOTHER ROW","")))</f>
      </c>
      <c r="N1178" s="6">
        <v>0</v>
      </c>
      <c r="O1178" s="6" t="s">
        <v>2</v>
      </c>
    </row>
    <row r="1179" spans="1:15" x14ac:dyDescent="0.25">
      <c r="A1179">
        <v>1178</v>
      </c>
      <c r="B1179" t="s">
        <v>1471</v>
      </c>
      <c r="C1179" t="s">
        <v>2</v>
      </c>
      <c r="D1179" t="s">
        <v>1574</v>
      </c>
      <c r="E1179" t="s">
        <v>292</v>
      </c>
      <c r="F1179" t="s">
        <v>2</v>
      </c>
      <c r="G1179" t="s">
        <v>38</v>
      </c>
      <c r="H1179" t="s">
        <v>39</v>
      </c>
      <c r="I1179" s="5" t="s">
        <v>294</v>
      </c>
      <c r="J1179" s="5" t="s">
        <v>2</v>
      </c>
      <c r="K1179" s="5" t="s">
        <v>2</v>
      </c>
      <c r="L1179" s="6">
        <f>IF(I1179="Cut","",IF(I1179="Your call","(decide)",IF(I1179="Rename",J1179,IF(I1179="Keep",IF(D1179="",E1179,D1179),IF(E1179="(unchanged)",D1179,E1179)))))</f>
      </c>
      <c r="M1179" s="6">
        <f>IF(AND(I1179="Cut",N1179&gt;0,K1179=""),"USED: say what replaces it (Note)",IF(AND(I1179="Rename",J1179=""),"type the new name",IF(AND(L1179&lt;&gt;"",L1179&lt;&gt;"(decide)",COUNTIF($L$2:$L$1680,L1179)&gt;1),"SAME FINAL NAME AS ANOTHER ROW","")))</f>
      </c>
      <c r="N1179" s="6">
        <v>0</v>
      </c>
      <c r="O1179" s="6" t="s">
        <v>2</v>
      </c>
    </row>
    <row r="1180" spans="1:15" x14ac:dyDescent="0.25">
      <c r="A1180">
        <v>1179</v>
      </c>
      <c r="B1180" t="s">
        <v>1471</v>
      </c>
      <c r="C1180" t="s">
        <v>2</v>
      </c>
      <c r="D1180" t="s">
        <v>1575</v>
      </c>
      <c r="E1180" t="s">
        <v>292</v>
      </c>
      <c r="F1180" t="s">
        <v>2</v>
      </c>
      <c r="G1180" t="s">
        <v>38</v>
      </c>
      <c r="H1180" t="s">
        <v>39</v>
      </c>
      <c r="I1180" s="5" t="s">
        <v>294</v>
      </c>
      <c r="J1180" s="5" t="s">
        <v>2</v>
      </c>
      <c r="K1180" s="5" t="s">
        <v>2</v>
      </c>
      <c r="L1180" s="6">
        <f>IF(I1180="Cut","",IF(I1180="Your call","(decide)",IF(I1180="Rename",J1180,IF(I1180="Keep",IF(D1180="",E1180,D1180),IF(E1180="(unchanged)",D1180,E1180)))))</f>
      </c>
      <c r="M1180" s="6">
        <f>IF(AND(I1180="Cut",N1180&gt;0,K1180=""),"USED: say what replaces it (Note)",IF(AND(I1180="Rename",J1180=""),"type the new name",IF(AND(L1180&lt;&gt;"",L1180&lt;&gt;"(decide)",COUNTIF($L$2:$L$1680,L1180)&gt;1),"SAME FINAL NAME AS ANOTHER ROW","")))</f>
      </c>
      <c r="N1180" s="6">
        <v>0</v>
      </c>
      <c r="O1180" s="6" t="s">
        <v>2</v>
      </c>
    </row>
    <row r="1181" spans="1:15" x14ac:dyDescent="0.25">
      <c r="A1181">
        <v>1180</v>
      </c>
      <c r="B1181" t="s">
        <v>1471</v>
      </c>
      <c r="C1181" t="s">
        <v>2</v>
      </c>
      <c r="D1181" t="s">
        <v>1576</v>
      </c>
      <c r="E1181" t="s">
        <v>292</v>
      </c>
      <c r="F1181" t="s">
        <v>2</v>
      </c>
      <c r="G1181" t="s">
        <v>38</v>
      </c>
      <c r="H1181" t="s">
        <v>39</v>
      </c>
      <c r="I1181" s="5" t="s">
        <v>294</v>
      </c>
      <c r="J1181" s="5" t="s">
        <v>2</v>
      </c>
      <c r="K1181" s="5" t="s">
        <v>2</v>
      </c>
      <c r="L1181" s="6">
        <f>IF(I1181="Cut","",IF(I1181="Your call","(decide)",IF(I1181="Rename",J1181,IF(I1181="Keep",IF(D1181="",E1181,D1181),IF(E1181="(unchanged)",D1181,E1181)))))</f>
      </c>
      <c r="M1181" s="6">
        <f>IF(AND(I1181="Cut",N1181&gt;0,K1181=""),"USED: say what replaces it (Note)",IF(AND(I1181="Rename",J1181=""),"type the new name",IF(AND(L1181&lt;&gt;"",L1181&lt;&gt;"(decide)",COUNTIF($L$2:$L$1680,L1181)&gt;1),"SAME FINAL NAME AS ANOTHER ROW","")))</f>
      </c>
      <c r="N1181" s="6">
        <v>0</v>
      </c>
      <c r="O1181" s="6" t="s">
        <v>2</v>
      </c>
    </row>
    <row r="1182" spans="1:15" x14ac:dyDescent="0.25">
      <c r="A1182">
        <v>1181</v>
      </c>
      <c r="B1182" t="s">
        <v>1471</v>
      </c>
      <c r="C1182" t="s">
        <v>2</v>
      </c>
      <c r="D1182" t="s">
        <v>1577</v>
      </c>
      <c r="E1182" t="s">
        <v>292</v>
      </c>
      <c r="F1182" t="s">
        <v>2</v>
      </c>
      <c r="G1182" t="s">
        <v>38</v>
      </c>
      <c r="H1182" t="s">
        <v>39</v>
      </c>
      <c r="I1182" s="5" t="s">
        <v>294</v>
      </c>
      <c r="J1182" s="5" t="s">
        <v>2</v>
      </c>
      <c r="K1182" s="5" t="s">
        <v>2</v>
      </c>
      <c r="L1182" s="6">
        <f>IF(I1182="Cut","",IF(I1182="Your call","(decide)",IF(I1182="Rename",J1182,IF(I1182="Keep",IF(D1182="",E1182,D1182),IF(E1182="(unchanged)",D1182,E1182)))))</f>
      </c>
      <c r="M1182" s="6">
        <f>IF(AND(I1182="Cut",N1182&gt;0,K1182=""),"USED: say what replaces it (Note)",IF(AND(I1182="Rename",J1182=""),"type the new name",IF(AND(L1182&lt;&gt;"",L1182&lt;&gt;"(decide)",COUNTIF($L$2:$L$1680,L1182)&gt;1),"SAME FINAL NAME AS ANOTHER ROW","")))</f>
      </c>
      <c r="N1182" s="6">
        <v>0</v>
      </c>
      <c r="O1182" s="6" t="s">
        <v>2</v>
      </c>
    </row>
    <row r="1183" spans="1:15" x14ac:dyDescent="0.25">
      <c r="A1183">
        <v>1182</v>
      </c>
      <c r="B1183" t="s">
        <v>1471</v>
      </c>
      <c r="C1183" t="s">
        <v>1578</v>
      </c>
      <c r="D1183" t="s">
        <v>1579</v>
      </c>
      <c r="E1183" t="s">
        <v>292</v>
      </c>
      <c r="F1183" t="s">
        <v>2</v>
      </c>
      <c r="G1183" t="s">
        <v>38</v>
      </c>
      <c r="H1183" t="s">
        <v>39</v>
      </c>
      <c r="I1183" s="5" t="s">
        <v>294</v>
      </c>
      <c r="J1183" s="5" t="s">
        <v>2</v>
      </c>
      <c r="K1183" s="5" t="s">
        <v>2</v>
      </c>
      <c r="L1183" s="6">
        <f>IF(I1183="Cut","",IF(I1183="Your call","(decide)",IF(I1183="Rename",J1183,IF(I1183="Keep",IF(D1183="",E1183,D1183),IF(E1183="(unchanged)",D1183,E1183)))))</f>
      </c>
      <c r="M1183" s="6">
        <f>IF(AND(I1183="Cut",N1183&gt;0,K1183=""),"USED: say what replaces it (Note)",IF(AND(I1183="Rename",J1183=""),"type the new name",IF(AND(L1183&lt;&gt;"",L1183&lt;&gt;"(decide)",COUNTIF($L$2:$L$1680,L1183)&gt;1),"SAME FINAL NAME AS ANOTHER ROW","")))</f>
      </c>
      <c r="N1183" s="6">
        <v>0</v>
      </c>
      <c r="O1183" s="6" t="s">
        <v>2</v>
      </c>
    </row>
    <row r="1184" spans="1:15" x14ac:dyDescent="0.25">
      <c r="A1184">
        <v>1183</v>
      </c>
      <c r="B1184" t="s">
        <v>1471</v>
      </c>
      <c r="C1184" t="s">
        <v>1578</v>
      </c>
      <c r="D1184" t="s">
        <v>1580</v>
      </c>
      <c r="E1184" t="s">
        <v>292</v>
      </c>
      <c r="F1184" t="s">
        <v>2</v>
      </c>
      <c r="G1184" t="s">
        <v>38</v>
      </c>
      <c r="H1184" t="s">
        <v>39</v>
      </c>
      <c r="I1184" s="5" t="s">
        <v>294</v>
      </c>
      <c r="J1184" s="5" t="s">
        <v>2</v>
      </c>
      <c r="K1184" s="5" t="s">
        <v>2</v>
      </c>
      <c r="L1184" s="6">
        <f>IF(I1184="Cut","",IF(I1184="Your call","(decide)",IF(I1184="Rename",J1184,IF(I1184="Keep",IF(D1184="",E1184,D1184),IF(E1184="(unchanged)",D1184,E1184)))))</f>
      </c>
      <c r="M1184" s="6">
        <f>IF(AND(I1184="Cut",N1184&gt;0,K1184=""),"USED: say what replaces it (Note)",IF(AND(I1184="Rename",J1184=""),"type the new name",IF(AND(L1184&lt;&gt;"",L1184&lt;&gt;"(decide)",COUNTIF($L$2:$L$1680,L1184)&gt;1),"SAME FINAL NAME AS ANOTHER ROW","")))</f>
      </c>
      <c r="N1184" s="6">
        <v>0</v>
      </c>
      <c r="O1184" s="6" t="s">
        <v>2</v>
      </c>
    </row>
    <row r="1185" spans="1:15" x14ac:dyDescent="0.25">
      <c r="A1185">
        <v>1184</v>
      </c>
      <c r="B1185" t="s">
        <v>1471</v>
      </c>
      <c r="C1185" t="s">
        <v>1581</v>
      </c>
      <c r="D1185" t="s">
        <v>1582</v>
      </c>
      <c r="E1185" t="s">
        <v>292</v>
      </c>
      <c r="F1185" t="s">
        <v>2</v>
      </c>
      <c r="G1185" t="s">
        <v>48</v>
      </c>
      <c r="H1185" t="s">
        <v>39</v>
      </c>
      <c r="I1185" s="5" t="s">
        <v>294</v>
      </c>
      <c r="J1185" s="5" t="s">
        <v>2</v>
      </c>
      <c r="K1185" s="5" t="s">
        <v>2</v>
      </c>
      <c r="L1185" s="6">
        <f>IF(I1185="Cut","",IF(I1185="Your call","(decide)",IF(I1185="Rename",J1185,IF(I1185="Keep",IF(D1185="",E1185,D1185),IF(E1185="(unchanged)",D1185,E1185)))))</f>
      </c>
      <c r="M1185" s="6">
        <f>IF(AND(I1185="Cut",N1185&gt;0,K1185=""),"USED: say what replaces it (Note)",IF(AND(I1185="Rename",J1185=""),"type the new name",IF(AND(L1185&lt;&gt;"",L1185&lt;&gt;"(decide)",COUNTIF($L$2:$L$1680,L1185)&gt;1),"SAME FINAL NAME AS ANOTHER ROW","")))</f>
      </c>
      <c r="N1185" s="6">
        <v>2</v>
      </c>
      <c r="O1185" s="6" t="s">
        <v>2</v>
      </c>
    </row>
    <row r="1186" spans="1:15" x14ac:dyDescent="0.25">
      <c r="A1186">
        <v>1185</v>
      </c>
      <c r="B1186" t="s">
        <v>1471</v>
      </c>
      <c r="C1186" t="s">
        <v>1581</v>
      </c>
      <c r="D1186" t="s">
        <v>1583</v>
      </c>
      <c r="E1186" t="s">
        <v>292</v>
      </c>
      <c r="F1186" t="s">
        <v>2</v>
      </c>
      <c r="G1186" t="s">
        <v>94</v>
      </c>
      <c r="H1186" t="s">
        <v>39</v>
      </c>
      <c r="I1186" s="5" t="s">
        <v>294</v>
      </c>
      <c r="J1186" s="5" t="s">
        <v>2</v>
      </c>
      <c r="K1186" s="5" t="s">
        <v>2</v>
      </c>
      <c r="L1186" s="6">
        <f>IF(I1186="Cut","",IF(I1186="Your call","(decide)",IF(I1186="Rename",J1186,IF(I1186="Keep",IF(D1186="",E1186,D1186),IF(E1186="(unchanged)",D1186,E1186)))))</f>
      </c>
      <c r="M1186" s="6">
        <f>IF(AND(I1186="Cut",N1186&gt;0,K1186=""),"USED: say what replaces it (Note)",IF(AND(I1186="Rename",J1186=""),"type the new name",IF(AND(L1186&lt;&gt;"",L1186&lt;&gt;"(decide)",COUNTIF($L$2:$L$1680,L1186)&gt;1),"SAME FINAL NAME AS ANOTHER ROW","")))</f>
      </c>
      <c r="N1186" s="6">
        <v>1</v>
      </c>
      <c r="O1186" s="6" t="s">
        <v>2</v>
      </c>
    </row>
    <row r="1187" spans="1:15" x14ac:dyDescent="0.25">
      <c r="A1187">
        <v>1186</v>
      </c>
      <c r="B1187" t="s">
        <v>1471</v>
      </c>
      <c r="C1187" t="s">
        <v>1584</v>
      </c>
      <c r="D1187" t="s">
        <v>1585</v>
      </c>
      <c r="E1187" t="s">
        <v>292</v>
      </c>
      <c r="F1187" t="s">
        <v>2</v>
      </c>
      <c r="G1187" t="s">
        <v>38</v>
      </c>
      <c r="H1187" t="s">
        <v>39</v>
      </c>
      <c r="I1187" s="5" t="s">
        <v>294</v>
      </c>
      <c r="J1187" s="5" t="s">
        <v>2</v>
      </c>
      <c r="K1187" s="5" t="s">
        <v>2</v>
      </c>
      <c r="L1187" s="6">
        <f>IF(I1187="Cut","",IF(I1187="Your call","(decide)",IF(I1187="Rename",J1187,IF(I1187="Keep",IF(D1187="",E1187,D1187),IF(E1187="(unchanged)",D1187,E1187)))))</f>
      </c>
      <c r="M1187" s="6">
        <f>IF(AND(I1187="Cut",N1187&gt;0,K1187=""),"USED: say what replaces it (Note)",IF(AND(I1187="Rename",J1187=""),"type the new name",IF(AND(L1187&lt;&gt;"",L1187&lt;&gt;"(decide)",COUNTIF($L$2:$L$1680,L1187)&gt;1),"SAME FINAL NAME AS ANOTHER ROW","")))</f>
      </c>
      <c r="N1187" s="6">
        <v>0</v>
      </c>
      <c r="O1187" s="6" t="s">
        <v>2</v>
      </c>
    </row>
    <row r="1188" spans="1:15" x14ac:dyDescent="0.25">
      <c r="A1188">
        <v>1187</v>
      </c>
      <c r="B1188" t="s">
        <v>1471</v>
      </c>
      <c r="C1188" t="s">
        <v>1584</v>
      </c>
      <c r="D1188" t="s">
        <v>1586</v>
      </c>
      <c r="E1188" t="s">
        <v>292</v>
      </c>
      <c r="F1188" t="s">
        <v>2</v>
      </c>
      <c r="G1188" t="s">
        <v>38</v>
      </c>
      <c r="H1188" t="s">
        <v>39</v>
      </c>
      <c r="I1188" s="5" t="s">
        <v>294</v>
      </c>
      <c r="J1188" s="5" t="s">
        <v>2</v>
      </c>
      <c r="K1188" s="5" t="s">
        <v>2</v>
      </c>
      <c r="L1188" s="6">
        <f>IF(I1188="Cut","",IF(I1188="Your call","(decide)",IF(I1188="Rename",J1188,IF(I1188="Keep",IF(D1188="",E1188,D1188),IF(E1188="(unchanged)",D1188,E1188)))))</f>
      </c>
      <c r="M1188" s="6">
        <f>IF(AND(I1188="Cut",N1188&gt;0,K1188=""),"USED: say what replaces it (Note)",IF(AND(I1188="Rename",J1188=""),"type the new name",IF(AND(L1188&lt;&gt;"",L1188&lt;&gt;"(decide)",COUNTIF($L$2:$L$1680,L1188)&gt;1),"SAME FINAL NAME AS ANOTHER ROW","")))</f>
      </c>
      <c r="N1188" s="6">
        <v>0</v>
      </c>
      <c r="O1188" s="6" t="s">
        <v>2</v>
      </c>
    </row>
    <row r="1189" spans="1:15" x14ac:dyDescent="0.25">
      <c r="A1189">
        <v>1188</v>
      </c>
      <c r="B1189" t="s">
        <v>1471</v>
      </c>
      <c r="C1189" t="s">
        <v>1587</v>
      </c>
      <c r="D1189" t="s">
        <v>1588</v>
      </c>
      <c r="E1189" t="s">
        <v>292</v>
      </c>
      <c r="F1189" t="s">
        <v>2</v>
      </c>
      <c r="G1189" t="s">
        <v>38</v>
      </c>
      <c r="H1189" t="s">
        <v>39</v>
      </c>
      <c r="I1189" s="5" t="s">
        <v>294</v>
      </c>
      <c r="J1189" s="5" t="s">
        <v>2</v>
      </c>
      <c r="K1189" s="5" t="s">
        <v>2</v>
      </c>
      <c r="L1189" s="6">
        <f>IF(I1189="Cut","",IF(I1189="Your call","(decide)",IF(I1189="Rename",J1189,IF(I1189="Keep",IF(D1189="",E1189,D1189),IF(E1189="(unchanged)",D1189,E1189)))))</f>
      </c>
      <c r="M1189" s="6">
        <f>IF(AND(I1189="Cut",N1189&gt;0,K1189=""),"USED: say what replaces it (Note)",IF(AND(I1189="Rename",J1189=""),"type the new name",IF(AND(L1189&lt;&gt;"",L1189&lt;&gt;"(decide)",COUNTIF($L$2:$L$1680,L1189)&gt;1),"SAME FINAL NAME AS ANOTHER ROW","")))</f>
      </c>
      <c r="N1189" s="6">
        <v>0</v>
      </c>
      <c r="O1189" s="6" t="s">
        <v>2</v>
      </c>
    </row>
    <row r="1190" spans="1:15" x14ac:dyDescent="0.25">
      <c r="A1190">
        <v>1189</v>
      </c>
      <c r="B1190" t="s">
        <v>1471</v>
      </c>
      <c r="C1190" t="s">
        <v>1587</v>
      </c>
      <c r="D1190" t="s">
        <v>1589</v>
      </c>
      <c r="E1190" t="s">
        <v>292</v>
      </c>
      <c r="F1190" t="s">
        <v>2</v>
      </c>
      <c r="G1190" t="s">
        <v>94</v>
      </c>
      <c r="H1190" t="s">
        <v>39</v>
      </c>
      <c r="I1190" s="5" t="s">
        <v>294</v>
      </c>
      <c r="J1190" s="5" t="s">
        <v>2</v>
      </c>
      <c r="K1190" s="5" t="s">
        <v>2</v>
      </c>
      <c r="L1190" s="6">
        <f>IF(I1190="Cut","",IF(I1190="Your call","(decide)",IF(I1190="Rename",J1190,IF(I1190="Keep",IF(D1190="",E1190,D1190),IF(E1190="(unchanged)",D1190,E1190)))))</f>
      </c>
      <c r="M1190" s="6">
        <f>IF(AND(I1190="Cut",N1190&gt;0,K1190=""),"USED: say what replaces it (Note)",IF(AND(I1190="Rename",J1190=""),"type the new name",IF(AND(L1190&lt;&gt;"",L1190&lt;&gt;"(decide)",COUNTIF($L$2:$L$1680,L1190)&gt;1),"SAME FINAL NAME AS ANOTHER ROW","")))</f>
      </c>
      <c r="N1190" s="6">
        <v>1</v>
      </c>
      <c r="O1190" s="6" t="s">
        <v>2</v>
      </c>
    </row>
    <row r="1191" spans="1:15" x14ac:dyDescent="0.25">
      <c r="A1191">
        <v>1190</v>
      </c>
      <c r="B1191" t="s">
        <v>1471</v>
      </c>
      <c r="C1191" t="s">
        <v>1590</v>
      </c>
      <c r="D1191" t="s">
        <v>1591</v>
      </c>
      <c r="E1191" t="s">
        <v>292</v>
      </c>
      <c r="F1191" t="s">
        <v>2</v>
      </c>
      <c r="G1191" t="s">
        <v>38</v>
      </c>
      <c r="H1191" t="s">
        <v>39</v>
      </c>
      <c r="I1191" s="5" t="s">
        <v>294</v>
      </c>
      <c r="J1191" s="5" t="s">
        <v>2</v>
      </c>
      <c r="K1191" s="5" t="s">
        <v>2</v>
      </c>
      <c r="L1191" s="6">
        <f>IF(I1191="Cut","",IF(I1191="Your call","(decide)",IF(I1191="Rename",J1191,IF(I1191="Keep",IF(D1191="",E1191,D1191),IF(E1191="(unchanged)",D1191,E1191)))))</f>
      </c>
      <c r="M1191" s="6">
        <f>IF(AND(I1191="Cut",N1191&gt;0,K1191=""),"USED: say what replaces it (Note)",IF(AND(I1191="Rename",J1191=""),"type the new name",IF(AND(L1191&lt;&gt;"",L1191&lt;&gt;"(decide)",COUNTIF($L$2:$L$1680,L1191)&gt;1),"SAME FINAL NAME AS ANOTHER ROW","")))</f>
      </c>
      <c r="N1191" s="6">
        <v>0</v>
      </c>
      <c r="O1191" s="6" t="s">
        <v>2</v>
      </c>
    </row>
    <row r="1192" spans="1:15" x14ac:dyDescent="0.25">
      <c r="A1192">
        <v>1191</v>
      </c>
      <c r="B1192" t="s">
        <v>1471</v>
      </c>
      <c r="C1192" t="s">
        <v>1590</v>
      </c>
      <c r="D1192" t="s">
        <v>1592</v>
      </c>
      <c r="E1192" t="s">
        <v>292</v>
      </c>
      <c r="F1192" t="s">
        <v>2</v>
      </c>
      <c r="G1192" t="s">
        <v>38</v>
      </c>
      <c r="H1192" t="s">
        <v>39</v>
      </c>
      <c r="I1192" s="5" t="s">
        <v>294</v>
      </c>
      <c r="J1192" s="5" t="s">
        <v>2</v>
      </c>
      <c r="K1192" s="5" t="s">
        <v>2</v>
      </c>
      <c r="L1192" s="6">
        <f>IF(I1192="Cut","",IF(I1192="Your call","(decide)",IF(I1192="Rename",J1192,IF(I1192="Keep",IF(D1192="",E1192,D1192),IF(E1192="(unchanged)",D1192,E1192)))))</f>
      </c>
      <c r="M1192" s="6">
        <f>IF(AND(I1192="Cut",N1192&gt;0,K1192=""),"USED: say what replaces it (Note)",IF(AND(I1192="Rename",J1192=""),"type the new name",IF(AND(L1192&lt;&gt;"",L1192&lt;&gt;"(decide)",COUNTIF($L$2:$L$1680,L1192)&gt;1),"SAME FINAL NAME AS ANOTHER ROW","")))</f>
      </c>
      <c r="N1192" s="6">
        <v>0</v>
      </c>
      <c r="O1192" s="6" t="s">
        <v>2</v>
      </c>
    </row>
    <row r="1193" spans="1:15" x14ac:dyDescent="0.25">
      <c r="A1193">
        <v>1192</v>
      </c>
      <c r="B1193" t="s">
        <v>1471</v>
      </c>
      <c r="C1193" t="s">
        <v>1593</v>
      </c>
      <c r="D1193" t="s">
        <v>1594</v>
      </c>
      <c r="E1193" t="s">
        <v>292</v>
      </c>
      <c r="F1193" t="s">
        <v>2</v>
      </c>
      <c r="G1193" t="s">
        <v>38</v>
      </c>
      <c r="H1193" t="s">
        <v>39</v>
      </c>
      <c r="I1193" s="5" t="s">
        <v>294</v>
      </c>
      <c r="J1193" s="5" t="s">
        <v>2</v>
      </c>
      <c r="K1193" s="5" t="s">
        <v>2</v>
      </c>
      <c r="L1193" s="6">
        <f>IF(I1193="Cut","",IF(I1193="Your call","(decide)",IF(I1193="Rename",J1193,IF(I1193="Keep",IF(D1193="",E1193,D1193),IF(E1193="(unchanged)",D1193,E1193)))))</f>
      </c>
      <c r="M1193" s="6">
        <f>IF(AND(I1193="Cut",N1193&gt;0,K1193=""),"USED: say what replaces it (Note)",IF(AND(I1193="Rename",J1193=""),"type the new name",IF(AND(L1193&lt;&gt;"",L1193&lt;&gt;"(decide)",COUNTIF($L$2:$L$1680,L1193)&gt;1),"SAME FINAL NAME AS ANOTHER ROW","")))</f>
      </c>
      <c r="N1193" s="6">
        <v>0</v>
      </c>
      <c r="O1193" s="6" t="s">
        <v>2</v>
      </c>
    </row>
    <row r="1194" spans="1:15" x14ac:dyDescent="0.25">
      <c r="A1194">
        <v>1193</v>
      </c>
      <c r="B1194" t="s">
        <v>1471</v>
      </c>
      <c r="C1194" t="s">
        <v>1593</v>
      </c>
      <c r="D1194" t="s">
        <v>1595</v>
      </c>
      <c r="E1194" t="s">
        <v>292</v>
      </c>
      <c r="F1194" t="s">
        <v>2</v>
      </c>
      <c r="G1194" t="s">
        <v>38</v>
      </c>
      <c r="H1194" t="s">
        <v>39</v>
      </c>
      <c r="I1194" s="5" t="s">
        <v>294</v>
      </c>
      <c r="J1194" s="5" t="s">
        <v>2</v>
      </c>
      <c r="K1194" s="5" t="s">
        <v>2</v>
      </c>
      <c r="L1194" s="6">
        <f>IF(I1194="Cut","",IF(I1194="Your call","(decide)",IF(I1194="Rename",J1194,IF(I1194="Keep",IF(D1194="",E1194,D1194),IF(E1194="(unchanged)",D1194,E1194)))))</f>
      </c>
      <c r="M1194" s="6">
        <f>IF(AND(I1194="Cut",N1194&gt;0,K1194=""),"USED: say what replaces it (Note)",IF(AND(I1194="Rename",J1194=""),"type the new name",IF(AND(L1194&lt;&gt;"",L1194&lt;&gt;"(decide)",COUNTIF($L$2:$L$1680,L1194)&gt;1),"SAME FINAL NAME AS ANOTHER ROW","")))</f>
      </c>
      <c r="N1194" s="6">
        <v>0</v>
      </c>
      <c r="O1194" s="6" t="s">
        <v>2</v>
      </c>
    </row>
    <row r="1195" spans="1:15" x14ac:dyDescent="0.25">
      <c r="A1195">
        <v>1194</v>
      </c>
      <c r="B1195" t="s">
        <v>1471</v>
      </c>
      <c r="C1195" t="s">
        <v>1596</v>
      </c>
      <c r="D1195" t="s">
        <v>1597</v>
      </c>
      <c r="E1195" t="s">
        <v>292</v>
      </c>
      <c r="F1195" t="s">
        <v>2</v>
      </c>
      <c r="G1195" t="s">
        <v>38</v>
      </c>
      <c r="H1195" t="s">
        <v>39</v>
      </c>
      <c r="I1195" s="5" t="s">
        <v>294</v>
      </c>
      <c r="J1195" s="5" t="s">
        <v>2</v>
      </c>
      <c r="K1195" s="5" t="s">
        <v>2</v>
      </c>
      <c r="L1195" s="6">
        <f>IF(I1195="Cut","",IF(I1195="Your call","(decide)",IF(I1195="Rename",J1195,IF(I1195="Keep",IF(D1195="",E1195,D1195),IF(E1195="(unchanged)",D1195,E1195)))))</f>
      </c>
      <c r="M1195" s="6">
        <f>IF(AND(I1195="Cut",N1195&gt;0,K1195=""),"USED: say what replaces it (Note)",IF(AND(I1195="Rename",J1195=""),"type the new name",IF(AND(L1195&lt;&gt;"",L1195&lt;&gt;"(decide)",COUNTIF($L$2:$L$1680,L1195)&gt;1),"SAME FINAL NAME AS ANOTHER ROW","")))</f>
      </c>
      <c r="N1195" s="6">
        <v>0</v>
      </c>
      <c r="O1195" s="6" t="s">
        <v>2</v>
      </c>
    </row>
    <row r="1196" spans="1:15" x14ac:dyDescent="0.25">
      <c r="A1196">
        <v>1195</v>
      </c>
      <c r="B1196" t="s">
        <v>1471</v>
      </c>
      <c r="C1196" t="s">
        <v>1596</v>
      </c>
      <c r="D1196" t="s">
        <v>1598</v>
      </c>
      <c r="E1196" t="s">
        <v>292</v>
      </c>
      <c r="F1196" t="s">
        <v>2</v>
      </c>
      <c r="G1196" t="s">
        <v>38</v>
      </c>
      <c r="H1196" t="s">
        <v>39</v>
      </c>
      <c r="I1196" s="5" t="s">
        <v>294</v>
      </c>
      <c r="J1196" s="5" t="s">
        <v>2</v>
      </c>
      <c r="K1196" s="5" t="s">
        <v>2</v>
      </c>
      <c r="L1196" s="6">
        <f>IF(I1196="Cut","",IF(I1196="Your call","(decide)",IF(I1196="Rename",J1196,IF(I1196="Keep",IF(D1196="",E1196,D1196),IF(E1196="(unchanged)",D1196,E1196)))))</f>
      </c>
      <c r="M1196" s="6">
        <f>IF(AND(I1196="Cut",N1196&gt;0,K1196=""),"USED: say what replaces it (Note)",IF(AND(I1196="Rename",J1196=""),"type the new name",IF(AND(L1196&lt;&gt;"",L1196&lt;&gt;"(decide)",COUNTIF($L$2:$L$1680,L1196)&gt;1),"SAME FINAL NAME AS ANOTHER ROW","")))</f>
      </c>
      <c r="N1196" s="6">
        <v>0</v>
      </c>
      <c r="O1196" s="6" t="s">
        <v>2</v>
      </c>
    </row>
    <row r="1197" spans="1:15" x14ac:dyDescent="0.25">
      <c r="A1197">
        <v>1196</v>
      </c>
      <c r="B1197" t="s">
        <v>1471</v>
      </c>
      <c r="C1197" t="s">
        <v>2</v>
      </c>
      <c r="D1197" t="s">
        <v>1599</v>
      </c>
      <c r="E1197" t="s">
        <v>292</v>
      </c>
      <c r="F1197" t="s">
        <v>2</v>
      </c>
      <c r="G1197" t="s">
        <v>38</v>
      </c>
      <c r="H1197" t="s">
        <v>39</v>
      </c>
      <c r="I1197" s="5" t="s">
        <v>294</v>
      </c>
      <c r="J1197" s="5" t="s">
        <v>2</v>
      </c>
      <c r="K1197" s="5" t="s">
        <v>2</v>
      </c>
      <c r="L1197" s="6">
        <f>IF(I1197="Cut","",IF(I1197="Your call","(decide)",IF(I1197="Rename",J1197,IF(I1197="Keep",IF(D1197="",E1197,D1197),IF(E1197="(unchanged)",D1197,E1197)))))</f>
      </c>
      <c r="M1197" s="6">
        <f>IF(AND(I1197="Cut",N1197&gt;0,K1197=""),"USED: say what replaces it (Note)",IF(AND(I1197="Rename",J1197=""),"type the new name",IF(AND(L1197&lt;&gt;"",L1197&lt;&gt;"(decide)",COUNTIF($L$2:$L$1680,L1197)&gt;1),"SAME FINAL NAME AS ANOTHER ROW","")))</f>
      </c>
      <c r="N1197" s="6">
        <v>0</v>
      </c>
      <c r="O1197" s="6" t="s">
        <v>2</v>
      </c>
    </row>
    <row r="1198" spans="1:15" x14ac:dyDescent="0.25">
      <c r="A1198">
        <v>1197</v>
      </c>
      <c r="B1198" t="s">
        <v>1471</v>
      </c>
      <c r="C1198" t="s">
        <v>1600</v>
      </c>
      <c r="D1198" t="s">
        <v>1601</v>
      </c>
      <c r="E1198" t="s">
        <v>292</v>
      </c>
      <c r="F1198" t="s">
        <v>2</v>
      </c>
      <c r="G1198" t="s">
        <v>94</v>
      </c>
      <c r="H1198" t="s">
        <v>39</v>
      </c>
      <c r="I1198" s="5" t="s">
        <v>294</v>
      </c>
      <c r="J1198" s="5" t="s">
        <v>2</v>
      </c>
      <c r="K1198" s="5" t="s">
        <v>2</v>
      </c>
      <c r="L1198" s="6">
        <f>IF(I1198="Cut","",IF(I1198="Your call","(decide)",IF(I1198="Rename",J1198,IF(I1198="Keep",IF(D1198="",E1198,D1198),IF(E1198="(unchanged)",D1198,E1198)))))</f>
      </c>
      <c r="M1198" s="6">
        <f>IF(AND(I1198="Cut",N1198&gt;0,K1198=""),"USED: say what replaces it (Note)",IF(AND(I1198="Rename",J1198=""),"type the new name",IF(AND(L1198&lt;&gt;"",L1198&lt;&gt;"(decide)",COUNTIF($L$2:$L$1680,L1198)&gt;1),"SAME FINAL NAME AS ANOTHER ROW","")))</f>
      </c>
      <c r="N1198" s="6">
        <v>1</v>
      </c>
      <c r="O1198" s="6" t="s">
        <v>2</v>
      </c>
    </row>
    <row r="1199" spans="1:15" x14ac:dyDescent="0.25">
      <c r="A1199">
        <v>1198</v>
      </c>
      <c r="B1199" t="s">
        <v>1471</v>
      </c>
      <c r="C1199" t="s">
        <v>1600</v>
      </c>
      <c r="D1199" t="s">
        <v>1602</v>
      </c>
      <c r="E1199" t="s">
        <v>292</v>
      </c>
      <c r="F1199" t="s">
        <v>2</v>
      </c>
      <c r="G1199" t="s">
        <v>38</v>
      </c>
      <c r="H1199" t="s">
        <v>39</v>
      </c>
      <c r="I1199" s="5" t="s">
        <v>294</v>
      </c>
      <c r="J1199" s="5" t="s">
        <v>2</v>
      </c>
      <c r="K1199" s="5" t="s">
        <v>2</v>
      </c>
      <c r="L1199" s="6">
        <f>IF(I1199="Cut","",IF(I1199="Your call","(decide)",IF(I1199="Rename",J1199,IF(I1199="Keep",IF(D1199="",E1199,D1199),IF(E1199="(unchanged)",D1199,E1199)))))</f>
      </c>
      <c r="M1199" s="6">
        <f>IF(AND(I1199="Cut",N1199&gt;0,K1199=""),"USED: say what replaces it (Note)",IF(AND(I1199="Rename",J1199=""),"type the new name",IF(AND(L1199&lt;&gt;"",L1199&lt;&gt;"(decide)",COUNTIF($L$2:$L$1680,L1199)&gt;1),"SAME FINAL NAME AS ANOTHER ROW","")))</f>
      </c>
      <c r="N1199" s="6">
        <v>0</v>
      </c>
      <c r="O1199" s="6" t="s">
        <v>2</v>
      </c>
    </row>
    <row r="1200" spans="1:15" x14ac:dyDescent="0.25">
      <c r="A1200">
        <v>1199</v>
      </c>
      <c r="B1200" t="s">
        <v>1471</v>
      </c>
      <c r="C1200" t="s">
        <v>2</v>
      </c>
      <c r="D1200" t="s">
        <v>1603</v>
      </c>
      <c r="E1200" t="s">
        <v>292</v>
      </c>
      <c r="F1200" t="s">
        <v>2</v>
      </c>
      <c r="G1200" t="s">
        <v>94</v>
      </c>
      <c r="H1200" t="s">
        <v>39</v>
      </c>
      <c r="I1200" s="5" t="s">
        <v>294</v>
      </c>
      <c r="J1200" s="5" t="s">
        <v>2</v>
      </c>
      <c r="K1200" s="5" t="s">
        <v>2</v>
      </c>
      <c r="L1200" s="6">
        <f>IF(I1200="Cut","",IF(I1200="Your call","(decide)",IF(I1200="Rename",J1200,IF(I1200="Keep",IF(D1200="",E1200,D1200),IF(E1200="(unchanged)",D1200,E1200)))))</f>
      </c>
      <c r="M1200" s="6">
        <f>IF(AND(I1200="Cut",N1200&gt;0,K1200=""),"USED: say what replaces it (Note)",IF(AND(I1200="Rename",J1200=""),"type the new name",IF(AND(L1200&lt;&gt;"",L1200&lt;&gt;"(decide)",COUNTIF($L$2:$L$1680,L1200)&gt;1),"SAME FINAL NAME AS ANOTHER ROW","")))</f>
      </c>
      <c r="N1200" s="6">
        <v>1</v>
      </c>
      <c r="O1200" s="6" t="s">
        <v>2</v>
      </c>
    </row>
    <row r="1201" spans="1:15" x14ac:dyDescent="0.25">
      <c r="A1201">
        <v>1200</v>
      </c>
      <c r="B1201" t="s">
        <v>1471</v>
      </c>
      <c r="C1201" t="s">
        <v>2</v>
      </c>
      <c r="D1201" t="s">
        <v>1604</v>
      </c>
      <c r="E1201" t="s">
        <v>292</v>
      </c>
      <c r="F1201" t="s">
        <v>2</v>
      </c>
      <c r="G1201" t="s">
        <v>38</v>
      </c>
      <c r="H1201" t="s">
        <v>39</v>
      </c>
      <c r="I1201" s="5" t="s">
        <v>294</v>
      </c>
      <c r="J1201" s="5" t="s">
        <v>2</v>
      </c>
      <c r="K1201" s="5" t="s">
        <v>2</v>
      </c>
      <c r="L1201" s="6">
        <f>IF(I1201="Cut","",IF(I1201="Your call","(decide)",IF(I1201="Rename",J1201,IF(I1201="Keep",IF(D1201="",E1201,D1201),IF(E1201="(unchanged)",D1201,E1201)))))</f>
      </c>
      <c r="M1201" s="6">
        <f>IF(AND(I1201="Cut",N1201&gt;0,K1201=""),"USED: say what replaces it (Note)",IF(AND(I1201="Rename",J1201=""),"type the new name",IF(AND(L1201&lt;&gt;"",L1201&lt;&gt;"(decide)",COUNTIF($L$2:$L$1680,L1201)&gt;1),"SAME FINAL NAME AS ANOTHER ROW","")))</f>
      </c>
      <c r="N1201" s="6">
        <v>0</v>
      </c>
      <c r="O1201" s="6" t="s">
        <v>2</v>
      </c>
    </row>
    <row r="1202" spans="1:15" x14ac:dyDescent="0.25">
      <c r="A1202">
        <v>1201</v>
      </c>
      <c r="B1202" t="s">
        <v>1471</v>
      </c>
      <c r="C1202" t="s">
        <v>1605</v>
      </c>
      <c r="D1202" t="s">
        <v>1606</v>
      </c>
      <c r="E1202" t="s">
        <v>292</v>
      </c>
      <c r="F1202" t="s">
        <v>2</v>
      </c>
      <c r="G1202" t="s">
        <v>94</v>
      </c>
      <c r="H1202" t="s">
        <v>39</v>
      </c>
      <c r="I1202" s="5" t="s">
        <v>294</v>
      </c>
      <c r="J1202" s="5" t="s">
        <v>2</v>
      </c>
      <c r="K1202" s="5" t="s">
        <v>2</v>
      </c>
      <c r="L1202" s="6">
        <f>IF(I1202="Cut","",IF(I1202="Your call","(decide)",IF(I1202="Rename",J1202,IF(I1202="Keep",IF(D1202="",E1202,D1202),IF(E1202="(unchanged)",D1202,E1202)))))</f>
      </c>
      <c r="M1202" s="6">
        <f>IF(AND(I1202="Cut",N1202&gt;0,K1202=""),"USED: say what replaces it (Note)",IF(AND(I1202="Rename",J1202=""),"type the new name",IF(AND(L1202&lt;&gt;"",L1202&lt;&gt;"(decide)",COUNTIF($L$2:$L$1680,L1202)&gt;1),"SAME FINAL NAME AS ANOTHER ROW","")))</f>
      </c>
      <c r="N1202" s="6">
        <v>1</v>
      </c>
      <c r="O1202" s="6" t="s">
        <v>2</v>
      </c>
    </row>
    <row r="1203" spans="1:15" x14ac:dyDescent="0.25">
      <c r="A1203">
        <v>1202</v>
      </c>
      <c r="B1203" t="s">
        <v>1471</v>
      </c>
      <c r="C1203" t="s">
        <v>2</v>
      </c>
      <c r="D1203" t="s">
        <v>1607</v>
      </c>
      <c r="E1203" t="s">
        <v>292</v>
      </c>
      <c r="F1203" t="s">
        <v>2</v>
      </c>
      <c r="G1203" t="s">
        <v>38</v>
      </c>
      <c r="H1203" t="s">
        <v>39</v>
      </c>
      <c r="I1203" s="5" t="s">
        <v>294</v>
      </c>
      <c r="J1203" s="5" t="s">
        <v>2</v>
      </c>
      <c r="K1203" s="5" t="s">
        <v>2</v>
      </c>
      <c r="L1203" s="6">
        <f>IF(I1203="Cut","",IF(I1203="Your call","(decide)",IF(I1203="Rename",J1203,IF(I1203="Keep",IF(D1203="",E1203,D1203),IF(E1203="(unchanged)",D1203,E1203)))))</f>
      </c>
      <c r="M1203" s="6">
        <f>IF(AND(I1203="Cut",N1203&gt;0,K1203=""),"USED: say what replaces it (Note)",IF(AND(I1203="Rename",J1203=""),"type the new name",IF(AND(L1203&lt;&gt;"",L1203&lt;&gt;"(decide)",COUNTIF($L$2:$L$1680,L1203)&gt;1),"SAME FINAL NAME AS ANOTHER ROW","")))</f>
      </c>
      <c r="N1203" s="6">
        <v>0</v>
      </c>
      <c r="O1203" s="6" t="s">
        <v>2</v>
      </c>
    </row>
    <row r="1204" spans="1:15" x14ac:dyDescent="0.25">
      <c r="A1204">
        <v>1203</v>
      </c>
      <c r="B1204" t="s">
        <v>1471</v>
      </c>
      <c r="C1204" t="s">
        <v>2</v>
      </c>
      <c r="D1204" t="s">
        <v>1608</v>
      </c>
      <c r="E1204" t="s">
        <v>292</v>
      </c>
      <c r="F1204" t="s">
        <v>2</v>
      </c>
      <c r="G1204" t="s">
        <v>38</v>
      </c>
      <c r="H1204" t="s">
        <v>39</v>
      </c>
      <c r="I1204" s="5" t="s">
        <v>294</v>
      </c>
      <c r="J1204" s="5" t="s">
        <v>2</v>
      </c>
      <c r="K1204" s="5" t="s">
        <v>2</v>
      </c>
      <c r="L1204" s="6">
        <f>IF(I1204="Cut","",IF(I1204="Your call","(decide)",IF(I1204="Rename",J1204,IF(I1204="Keep",IF(D1204="",E1204,D1204),IF(E1204="(unchanged)",D1204,E1204)))))</f>
      </c>
      <c r="M1204" s="6">
        <f>IF(AND(I1204="Cut",N1204&gt;0,K1204=""),"USED: say what replaces it (Note)",IF(AND(I1204="Rename",J1204=""),"type the new name",IF(AND(L1204&lt;&gt;"",L1204&lt;&gt;"(decide)",COUNTIF($L$2:$L$1680,L1204)&gt;1),"SAME FINAL NAME AS ANOTHER ROW","")))</f>
      </c>
      <c r="N1204" s="6">
        <v>0</v>
      </c>
      <c r="O1204" s="6" t="s">
        <v>2</v>
      </c>
    </row>
    <row r="1205" spans="1:15" x14ac:dyDescent="0.25">
      <c r="A1205">
        <v>1204</v>
      </c>
      <c r="B1205" t="s">
        <v>1471</v>
      </c>
      <c r="C1205" t="s">
        <v>2</v>
      </c>
      <c r="D1205" t="s">
        <v>1609</v>
      </c>
      <c r="E1205" t="s">
        <v>292</v>
      </c>
      <c r="F1205" t="s">
        <v>2</v>
      </c>
      <c r="G1205" t="s">
        <v>94</v>
      </c>
      <c r="H1205" t="s">
        <v>39</v>
      </c>
      <c r="I1205" s="5" t="s">
        <v>294</v>
      </c>
      <c r="J1205" s="5" t="s">
        <v>2</v>
      </c>
      <c r="K1205" s="5" t="s">
        <v>2</v>
      </c>
      <c r="L1205" s="6">
        <f>IF(I1205="Cut","",IF(I1205="Your call","(decide)",IF(I1205="Rename",J1205,IF(I1205="Keep",IF(D1205="",E1205,D1205),IF(E1205="(unchanged)",D1205,E1205)))))</f>
      </c>
      <c r="M1205" s="6">
        <f>IF(AND(I1205="Cut",N1205&gt;0,K1205=""),"USED: say what replaces it (Note)",IF(AND(I1205="Rename",J1205=""),"type the new name",IF(AND(L1205&lt;&gt;"",L1205&lt;&gt;"(decide)",COUNTIF($L$2:$L$1680,L1205)&gt;1),"SAME FINAL NAME AS ANOTHER ROW","")))</f>
      </c>
      <c r="N1205" s="6">
        <v>1</v>
      </c>
      <c r="O1205" s="6" t="s">
        <v>2</v>
      </c>
    </row>
    <row r="1206" spans="1:15" x14ac:dyDescent="0.25">
      <c r="A1206">
        <v>1205</v>
      </c>
      <c r="B1206" t="s">
        <v>1471</v>
      </c>
      <c r="C1206" t="s">
        <v>2</v>
      </c>
      <c r="D1206" t="s">
        <v>1610</v>
      </c>
      <c r="E1206" t="s">
        <v>292</v>
      </c>
      <c r="F1206" t="s">
        <v>2</v>
      </c>
      <c r="G1206" t="s">
        <v>94</v>
      </c>
      <c r="H1206" t="s">
        <v>39</v>
      </c>
      <c r="I1206" s="5" t="s">
        <v>294</v>
      </c>
      <c r="J1206" s="5" t="s">
        <v>2</v>
      </c>
      <c r="K1206" s="5" t="s">
        <v>2</v>
      </c>
      <c r="L1206" s="6">
        <f>IF(I1206="Cut","",IF(I1206="Your call","(decide)",IF(I1206="Rename",J1206,IF(I1206="Keep",IF(D1206="",E1206,D1206),IF(E1206="(unchanged)",D1206,E1206)))))</f>
      </c>
      <c r="M1206" s="6">
        <f>IF(AND(I1206="Cut",N1206&gt;0,K1206=""),"USED: say what replaces it (Note)",IF(AND(I1206="Rename",J1206=""),"type the new name",IF(AND(L1206&lt;&gt;"",L1206&lt;&gt;"(decide)",COUNTIF($L$2:$L$1680,L1206)&gt;1),"SAME FINAL NAME AS ANOTHER ROW","")))</f>
      </c>
      <c r="N1206" s="6">
        <v>1</v>
      </c>
      <c r="O1206" s="6" t="s">
        <v>2</v>
      </c>
    </row>
    <row r="1207" spans="1:15" x14ac:dyDescent="0.25">
      <c r="A1207">
        <v>1206</v>
      </c>
      <c r="B1207" t="s">
        <v>1471</v>
      </c>
      <c r="C1207" t="s">
        <v>1611</v>
      </c>
      <c r="D1207" t="s">
        <v>1612</v>
      </c>
      <c r="E1207" t="s">
        <v>292</v>
      </c>
      <c r="F1207" t="s">
        <v>2</v>
      </c>
      <c r="G1207" t="s">
        <v>38</v>
      </c>
      <c r="H1207" t="s">
        <v>39</v>
      </c>
      <c r="I1207" s="5" t="s">
        <v>294</v>
      </c>
      <c r="J1207" s="5" t="s">
        <v>2</v>
      </c>
      <c r="K1207" s="5" t="s">
        <v>2</v>
      </c>
      <c r="L1207" s="6">
        <f>IF(I1207="Cut","",IF(I1207="Your call","(decide)",IF(I1207="Rename",J1207,IF(I1207="Keep",IF(D1207="",E1207,D1207),IF(E1207="(unchanged)",D1207,E1207)))))</f>
      </c>
      <c r="M1207" s="6">
        <f>IF(AND(I1207="Cut",N1207&gt;0,K1207=""),"USED: say what replaces it (Note)",IF(AND(I1207="Rename",J1207=""),"type the new name",IF(AND(L1207&lt;&gt;"",L1207&lt;&gt;"(decide)",COUNTIF($L$2:$L$1680,L1207)&gt;1),"SAME FINAL NAME AS ANOTHER ROW","")))</f>
      </c>
      <c r="N1207" s="6">
        <v>0</v>
      </c>
      <c r="O1207" s="6" t="s">
        <v>2</v>
      </c>
    </row>
    <row r="1208" spans="1:15" x14ac:dyDescent="0.25">
      <c r="A1208">
        <v>1207</v>
      </c>
      <c r="B1208" t="s">
        <v>1471</v>
      </c>
      <c r="C1208" t="s">
        <v>1611</v>
      </c>
      <c r="D1208" t="s">
        <v>1613</v>
      </c>
      <c r="E1208" t="s">
        <v>292</v>
      </c>
      <c r="F1208" t="s">
        <v>2</v>
      </c>
      <c r="G1208" t="s">
        <v>38</v>
      </c>
      <c r="H1208" t="s">
        <v>39</v>
      </c>
      <c r="I1208" s="5" t="s">
        <v>294</v>
      </c>
      <c r="J1208" s="5" t="s">
        <v>2</v>
      </c>
      <c r="K1208" s="5" t="s">
        <v>2</v>
      </c>
      <c r="L1208" s="6">
        <f>IF(I1208="Cut","",IF(I1208="Your call","(decide)",IF(I1208="Rename",J1208,IF(I1208="Keep",IF(D1208="",E1208,D1208),IF(E1208="(unchanged)",D1208,E1208)))))</f>
      </c>
      <c r="M1208" s="6">
        <f>IF(AND(I1208="Cut",N1208&gt;0,K1208=""),"USED: say what replaces it (Note)",IF(AND(I1208="Rename",J1208=""),"type the new name",IF(AND(L1208&lt;&gt;"",L1208&lt;&gt;"(decide)",COUNTIF($L$2:$L$1680,L1208)&gt;1),"SAME FINAL NAME AS ANOTHER ROW","")))</f>
      </c>
      <c r="N1208" s="6">
        <v>0</v>
      </c>
      <c r="O1208" s="6" t="s">
        <v>2</v>
      </c>
    </row>
    <row r="1209" spans="1:15" x14ac:dyDescent="0.25">
      <c r="A1209">
        <v>1208</v>
      </c>
      <c r="B1209" t="s">
        <v>1471</v>
      </c>
      <c r="C1209" t="s">
        <v>1611</v>
      </c>
      <c r="D1209" t="s">
        <v>1614</v>
      </c>
      <c r="E1209" t="s">
        <v>292</v>
      </c>
      <c r="F1209" t="s">
        <v>2</v>
      </c>
      <c r="G1209" t="s">
        <v>94</v>
      </c>
      <c r="H1209" t="s">
        <v>39</v>
      </c>
      <c r="I1209" s="5" t="s">
        <v>294</v>
      </c>
      <c r="J1209" s="5" t="s">
        <v>2</v>
      </c>
      <c r="K1209" s="5" t="s">
        <v>2</v>
      </c>
      <c r="L1209" s="6">
        <f>IF(I1209="Cut","",IF(I1209="Your call","(decide)",IF(I1209="Rename",J1209,IF(I1209="Keep",IF(D1209="",E1209,D1209),IF(E1209="(unchanged)",D1209,E1209)))))</f>
      </c>
      <c r="M1209" s="6">
        <f>IF(AND(I1209="Cut",N1209&gt;0,K1209=""),"USED: say what replaces it (Note)",IF(AND(I1209="Rename",J1209=""),"type the new name",IF(AND(L1209&lt;&gt;"",L1209&lt;&gt;"(decide)",COUNTIF($L$2:$L$1680,L1209)&gt;1),"SAME FINAL NAME AS ANOTHER ROW","")))</f>
      </c>
      <c r="N1209" s="6">
        <v>1</v>
      </c>
      <c r="O1209" s="6" t="s">
        <v>2</v>
      </c>
    </row>
    <row r="1210" spans="1:15" x14ac:dyDescent="0.25">
      <c r="A1210">
        <v>1209</v>
      </c>
      <c r="B1210" t="s">
        <v>1471</v>
      </c>
      <c r="C1210" t="s">
        <v>1611</v>
      </c>
      <c r="D1210" t="s">
        <v>1615</v>
      </c>
      <c r="E1210" t="s">
        <v>292</v>
      </c>
      <c r="F1210" t="s">
        <v>2</v>
      </c>
      <c r="G1210" t="s">
        <v>38</v>
      </c>
      <c r="H1210" t="s">
        <v>39</v>
      </c>
      <c r="I1210" s="5" t="s">
        <v>294</v>
      </c>
      <c r="J1210" s="5" t="s">
        <v>2</v>
      </c>
      <c r="K1210" s="5" t="s">
        <v>2</v>
      </c>
      <c r="L1210" s="6">
        <f>IF(I1210="Cut","",IF(I1210="Your call","(decide)",IF(I1210="Rename",J1210,IF(I1210="Keep",IF(D1210="",E1210,D1210),IF(E1210="(unchanged)",D1210,E1210)))))</f>
      </c>
      <c r="M1210" s="6">
        <f>IF(AND(I1210="Cut",N1210&gt;0,K1210=""),"USED: say what replaces it (Note)",IF(AND(I1210="Rename",J1210=""),"type the new name",IF(AND(L1210&lt;&gt;"",L1210&lt;&gt;"(decide)",COUNTIF($L$2:$L$1680,L1210)&gt;1),"SAME FINAL NAME AS ANOTHER ROW","")))</f>
      </c>
      <c r="N1210" s="6">
        <v>0</v>
      </c>
      <c r="O1210" s="6" t="s">
        <v>2</v>
      </c>
    </row>
    <row r="1211" spans="1:15" x14ac:dyDescent="0.25">
      <c r="A1211">
        <v>1210</v>
      </c>
      <c r="B1211" t="s">
        <v>1471</v>
      </c>
      <c r="C1211" t="s">
        <v>2</v>
      </c>
      <c r="D1211" t="s">
        <v>1616</v>
      </c>
      <c r="E1211" t="s">
        <v>292</v>
      </c>
      <c r="F1211" t="s">
        <v>2</v>
      </c>
      <c r="G1211" t="s">
        <v>38</v>
      </c>
      <c r="H1211" t="s">
        <v>39</v>
      </c>
      <c r="I1211" s="5" t="s">
        <v>294</v>
      </c>
      <c r="J1211" s="5" t="s">
        <v>2</v>
      </c>
      <c r="K1211" s="5" t="s">
        <v>2</v>
      </c>
      <c r="L1211" s="6">
        <f>IF(I1211="Cut","",IF(I1211="Your call","(decide)",IF(I1211="Rename",J1211,IF(I1211="Keep",IF(D1211="",E1211,D1211),IF(E1211="(unchanged)",D1211,E1211)))))</f>
      </c>
      <c r="M1211" s="6">
        <f>IF(AND(I1211="Cut",N1211&gt;0,K1211=""),"USED: say what replaces it (Note)",IF(AND(I1211="Rename",J1211=""),"type the new name",IF(AND(L1211&lt;&gt;"",L1211&lt;&gt;"(decide)",COUNTIF($L$2:$L$1680,L1211)&gt;1),"SAME FINAL NAME AS ANOTHER ROW","")))</f>
      </c>
      <c r="N1211" s="6">
        <v>0</v>
      </c>
      <c r="O1211" s="6" t="s">
        <v>2</v>
      </c>
    </row>
    <row r="1212" spans="1:15" x14ac:dyDescent="0.25">
      <c r="A1212">
        <v>1211</v>
      </c>
      <c r="B1212" t="s">
        <v>1471</v>
      </c>
      <c r="C1212" t="s">
        <v>2</v>
      </c>
      <c r="D1212" t="s">
        <v>1617</v>
      </c>
      <c r="E1212" t="s">
        <v>292</v>
      </c>
      <c r="F1212" t="s">
        <v>2</v>
      </c>
      <c r="G1212" t="s">
        <v>38</v>
      </c>
      <c r="H1212" t="s">
        <v>39</v>
      </c>
      <c r="I1212" s="5" t="s">
        <v>294</v>
      </c>
      <c r="J1212" s="5" t="s">
        <v>2</v>
      </c>
      <c r="K1212" s="5" t="s">
        <v>2</v>
      </c>
      <c r="L1212" s="6">
        <f>IF(I1212="Cut","",IF(I1212="Your call","(decide)",IF(I1212="Rename",J1212,IF(I1212="Keep",IF(D1212="",E1212,D1212),IF(E1212="(unchanged)",D1212,E1212)))))</f>
      </c>
      <c r="M1212" s="6">
        <f>IF(AND(I1212="Cut",N1212&gt;0,K1212=""),"USED: say what replaces it (Note)",IF(AND(I1212="Rename",J1212=""),"type the new name",IF(AND(L1212&lt;&gt;"",L1212&lt;&gt;"(decide)",COUNTIF($L$2:$L$1680,L1212)&gt;1),"SAME FINAL NAME AS ANOTHER ROW","")))</f>
      </c>
      <c r="N1212" s="6">
        <v>0</v>
      </c>
      <c r="O1212" s="6" t="s">
        <v>2</v>
      </c>
    </row>
    <row r="1213" spans="1:15" x14ac:dyDescent="0.25">
      <c r="A1213">
        <v>1212</v>
      </c>
      <c r="B1213" t="s">
        <v>1471</v>
      </c>
      <c r="C1213" t="s">
        <v>2</v>
      </c>
      <c r="D1213" t="s">
        <v>1618</v>
      </c>
      <c r="E1213" t="s">
        <v>292</v>
      </c>
      <c r="F1213" t="s">
        <v>2</v>
      </c>
      <c r="G1213" t="s">
        <v>38</v>
      </c>
      <c r="H1213" t="s">
        <v>39</v>
      </c>
      <c r="I1213" s="5" t="s">
        <v>294</v>
      </c>
      <c r="J1213" s="5" t="s">
        <v>2</v>
      </c>
      <c r="K1213" s="5" t="s">
        <v>2</v>
      </c>
      <c r="L1213" s="6">
        <f>IF(I1213="Cut","",IF(I1213="Your call","(decide)",IF(I1213="Rename",J1213,IF(I1213="Keep",IF(D1213="",E1213,D1213),IF(E1213="(unchanged)",D1213,E1213)))))</f>
      </c>
      <c r="M1213" s="6">
        <f>IF(AND(I1213="Cut",N1213&gt;0,K1213=""),"USED: say what replaces it (Note)",IF(AND(I1213="Rename",J1213=""),"type the new name",IF(AND(L1213&lt;&gt;"",L1213&lt;&gt;"(decide)",COUNTIF($L$2:$L$1680,L1213)&gt;1),"SAME FINAL NAME AS ANOTHER ROW","")))</f>
      </c>
      <c r="N1213" s="6">
        <v>0</v>
      </c>
      <c r="O1213" s="6" t="s">
        <v>2</v>
      </c>
    </row>
    <row r="1214" spans="1:15" x14ac:dyDescent="0.25">
      <c r="A1214">
        <v>1213</v>
      </c>
      <c r="B1214" t="s">
        <v>1471</v>
      </c>
      <c r="C1214" t="s">
        <v>2</v>
      </c>
      <c r="D1214" t="s">
        <v>1619</v>
      </c>
      <c r="E1214" t="s">
        <v>292</v>
      </c>
      <c r="F1214" t="s">
        <v>2</v>
      </c>
      <c r="G1214" t="s">
        <v>94</v>
      </c>
      <c r="H1214" t="s">
        <v>39</v>
      </c>
      <c r="I1214" s="5" t="s">
        <v>294</v>
      </c>
      <c r="J1214" s="5" t="s">
        <v>2</v>
      </c>
      <c r="K1214" s="5" t="s">
        <v>2</v>
      </c>
      <c r="L1214" s="6">
        <f>IF(I1214="Cut","",IF(I1214="Your call","(decide)",IF(I1214="Rename",J1214,IF(I1214="Keep",IF(D1214="",E1214,D1214),IF(E1214="(unchanged)",D1214,E1214)))))</f>
      </c>
      <c r="M1214" s="6">
        <f>IF(AND(I1214="Cut",N1214&gt;0,K1214=""),"USED: say what replaces it (Note)",IF(AND(I1214="Rename",J1214=""),"type the new name",IF(AND(L1214&lt;&gt;"",L1214&lt;&gt;"(decide)",COUNTIF($L$2:$L$1680,L1214)&gt;1),"SAME FINAL NAME AS ANOTHER ROW","")))</f>
      </c>
      <c r="N1214" s="6">
        <v>1</v>
      </c>
      <c r="O1214" s="6" t="s">
        <v>2</v>
      </c>
    </row>
    <row r="1215" spans="1:15" x14ac:dyDescent="0.25">
      <c r="A1215">
        <v>1214</v>
      </c>
      <c r="B1215" t="s">
        <v>1471</v>
      </c>
      <c r="C1215" t="s">
        <v>2</v>
      </c>
      <c r="D1215" t="s">
        <v>1620</v>
      </c>
      <c r="E1215" t="s">
        <v>292</v>
      </c>
      <c r="F1215" t="s">
        <v>2</v>
      </c>
      <c r="G1215" t="s">
        <v>38</v>
      </c>
      <c r="H1215" t="s">
        <v>39</v>
      </c>
      <c r="I1215" s="5" t="s">
        <v>294</v>
      </c>
      <c r="J1215" s="5" t="s">
        <v>2</v>
      </c>
      <c r="K1215" s="5" t="s">
        <v>2</v>
      </c>
      <c r="L1215" s="6">
        <f>IF(I1215="Cut","",IF(I1215="Your call","(decide)",IF(I1215="Rename",J1215,IF(I1215="Keep",IF(D1215="",E1215,D1215),IF(E1215="(unchanged)",D1215,E1215)))))</f>
      </c>
      <c r="M1215" s="6">
        <f>IF(AND(I1215="Cut",N1215&gt;0,K1215=""),"USED: say what replaces it (Note)",IF(AND(I1215="Rename",J1215=""),"type the new name",IF(AND(L1215&lt;&gt;"",L1215&lt;&gt;"(decide)",COUNTIF($L$2:$L$1680,L1215)&gt;1),"SAME FINAL NAME AS ANOTHER ROW","")))</f>
      </c>
      <c r="N1215" s="6">
        <v>0</v>
      </c>
      <c r="O1215" s="6" t="s">
        <v>2</v>
      </c>
    </row>
    <row r="1216" spans="1:15" x14ac:dyDescent="0.25">
      <c r="A1216">
        <v>1215</v>
      </c>
      <c r="B1216" t="s">
        <v>1471</v>
      </c>
      <c r="C1216" t="s">
        <v>1621</v>
      </c>
      <c r="D1216" t="s">
        <v>1622</v>
      </c>
      <c r="E1216" t="s">
        <v>292</v>
      </c>
      <c r="F1216" t="s">
        <v>2</v>
      </c>
      <c r="G1216" t="s">
        <v>94</v>
      </c>
      <c r="H1216" t="s">
        <v>39</v>
      </c>
      <c r="I1216" s="5" t="s">
        <v>294</v>
      </c>
      <c r="J1216" s="5" t="s">
        <v>2</v>
      </c>
      <c r="K1216" s="5" t="s">
        <v>2</v>
      </c>
      <c r="L1216" s="6">
        <f>IF(I1216="Cut","",IF(I1216="Your call","(decide)",IF(I1216="Rename",J1216,IF(I1216="Keep",IF(D1216="",E1216,D1216),IF(E1216="(unchanged)",D1216,E1216)))))</f>
      </c>
      <c r="M1216" s="6">
        <f>IF(AND(I1216="Cut",N1216&gt;0,K1216=""),"USED: say what replaces it (Note)",IF(AND(I1216="Rename",J1216=""),"type the new name",IF(AND(L1216&lt;&gt;"",L1216&lt;&gt;"(decide)",COUNTIF($L$2:$L$1680,L1216)&gt;1),"SAME FINAL NAME AS ANOTHER ROW","")))</f>
      </c>
      <c r="N1216" s="6">
        <v>1</v>
      </c>
      <c r="O1216" s="6" t="s">
        <v>2</v>
      </c>
    </row>
    <row r="1217" spans="1:15" x14ac:dyDescent="0.25">
      <c r="A1217">
        <v>1216</v>
      </c>
      <c r="B1217" t="s">
        <v>1471</v>
      </c>
      <c r="C1217" t="s">
        <v>1621</v>
      </c>
      <c r="D1217" t="s">
        <v>1623</v>
      </c>
      <c r="E1217" t="s">
        <v>292</v>
      </c>
      <c r="F1217" t="s">
        <v>2</v>
      </c>
      <c r="G1217" t="s">
        <v>38</v>
      </c>
      <c r="H1217" t="s">
        <v>39</v>
      </c>
      <c r="I1217" s="5" t="s">
        <v>294</v>
      </c>
      <c r="J1217" s="5" t="s">
        <v>2</v>
      </c>
      <c r="K1217" s="5" t="s">
        <v>2</v>
      </c>
      <c r="L1217" s="6">
        <f>IF(I1217="Cut","",IF(I1217="Your call","(decide)",IF(I1217="Rename",J1217,IF(I1217="Keep",IF(D1217="",E1217,D1217),IF(E1217="(unchanged)",D1217,E1217)))))</f>
      </c>
      <c r="M1217" s="6">
        <f>IF(AND(I1217="Cut",N1217&gt;0,K1217=""),"USED: say what replaces it (Note)",IF(AND(I1217="Rename",J1217=""),"type the new name",IF(AND(L1217&lt;&gt;"",L1217&lt;&gt;"(decide)",COUNTIF($L$2:$L$1680,L1217)&gt;1),"SAME FINAL NAME AS ANOTHER ROW","")))</f>
      </c>
      <c r="N1217" s="6">
        <v>0</v>
      </c>
      <c r="O1217" s="6" t="s">
        <v>2</v>
      </c>
    </row>
    <row r="1218" spans="1:15" x14ac:dyDescent="0.25">
      <c r="A1218">
        <v>1217</v>
      </c>
      <c r="B1218" t="s">
        <v>1471</v>
      </c>
      <c r="C1218" t="s">
        <v>1624</v>
      </c>
      <c r="D1218" t="s">
        <v>1625</v>
      </c>
      <c r="E1218" t="s">
        <v>1626</v>
      </c>
      <c r="F1218" t="s">
        <v>1627</v>
      </c>
      <c r="G1218" t="s">
        <v>94</v>
      </c>
      <c r="H1218" t="s">
        <v>39</v>
      </c>
      <c r="I1218" s="5" t="s">
        <v>40</v>
      </c>
      <c r="J1218" s="5" t="s">
        <v>2</v>
      </c>
      <c r="K1218" s="5" t="s">
        <v>2</v>
      </c>
      <c r="L1218" s="6">
        <f>IF(I1218="Cut","",IF(I1218="Your call","(decide)",IF(I1218="Rename",J1218,IF(I1218="Keep",IF(D1218="",E1218,D1218),IF(E1218="(unchanged)",D1218,E1218)))))</f>
      </c>
      <c r="M1218" s="6">
        <f>IF(AND(I1218="Cut",N1218&gt;0,K1218=""),"USED: say what replaces it (Note)",IF(AND(I1218="Rename",J1218=""),"type the new name",IF(AND(L1218&lt;&gt;"",L1218&lt;&gt;"(decide)",COUNTIF($L$2:$L$1680,L1218)&gt;1),"SAME FINAL NAME AS ANOTHER ROW","")))</f>
      </c>
      <c r="N1218" s="6">
        <v>1</v>
      </c>
      <c r="O1218" s="6" t="s">
        <v>2</v>
      </c>
    </row>
    <row r="1219" spans="1:15" x14ac:dyDescent="0.25">
      <c r="A1219">
        <v>1218</v>
      </c>
      <c r="B1219" t="s">
        <v>1471</v>
      </c>
      <c r="C1219" t="s">
        <v>1624</v>
      </c>
      <c r="D1219" t="s">
        <v>1628</v>
      </c>
      <c r="E1219" t="s">
        <v>1629</v>
      </c>
      <c r="F1219" t="s">
        <v>1627</v>
      </c>
      <c r="G1219" t="s">
        <v>94</v>
      </c>
      <c r="H1219" t="s">
        <v>39</v>
      </c>
      <c r="I1219" s="5" t="s">
        <v>40</v>
      </c>
      <c r="J1219" s="5" t="s">
        <v>2</v>
      </c>
      <c r="K1219" s="5" t="s">
        <v>2</v>
      </c>
      <c r="L1219" s="6">
        <f>IF(I1219="Cut","",IF(I1219="Your call","(decide)",IF(I1219="Rename",J1219,IF(I1219="Keep",IF(D1219="",E1219,D1219),IF(E1219="(unchanged)",D1219,E1219)))))</f>
      </c>
      <c r="M1219" s="6">
        <f>IF(AND(I1219="Cut",N1219&gt;0,K1219=""),"USED: say what replaces it (Note)",IF(AND(I1219="Rename",J1219=""),"type the new name",IF(AND(L1219&lt;&gt;"",L1219&lt;&gt;"(decide)",COUNTIF($L$2:$L$1680,L1219)&gt;1),"SAME FINAL NAME AS ANOTHER ROW","")))</f>
      </c>
      <c r="N1219" s="6">
        <v>1</v>
      </c>
      <c r="O1219" s="6" t="s">
        <v>2</v>
      </c>
    </row>
    <row r="1220" spans="1:15" x14ac:dyDescent="0.25">
      <c r="A1220">
        <v>1219</v>
      </c>
      <c r="B1220" t="s">
        <v>1471</v>
      </c>
      <c r="C1220" t="s">
        <v>2</v>
      </c>
      <c r="D1220" t="s">
        <v>1630</v>
      </c>
      <c r="E1220" t="s">
        <v>292</v>
      </c>
      <c r="F1220" t="s">
        <v>2</v>
      </c>
      <c r="G1220" t="s">
        <v>38</v>
      </c>
      <c r="H1220" t="s">
        <v>39</v>
      </c>
      <c r="I1220" s="5" t="s">
        <v>294</v>
      </c>
      <c r="J1220" s="5" t="s">
        <v>2</v>
      </c>
      <c r="K1220" s="5" t="s">
        <v>2</v>
      </c>
      <c r="L1220" s="6">
        <f>IF(I1220="Cut","",IF(I1220="Your call","(decide)",IF(I1220="Rename",J1220,IF(I1220="Keep",IF(D1220="",E1220,D1220),IF(E1220="(unchanged)",D1220,E1220)))))</f>
      </c>
      <c r="M1220" s="6">
        <f>IF(AND(I1220="Cut",N1220&gt;0,K1220=""),"USED: say what replaces it (Note)",IF(AND(I1220="Rename",J1220=""),"type the new name",IF(AND(L1220&lt;&gt;"",L1220&lt;&gt;"(decide)",COUNTIF($L$2:$L$1680,L1220)&gt;1),"SAME FINAL NAME AS ANOTHER ROW","")))</f>
      </c>
      <c r="N1220" s="6">
        <v>0</v>
      </c>
      <c r="O1220" s="6" t="s">
        <v>2</v>
      </c>
    </row>
    <row r="1221" spans="1:15" x14ac:dyDescent="0.25">
      <c r="A1221">
        <v>1220</v>
      </c>
      <c r="B1221" t="s">
        <v>1471</v>
      </c>
      <c r="C1221" t="s">
        <v>2</v>
      </c>
      <c r="D1221" t="s">
        <v>1631</v>
      </c>
      <c r="E1221" t="s">
        <v>292</v>
      </c>
      <c r="F1221" t="s">
        <v>2</v>
      </c>
      <c r="G1221" t="s">
        <v>48</v>
      </c>
      <c r="H1221" t="s">
        <v>39</v>
      </c>
      <c r="I1221" s="5" t="s">
        <v>294</v>
      </c>
      <c r="J1221" s="5" t="s">
        <v>2</v>
      </c>
      <c r="K1221" s="5" t="s">
        <v>2</v>
      </c>
      <c r="L1221" s="6">
        <f>IF(I1221="Cut","",IF(I1221="Your call","(decide)",IF(I1221="Rename",J1221,IF(I1221="Keep",IF(D1221="",E1221,D1221),IF(E1221="(unchanged)",D1221,E1221)))))</f>
      </c>
      <c r="M1221" s="6">
        <f>IF(AND(I1221="Cut",N1221&gt;0,K1221=""),"USED: say what replaces it (Note)",IF(AND(I1221="Rename",J1221=""),"type the new name",IF(AND(L1221&lt;&gt;"",L1221&lt;&gt;"(decide)",COUNTIF($L$2:$L$1680,L1221)&gt;1),"SAME FINAL NAME AS ANOTHER ROW","")))</f>
      </c>
      <c r="N1221" s="6">
        <v>2</v>
      </c>
      <c r="O1221" s="6" t="s">
        <v>2</v>
      </c>
    </row>
    <row r="1222" spans="1:15" x14ac:dyDescent="0.25">
      <c r="A1222">
        <v>1221</v>
      </c>
      <c r="B1222" t="s">
        <v>1471</v>
      </c>
      <c r="C1222" t="s">
        <v>2</v>
      </c>
      <c r="D1222" t="s">
        <v>1632</v>
      </c>
      <c r="E1222" t="s">
        <v>292</v>
      </c>
      <c r="F1222" t="s">
        <v>2</v>
      </c>
      <c r="G1222" t="s">
        <v>38</v>
      </c>
      <c r="H1222" t="s">
        <v>39</v>
      </c>
      <c r="I1222" s="5" t="s">
        <v>294</v>
      </c>
      <c r="J1222" s="5" t="s">
        <v>2</v>
      </c>
      <c r="K1222" s="5" t="s">
        <v>2</v>
      </c>
      <c r="L1222" s="6">
        <f>IF(I1222="Cut","",IF(I1222="Your call","(decide)",IF(I1222="Rename",J1222,IF(I1222="Keep",IF(D1222="",E1222,D1222),IF(E1222="(unchanged)",D1222,E1222)))))</f>
      </c>
      <c r="M1222" s="6">
        <f>IF(AND(I1222="Cut",N1222&gt;0,K1222=""),"USED: say what replaces it (Note)",IF(AND(I1222="Rename",J1222=""),"type the new name",IF(AND(L1222&lt;&gt;"",L1222&lt;&gt;"(decide)",COUNTIF($L$2:$L$1680,L1222)&gt;1),"SAME FINAL NAME AS ANOTHER ROW","")))</f>
      </c>
      <c r="N1222" s="6">
        <v>0</v>
      </c>
      <c r="O1222" s="6" t="s">
        <v>2</v>
      </c>
    </row>
    <row r="1223" spans="1:15" x14ac:dyDescent="0.25">
      <c r="A1223">
        <v>1222</v>
      </c>
      <c r="B1223" t="s">
        <v>1471</v>
      </c>
      <c r="C1223" t="s">
        <v>2</v>
      </c>
      <c r="D1223" t="s">
        <v>1633</v>
      </c>
      <c r="E1223" t="s">
        <v>292</v>
      </c>
      <c r="F1223" t="s">
        <v>2</v>
      </c>
      <c r="G1223" t="s">
        <v>38</v>
      </c>
      <c r="H1223" t="s">
        <v>39</v>
      </c>
      <c r="I1223" s="5" t="s">
        <v>294</v>
      </c>
      <c r="J1223" s="5" t="s">
        <v>2</v>
      </c>
      <c r="K1223" s="5" t="s">
        <v>2</v>
      </c>
      <c r="L1223" s="6">
        <f>IF(I1223="Cut","",IF(I1223="Your call","(decide)",IF(I1223="Rename",J1223,IF(I1223="Keep",IF(D1223="",E1223,D1223),IF(E1223="(unchanged)",D1223,E1223)))))</f>
      </c>
      <c r="M1223" s="6">
        <f>IF(AND(I1223="Cut",N1223&gt;0,K1223=""),"USED: say what replaces it (Note)",IF(AND(I1223="Rename",J1223=""),"type the new name",IF(AND(L1223&lt;&gt;"",L1223&lt;&gt;"(decide)",COUNTIF($L$2:$L$1680,L1223)&gt;1),"SAME FINAL NAME AS ANOTHER ROW","")))</f>
      </c>
      <c r="N1223" s="6">
        <v>0</v>
      </c>
      <c r="O1223" s="6" t="s">
        <v>2</v>
      </c>
    </row>
    <row r="1224" spans="1:15" x14ac:dyDescent="0.25">
      <c r="A1224">
        <v>1223</v>
      </c>
      <c r="B1224" t="s">
        <v>1634</v>
      </c>
      <c r="C1224" t="s">
        <v>2</v>
      </c>
      <c r="D1224" t="s">
        <v>1635</v>
      </c>
      <c r="E1224" t="s">
        <v>292</v>
      </c>
      <c r="F1224" t="s">
        <v>2</v>
      </c>
      <c r="G1224" t="s">
        <v>38</v>
      </c>
      <c r="H1224" t="s">
        <v>39</v>
      </c>
      <c r="I1224" s="5" t="s">
        <v>294</v>
      </c>
      <c r="J1224" s="5" t="s">
        <v>2</v>
      </c>
      <c r="K1224" s="5" t="s">
        <v>2</v>
      </c>
      <c r="L1224" s="6">
        <f>IF(I1224="Cut","",IF(I1224="Your call","(decide)",IF(I1224="Rename",J1224,IF(I1224="Keep",IF(D1224="",E1224,D1224),IF(E1224="(unchanged)",D1224,E1224)))))</f>
      </c>
      <c r="M1224" s="6">
        <f>IF(AND(I1224="Cut",N1224&gt;0,K1224=""),"USED: say what replaces it (Note)",IF(AND(I1224="Rename",J1224=""),"type the new name",IF(AND(L1224&lt;&gt;"",L1224&lt;&gt;"(decide)",COUNTIF($L$2:$L$1680,L1224)&gt;1),"SAME FINAL NAME AS ANOTHER ROW","")))</f>
      </c>
      <c r="N1224" s="6">
        <v>0</v>
      </c>
      <c r="O1224" s="6" t="s">
        <v>2</v>
      </c>
    </row>
    <row r="1225" spans="1:15" x14ac:dyDescent="0.25">
      <c r="A1225">
        <v>1224</v>
      </c>
      <c r="B1225" t="s">
        <v>1634</v>
      </c>
      <c r="C1225" t="s">
        <v>2</v>
      </c>
      <c r="D1225" t="s">
        <v>1636</v>
      </c>
      <c r="E1225" t="s">
        <v>292</v>
      </c>
      <c r="F1225" t="s">
        <v>2</v>
      </c>
      <c r="G1225" t="s">
        <v>38</v>
      </c>
      <c r="H1225" t="s">
        <v>39</v>
      </c>
      <c r="I1225" s="5" t="s">
        <v>294</v>
      </c>
      <c r="J1225" s="5" t="s">
        <v>2</v>
      </c>
      <c r="K1225" s="5" t="s">
        <v>2</v>
      </c>
      <c r="L1225" s="6">
        <f>IF(I1225="Cut","",IF(I1225="Your call","(decide)",IF(I1225="Rename",J1225,IF(I1225="Keep",IF(D1225="",E1225,D1225),IF(E1225="(unchanged)",D1225,E1225)))))</f>
      </c>
      <c r="M1225" s="6">
        <f>IF(AND(I1225="Cut",N1225&gt;0,K1225=""),"USED: say what replaces it (Note)",IF(AND(I1225="Rename",J1225=""),"type the new name",IF(AND(L1225&lt;&gt;"",L1225&lt;&gt;"(decide)",COUNTIF($L$2:$L$1680,L1225)&gt;1),"SAME FINAL NAME AS ANOTHER ROW","")))</f>
      </c>
      <c r="N1225" s="6">
        <v>0</v>
      </c>
      <c r="O1225" s="6" t="s">
        <v>2</v>
      </c>
    </row>
    <row r="1226" spans="1:15" x14ac:dyDescent="0.25">
      <c r="A1226">
        <v>1225</v>
      </c>
      <c r="B1226" t="s">
        <v>1634</v>
      </c>
      <c r="C1226" t="s">
        <v>2</v>
      </c>
      <c r="D1226" t="s">
        <v>1637</v>
      </c>
      <c r="E1226" t="s">
        <v>292</v>
      </c>
      <c r="F1226" t="s">
        <v>2</v>
      </c>
      <c r="G1226" t="s">
        <v>38</v>
      </c>
      <c r="H1226" t="s">
        <v>39</v>
      </c>
      <c r="I1226" s="5" t="s">
        <v>294</v>
      </c>
      <c r="J1226" s="5" t="s">
        <v>2</v>
      </c>
      <c r="K1226" s="5" t="s">
        <v>2</v>
      </c>
      <c r="L1226" s="6">
        <f>IF(I1226="Cut","",IF(I1226="Your call","(decide)",IF(I1226="Rename",J1226,IF(I1226="Keep",IF(D1226="",E1226,D1226),IF(E1226="(unchanged)",D1226,E1226)))))</f>
      </c>
      <c r="M1226" s="6">
        <f>IF(AND(I1226="Cut",N1226&gt;0,K1226=""),"USED: say what replaces it (Note)",IF(AND(I1226="Rename",J1226=""),"type the new name",IF(AND(L1226&lt;&gt;"",L1226&lt;&gt;"(decide)",COUNTIF($L$2:$L$1680,L1226)&gt;1),"SAME FINAL NAME AS ANOTHER ROW","")))</f>
      </c>
      <c r="N1226" s="6">
        <v>0</v>
      </c>
      <c r="O1226" s="6" t="s">
        <v>2</v>
      </c>
    </row>
    <row r="1227" spans="1:15" x14ac:dyDescent="0.25">
      <c r="A1227">
        <v>1226</v>
      </c>
      <c r="B1227" t="s">
        <v>1634</v>
      </c>
      <c r="C1227" t="s">
        <v>2</v>
      </c>
      <c r="D1227" t="s">
        <v>1638</v>
      </c>
      <c r="E1227" t="s">
        <v>292</v>
      </c>
      <c r="F1227" t="s">
        <v>2</v>
      </c>
      <c r="G1227" t="s">
        <v>94</v>
      </c>
      <c r="H1227" t="s">
        <v>39</v>
      </c>
      <c r="I1227" s="5" t="s">
        <v>294</v>
      </c>
      <c r="J1227" s="5" t="s">
        <v>2</v>
      </c>
      <c r="K1227" s="5" t="s">
        <v>2</v>
      </c>
      <c r="L1227" s="6">
        <f>IF(I1227="Cut","",IF(I1227="Your call","(decide)",IF(I1227="Rename",J1227,IF(I1227="Keep",IF(D1227="",E1227,D1227),IF(E1227="(unchanged)",D1227,E1227)))))</f>
      </c>
      <c r="M1227" s="6">
        <f>IF(AND(I1227="Cut",N1227&gt;0,K1227=""),"USED: say what replaces it (Note)",IF(AND(I1227="Rename",J1227=""),"type the new name",IF(AND(L1227&lt;&gt;"",L1227&lt;&gt;"(decide)",COUNTIF($L$2:$L$1680,L1227)&gt;1),"SAME FINAL NAME AS ANOTHER ROW","")))</f>
      </c>
      <c r="N1227" s="6">
        <v>1</v>
      </c>
      <c r="O1227" s="6" t="s">
        <v>2</v>
      </c>
    </row>
    <row r="1228" spans="1:15" x14ac:dyDescent="0.25">
      <c r="A1228">
        <v>1227</v>
      </c>
      <c r="B1228" t="s">
        <v>1634</v>
      </c>
      <c r="C1228" t="s">
        <v>2</v>
      </c>
      <c r="D1228" t="s">
        <v>1639</v>
      </c>
      <c r="E1228" t="s">
        <v>292</v>
      </c>
      <c r="F1228" t="s">
        <v>2</v>
      </c>
      <c r="G1228" t="s">
        <v>94</v>
      </c>
      <c r="H1228" t="s">
        <v>39</v>
      </c>
      <c r="I1228" s="5" t="s">
        <v>294</v>
      </c>
      <c r="J1228" s="5" t="s">
        <v>2</v>
      </c>
      <c r="K1228" s="5" t="s">
        <v>2</v>
      </c>
      <c r="L1228" s="6">
        <f>IF(I1228="Cut","",IF(I1228="Your call","(decide)",IF(I1228="Rename",J1228,IF(I1228="Keep",IF(D1228="",E1228,D1228),IF(E1228="(unchanged)",D1228,E1228)))))</f>
      </c>
      <c r="M1228" s="6">
        <f>IF(AND(I1228="Cut",N1228&gt;0,K1228=""),"USED: say what replaces it (Note)",IF(AND(I1228="Rename",J1228=""),"type the new name",IF(AND(L1228&lt;&gt;"",L1228&lt;&gt;"(decide)",COUNTIF($L$2:$L$1680,L1228)&gt;1),"SAME FINAL NAME AS ANOTHER ROW","")))</f>
      </c>
      <c r="N1228" s="6">
        <v>1</v>
      </c>
      <c r="O1228" s="6" t="s">
        <v>2</v>
      </c>
    </row>
    <row r="1229" spans="1:15" x14ac:dyDescent="0.25">
      <c r="A1229">
        <v>1228</v>
      </c>
      <c r="B1229" t="s">
        <v>1634</v>
      </c>
      <c r="C1229" t="s">
        <v>2</v>
      </c>
      <c r="D1229" t="s">
        <v>1640</v>
      </c>
      <c r="E1229" t="s">
        <v>292</v>
      </c>
      <c r="F1229" t="s">
        <v>2</v>
      </c>
      <c r="G1229" t="s">
        <v>38</v>
      </c>
      <c r="H1229" t="s">
        <v>39</v>
      </c>
      <c r="I1229" s="5" t="s">
        <v>294</v>
      </c>
      <c r="J1229" s="5" t="s">
        <v>2</v>
      </c>
      <c r="K1229" s="5" t="s">
        <v>2</v>
      </c>
      <c r="L1229" s="6">
        <f>IF(I1229="Cut","",IF(I1229="Your call","(decide)",IF(I1229="Rename",J1229,IF(I1229="Keep",IF(D1229="",E1229,D1229),IF(E1229="(unchanged)",D1229,E1229)))))</f>
      </c>
      <c r="M1229" s="6">
        <f>IF(AND(I1229="Cut",N1229&gt;0,K1229=""),"USED: say what replaces it (Note)",IF(AND(I1229="Rename",J1229=""),"type the new name",IF(AND(L1229&lt;&gt;"",L1229&lt;&gt;"(decide)",COUNTIF($L$2:$L$1680,L1229)&gt;1),"SAME FINAL NAME AS ANOTHER ROW","")))</f>
      </c>
      <c r="N1229" s="6">
        <v>0</v>
      </c>
      <c r="O1229" s="6" t="s">
        <v>2</v>
      </c>
    </row>
    <row r="1230" spans="1:15" x14ac:dyDescent="0.25">
      <c r="A1230">
        <v>1229</v>
      </c>
      <c r="B1230" t="s">
        <v>1634</v>
      </c>
      <c r="C1230" t="s">
        <v>2</v>
      </c>
      <c r="D1230" t="s">
        <v>1641</v>
      </c>
      <c r="E1230" t="s">
        <v>292</v>
      </c>
      <c r="F1230" t="s">
        <v>2</v>
      </c>
      <c r="G1230" t="s">
        <v>38</v>
      </c>
      <c r="H1230" t="s">
        <v>39</v>
      </c>
      <c r="I1230" s="5" t="s">
        <v>294</v>
      </c>
      <c r="J1230" s="5" t="s">
        <v>2</v>
      </c>
      <c r="K1230" s="5" t="s">
        <v>2</v>
      </c>
      <c r="L1230" s="6">
        <f>IF(I1230="Cut","",IF(I1230="Your call","(decide)",IF(I1230="Rename",J1230,IF(I1230="Keep",IF(D1230="",E1230,D1230),IF(E1230="(unchanged)",D1230,E1230)))))</f>
      </c>
      <c r="M1230" s="6">
        <f>IF(AND(I1230="Cut",N1230&gt;0,K1230=""),"USED: say what replaces it (Note)",IF(AND(I1230="Rename",J1230=""),"type the new name",IF(AND(L1230&lt;&gt;"",L1230&lt;&gt;"(decide)",COUNTIF($L$2:$L$1680,L1230)&gt;1),"SAME FINAL NAME AS ANOTHER ROW","")))</f>
      </c>
      <c r="N1230" s="6">
        <v>0</v>
      </c>
      <c r="O1230" s="6" t="s">
        <v>2</v>
      </c>
    </row>
    <row r="1231" spans="1:15" x14ac:dyDescent="0.25">
      <c r="A1231">
        <v>1230</v>
      </c>
      <c r="B1231" t="s">
        <v>1634</v>
      </c>
      <c r="C1231" t="s">
        <v>1642</v>
      </c>
      <c r="D1231" t="s">
        <v>1643</v>
      </c>
      <c r="E1231" t="s">
        <v>1644</v>
      </c>
      <c r="F1231" t="s">
        <v>1627</v>
      </c>
      <c r="G1231" t="s">
        <v>151</v>
      </c>
      <c r="H1231" t="s">
        <v>39</v>
      </c>
      <c r="I1231" s="5" t="s">
        <v>40</v>
      </c>
      <c r="J1231" s="5" t="s">
        <v>2</v>
      </c>
      <c r="K1231" s="5" t="s">
        <v>2</v>
      </c>
      <c r="L1231" s="6">
        <f>IF(I1231="Cut","",IF(I1231="Your call","(decide)",IF(I1231="Rename",J1231,IF(I1231="Keep",IF(D1231="",E1231,D1231),IF(E1231="(unchanged)",D1231,E1231)))))</f>
      </c>
      <c r="M1231" s="6">
        <f>IF(AND(I1231="Cut",N1231&gt;0,K1231=""),"USED: say what replaces it (Note)",IF(AND(I1231="Rename",J1231=""),"type the new name",IF(AND(L1231&lt;&gt;"",L1231&lt;&gt;"(decide)",COUNTIF($L$2:$L$1680,L1231)&gt;1),"SAME FINAL NAME AS ANOTHER ROW","")))</f>
      </c>
      <c r="N1231" s="6">
        <v>5</v>
      </c>
      <c r="O1231" s="6" t="s">
        <v>2</v>
      </c>
    </row>
    <row r="1232" spans="1:15" x14ac:dyDescent="0.25">
      <c r="A1232">
        <v>1231</v>
      </c>
      <c r="B1232" t="s">
        <v>1634</v>
      </c>
      <c r="C1232" t="s">
        <v>1642</v>
      </c>
      <c r="D1232" t="s">
        <v>1645</v>
      </c>
      <c r="E1232" t="s">
        <v>1646</v>
      </c>
      <c r="F1232" t="s">
        <v>1627</v>
      </c>
      <c r="G1232" t="s">
        <v>38</v>
      </c>
      <c r="H1232" t="s">
        <v>39</v>
      </c>
      <c r="I1232" s="5" t="s">
        <v>40</v>
      </c>
      <c r="J1232" s="5" t="s">
        <v>2</v>
      </c>
      <c r="K1232" s="5" t="s">
        <v>2</v>
      </c>
      <c r="L1232" s="6">
        <f>IF(I1232="Cut","",IF(I1232="Your call","(decide)",IF(I1232="Rename",J1232,IF(I1232="Keep",IF(D1232="",E1232,D1232),IF(E1232="(unchanged)",D1232,E1232)))))</f>
      </c>
      <c r="M1232" s="6">
        <f>IF(AND(I1232="Cut",N1232&gt;0,K1232=""),"USED: say what replaces it (Note)",IF(AND(I1232="Rename",J1232=""),"type the new name",IF(AND(L1232&lt;&gt;"",L1232&lt;&gt;"(decide)",COUNTIF($L$2:$L$1680,L1232)&gt;1),"SAME FINAL NAME AS ANOTHER ROW","")))</f>
      </c>
      <c r="N1232" s="6">
        <v>0</v>
      </c>
      <c r="O1232" s="6" t="s">
        <v>2</v>
      </c>
    </row>
    <row r="1233" spans="1:15" x14ac:dyDescent="0.25">
      <c r="A1233">
        <v>1232</v>
      </c>
      <c r="B1233" t="s">
        <v>1634</v>
      </c>
      <c r="C1233" t="s">
        <v>2</v>
      </c>
      <c r="D1233" t="s">
        <v>1647</v>
      </c>
      <c r="E1233" t="s">
        <v>292</v>
      </c>
      <c r="F1233" t="s">
        <v>2</v>
      </c>
      <c r="G1233" t="s">
        <v>151</v>
      </c>
      <c r="H1233" t="s">
        <v>39</v>
      </c>
      <c r="I1233" s="5" t="s">
        <v>294</v>
      </c>
      <c r="J1233" s="5" t="s">
        <v>2</v>
      </c>
      <c r="K1233" s="5" t="s">
        <v>2</v>
      </c>
      <c r="L1233" s="6">
        <f>IF(I1233="Cut","",IF(I1233="Your call","(decide)",IF(I1233="Rename",J1233,IF(I1233="Keep",IF(D1233="",E1233,D1233),IF(E1233="(unchanged)",D1233,E1233)))))</f>
      </c>
      <c r="M1233" s="6">
        <f>IF(AND(I1233="Cut",N1233&gt;0,K1233=""),"USED: say what replaces it (Note)",IF(AND(I1233="Rename",J1233=""),"type the new name",IF(AND(L1233&lt;&gt;"",L1233&lt;&gt;"(decide)",COUNTIF($L$2:$L$1680,L1233)&gt;1),"SAME FINAL NAME AS ANOTHER ROW","")))</f>
      </c>
      <c r="N1233" s="6">
        <v>5</v>
      </c>
      <c r="O1233" s="6" t="s">
        <v>2</v>
      </c>
    </row>
    <row r="1234" spans="1:15" x14ac:dyDescent="0.25">
      <c r="A1234">
        <v>1233</v>
      </c>
      <c r="B1234" t="s">
        <v>1634</v>
      </c>
      <c r="C1234" t="s">
        <v>2</v>
      </c>
      <c r="D1234" t="s">
        <v>1648</v>
      </c>
      <c r="E1234" t="s">
        <v>292</v>
      </c>
      <c r="F1234" t="s">
        <v>2</v>
      </c>
      <c r="G1234" t="s">
        <v>38</v>
      </c>
      <c r="H1234" t="s">
        <v>39</v>
      </c>
      <c r="I1234" s="5" t="s">
        <v>294</v>
      </c>
      <c r="J1234" s="5" t="s">
        <v>2</v>
      </c>
      <c r="K1234" s="5" t="s">
        <v>2</v>
      </c>
      <c r="L1234" s="6">
        <f>IF(I1234="Cut","",IF(I1234="Your call","(decide)",IF(I1234="Rename",J1234,IF(I1234="Keep",IF(D1234="",E1234,D1234),IF(E1234="(unchanged)",D1234,E1234)))))</f>
      </c>
      <c r="M1234" s="6">
        <f>IF(AND(I1234="Cut",N1234&gt;0,K1234=""),"USED: say what replaces it (Note)",IF(AND(I1234="Rename",J1234=""),"type the new name",IF(AND(L1234&lt;&gt;"",L1234&lt;&gt;"(decide)",COUNTIF($L$2:$L$1680,L1234)&gt;1),"SAME FINAL NAME AS ANOTHER ROW","")))</f>
      </c>
      <c r="N1234" s="6">
        <v>0</v>
      </c>
      <c r="O1234" s="6" t="s">
        <v>2</v>
      </c>
    </row>
    <row r="1235" spans="1:15" x14ac:dyDescent="0.25">
      <c r="A1235">
        <v>1234</v>
      </c>
      <c r="B1235" t="s">
        <v>1634</v>
      </c>
      <c r="C1235" t="s">
        <v>2</v>
      </c>
      <c r="D1235" t="s">
        <v>1649</v>
      </c>
      <c r="E1235" t="s">
        <v>292</v>
      </c>
      <c r="F1235" t="s">
        <v>2</v>
      </c>
      <c r="G1235" t="s">
        <v>38</v>
      </c>
      <c r="H1235" t="s">
        <v>39</v>
      </c>
      <c r="I1235" s="5" t="s">
        <v>294</v>
      </c>
      <c r="J1235" s="5" t="s">
        <v>2</v>
      </c>
      <c r="K1235" s="5" t="s">
        <v>2</v>
      </c>
      <c r="L1235" s="6">
        <f>IF(I1235="Cut","",IF(I1235="Your call","(decide)",IF(I1235="Rename",J1235,IF(I1235="Keep",IF(D1235="",E1235,D1235),IF(E1235="(unchanged)",D1235,E1235)))))</f>
      </c>
      <c r="M1235" s="6">
        <f>IF(AND(I1235="Cut",N1235&gt;0,K1235=""),"USED: say what replaces it (Note)",IF(AND(I1235="Rename",J1235=""),"type the new name",IF(AND(L1235&lt;&gt;"",L1235&lt;&gt;"(decide)",COUNTIF($L$2:$L$1680,L1235)&gt;1),"SAME FINAL NAME AS ANOTHER ROW","")))</f>
      </c>
      <c r="N1235" s="6">
        <v>0</v>
      </c>
      <c r="O1235" s="6" t="s">
        <v>2</v>
      </c>
    </row>
    <row r="1236" spans="1:15" x14ac:dyDescent="0.25">
      <c r="A1236">
        <v>1235</v>
      </c>
      <c r="B1236" t="s">
        <v>1634</v>
      </c>
      <c r="C1236" t="s">
        <v>2</v>
      </c>
      <c r="D1236" t="s">
        <v>1650</v>
      </c>
      <c r="E1236" t="s">
        <v>292</v>
      </c>
      <c r="F1236" t="s">
        <v>2</v>
      </c>
      <c r="G1236" t="s">
        <v>38</v>
      </c>
      <c r="H1236" t="s">
        <v>39</v>
      </c>
      <c r="I1236" s="5" t="s">
        <v>294</v>
      </c>
      <c r="J1236" s="5" t="s">
        <v>2</v>
      </c>
      <c r="K1236" s="5" t="s">
        <v>2</v>
      </c>
      <c r="L1236" s="6">
        <f>IF(I1236="Cut","",IF(I1236="Your call","(decide)",IF(I1236="Rename",J1236,IF(I1236="Keep",IF(D1236="",E1236,D1236),IF(E1236="(unchanged)",D1236,E1236)))))</f>
      </c>
      <c r="M1236" s="6">
        <f>IF(AND(I1236="Cut",N1236&gt;0,K1236=""),"USED: say what replaces it (Note)",IF(AND(I1236="Rename",J1236=""),"type the new name",IF(AND(L1236&lt;&gt;"",L1236&lt;&gt;"(decide)",COUNTIF($L$2:$L$1680,L1236)&gt;1),"SAME FINAL NAME AS ANOTHER ROW","")))</f>
      </c>
      <c r="N1236" s="6">
        <v>0</v>
      </c>
      <c r="O1236" s="6" t="s">
        <v>2</v>
      </c>
    </row>
    <row r="1237" spans="1:15" x14ac:dyDescent="0.25">
      <c r="A1237">
        <v>1236</v>
      </c>
      <c r="B1237" t="s">
        <v>1634</v>
      </c>
      <c r="C1237" t="s">
        <v>2</v>
      </c>
      <c r="D1237" t="s">
        <v>1651</v>
      </c>
      <c r="E1237" t="s">
        <v>292</v>
      </c>
      <c r="F1237" t="s">
        <v>2</v>
      </c>
      <c r="G1237" t="s">
        <v>38</v>
      </c>
      <c r="H1237" t="s">
        <v>39</v>
      </c>
      <c r="I1237" s="5" t="s">
        <v>294</v>
      </c>
      <c r="J1237" s="5" t="s">
        <v>2</v>
      </c>
      <c r="K1237" s="5" t="s">
        <v>2</v>
      </c>
      <c r="L1237" s="6">
        <f>IF(I1237="Cut","",IF(I1237="Your call","(decide)",IF(I1237="Rename",J1237,IF(I1237="Keep",IF(D1237="",E1237,D1237),IF(E1237="(unchanged)",D1237,E1237)))))</f>
      </c>
      <c r="M1237" s="6">
        <f>IF(AND(I1237="Cut",N1237&gt;0,K1237=""),"USED: say what replaces it (Note)",IF(AND(I1237="Rename",J1237=""),"type the new name",IF(AND(L1237&lt;&gt;"",L1237&lt;&gt;"(decide)",COUNTIF($L$2:$L$1680,L1237)&gt;1),"SAME FINAL NAME AS ANOTHER ROW","")))</f>
      </c>
      <c r="N1237" s="6">
        <v>0</v>
      </c>
      <c r="O1237" s="6" t="s">
        <v>2</v>
      </c>
    </row>
    <row r="1238" spans="1:15" x14ac:dyDescent="0.25">
      <c r="A1238">
        <v>1237</v>
      </c>
      <c r="B1238" t="s">
        <v>1634</v>
      </c>
      <c r="C1238" t="s">
        <v>2</v>
      </c>
      <c r="D1238" t="s">
        <v>1652</v>
      </c>
      <c r="E1238" t="s">
        <v>292</v>
      </c>
      <c r="F1238" t="s">
        <v>2</v>
      </c>
      <c r="G1238" t="s">
        <v>38</v>
      </c>
      <c r="H1238" t="s">
        <v>39</v>
      </c>
      <c r="I1238" s="5" t="s">
        <v>294</v>
      </c>
      <c r="J1238" s="5" t="s">
        <v>2</v>
      </c>
      <c r="K1238" s="5" t="s">
        <v>2</v>
      </c>
      <c r="L1238" s="6">
        <f>IF(I1238="Cut","",IF(I1238="Your call","(decide)",IF(I1238="Rename",J1238,IF(I1238="Keep",IF(D1238="",E1238,D1238),IF(E1238="(unchanged)",D1238,E1238)))))</f>
      </c>
      <c r="M1238" s="6">
        <f>IF(AND(I1238="Cut",N1238&gt;0,K1238=""),"USED: say what replaces it (Note)",IF(AND(I1238="Rename",J1238=""),"type the new name",IF(AND(L1238&lt;&gt;"",L1238&lt;&gt;"(decide)",COUNTIF($L$2:$L$1680,L1238)&gt;1),"SAME FINAL NAME AS ANOTHER ROW","")))</f>
      </c>
      <c r="N1238" s="6">
        <v>0</v>
      </c>
      <c r="O1238" s="6" t="s">
        <v>2</v>
      </c>
    </row>
    <row r="1239" spans="1:15" x14ac:dyDescent="0.25">
      <c r="A1239">
        <v>1238</v>
      </c>
      <c r="B1239" t="s">
        <v>1634</v>
      </c>
      <c r="C1239" t="s">
        <v>2</v>
      </c>
      <c r="D1239" t="s">
        <v>1653</v>
      </c>
      <c r="E1239" t="s">
        <v>292</v>
      </c>
      <c r="F1239" t="s">
        <v>2</v>
      </c>
      <c r="G1239" t="s">
        <v>1654</v>
      </c>
      <c r="H1239" t="s">
        <v>39</v>
      </c>
      <c r="I1239" s="5" t="s">
        <v>294</v>
      </c>
      <c r="J1239" s="5" t="s">
        <v>2</v>
      </c>
      <c r="K1239" s="5" t="s">
        <v>2</v>
      </c>
      <c r="L1239" s="6">
        <f>IF(I1239="Cut","",IF(I1239="Your call","(decide)",IF(I1239="Rename",J1239,IF(I1239="Keep",IF(D1239="",E1239,D1239),IF(E1239="(unchanged)",D1239,E1239)))))</f>
      </c>
      <c r="M1239" s="6">
        <f>IF(AND(I1239="Cut",N1239&gt;0,K1239=""),"USED: say what replaces it (Note)",IF(AND(I1239="Rename",J1239=""),"type the new name",IF(AND(L1239&lt;&gt;"",L1239&lt;&gt;"(decide)",COUNTIF($L$2:$L$1680,L1239)&gt;1),"SAME FINAL NAME AS ANOTHER ROW","")))</f>
      </c>
      <c r="N1239" s="6">
        <v>12</v>
      </c>
      <c r="O1239" s="6" t="s">
        <v>2</v>
      </c>
    </row>
    <row r="1240" spans="1:15" x14ac:dyDescent="0.25">
      <c r="A1240">
        <v>1239</v>
      </c>
      <c r="B1240" t="s">
        <v>1634</v>
      </c>
      <c r="C1240" t="s">
        <v>2</v>
      </c>
      <c r="D1240" t="s">
        <v>1655</v>
      </c>
      <c r="E1240" t="s">
        <v>292</v>
      </c>
      <c r="F1240" t="s">
        <v>2</v>
      </c>
      <c r="G1240" t="s">
        <v>38</v>
      </c>
      <c r="H1240" t="s">
        <v>39</v>
      </c>
      <c r="I1240" s="5" t="s">
        <v>294</v>
      </c>
      <c r="J1240" s="5" t="s">
        <v>2</v>
      </c>
      <c r="K1240" s="5" t="s">
        <v>2</v>
      </c>
      <c r="L1240" s="6">
        <f>IF(I1240="Cut","",IF(I1240="Your call","(decide)",IF(I1240="Rename",J1240,IF(I1240="Keep",IF(D1240="",E1240,D1240),IF(E1240="(unchanged)",D1240,E1240)))))</f>
      </c>
      <c r="M1240" s="6">
        <f>IF(AND(I1240="Cut",N1240&gt;0,K1240=""),"USED: say what replaces it (Note)",IF(AND(I1240="Rename",J1240=""),"type the new name",IF(AND(L1240&lt;&gt;"",L1240&lt;&gt;"(decide)",COUNTIF($L$2:$L$1680,L1240)&gt;1),"SAME FINAL NAME AS ANOTHER ROW","")))</f>
      </c>
      <c r="N1240" s="6">
        <v>0</v>
      </c>
      <c r="O1240" s="6" t="s">
        <v>2</v>
      </c>
    </row>
    <row r="1241" spans="1:15" x14ac:dyDescent="0.25">
      <c r="A1241">
        <v>1240</v>
      </c>
      <c r="B1241" t="s">
        <v>1634</v>
      </c>
      <c r="C1241" t="s">
        <v>2</v>
      </c>
      <c r="D1241" t="s">
        <v>1656</v>
      </c>
      <c r="E1241" t="s">
        <v>292</v>
      </c>
      <c r="F1241" t="s">
        <v>2</v>
      </c>
      <c r="G1241" t="s">
        <v>58</v>
      </c>
      <c r="H1241" t="s">
        <v>39</v>
      </c>
      <c r="I1241" s="5" t="s">
        <v>294</v>
      </c>
      <c r="J1241" s="5" t="s">
        <v>2</v>
      </c>
      <c r="K1241" s="5" t="s">
        <v>2</v>
      </c>
      <c r="L1241" s="6">
        <f>IF(I1241="Cut","",IF(I1241="Your call","(decide)",IF(I1241="Rename",J1241,IF(I1241="Keep",IF(D1241="",E1241,D1241),IF(E1241="(unchanged)",D1241,E1241)))))</f>
      </c>
      <c r="M1241" s="6">
        <f>IF(AND(I1241="Cut",N1241&gt;0,K1241=""),"USED: say what replaces it (Note)",IF(AND(I1241="Rename",J1241=""),"type the new name",IF(AND(L1241&lt;&gt;"",L1241&lt;&gt;"(decide)",COUNTIF($L$2:$L$1680,L1241)&gt;1),"SAME FINAL NAME AS ANOTHER ROW","")))</f>
      </c>
      <c r="N1241" s="6">
        <v>3</v>
      </c>
      <c r="O1241" s="6" t="s">
        <v>2</v>
      </c>
    </row>
    <row r="1242" spans="1:15" x14ac:dyDescent="0.25">
      <c r="A1242">
        <v>1241</v>
      </c>
      <c r="B1242" t="s">
        <v>1634</v>
      </c>
      <c r="C1242" t="s">
        <v>2</v>
      </c>
      <c r="D1242" t="s">
        <v>1657</v>
      </c>
      <c r="E1242" t="s">
        <v>292</v>
      </c>
      <c r="F1242" t="s">
        <v>2</v>
      </c>
      <c r="G1242" t="s">
        <v>38</v>
      </c>
      <c r="H1242" t="s">
        <v>39</v>
      </c>
      <c r="I1242" s="5" t="s">
        <v>294</v>
      </c>
      <c r="J1242" s="5" t="s">
        <v>2</v>
      </c>
      <c r="K1242" s="5" t="s">
        <v>2</v>
      </c>
      <c r="L1242" s="6">
        <f>IF(I1242="Cut","",IF(I1242="Your call","(decide)",IF(I1242="Rename",J1242,IF(I1242="Keep",IF(D1242="",E1242,D1242),IF(E1242="(unchanged)",D1242,E1242)))))</f>
      </c>
      <c r="M1242" s="6">
        <f>IF(AND(I1242="Cut",N1242&gt;0,K1242=""),"USED: say what replaces it (Note)",IF(AND(I1242="Rename",J1242=""),"type the new name",IF(AND(L1242&lt;&gt;"",L1242&lt;&gt;"(decide)",COUNTIF($L$2:$L$1680,L1242)&gt;1),"SAME FINAL NAME AS ANOTHER ROW","")))</f>
      </c>
      <c r="N1242" s="6">
        <v>0</v>
      </c>
      <c r="O1242" s="6" t="s">
        <v>2</v>
      </c>
    </row>
    <row r="1243" spans="1:15" x14ac:dyDescent="0.25">
      <c r="A1243">
        <v>1242</v>
      </c>
      <c r="B1243" t="s">
        <v>1634</v>
      </c>
      <c r="C1243" t="s">
        <v>2</v>
      </c>
      <c r="D1243" t="s">
        <v>1658</v>
      </c>
      <c r="E1243" t="s">
        <v>292</v>
      </c>
      <c r="F1243" t="s">
        <v>2</v>
      </c>
      <c r="G1243" t="s">
        <v>58</v>
      </c>
      <c r="H1243" t="s">
        <v>39</v>
      </c>
      <c r="I1243" s="5" t="s">
        <v>294</v>
      </c>
      <c r="J1243" s="5" t="s">
        <v>2</v>
      </c>
      <c r="K1243" s="5" t="s">
        <v>2</v>
      </c>
      <c r="L1243" s="6">
        <f>IF(I1243="Cut","",IF(I1243="Your call","(decide)",IF(I1243="Rename",J1243,IF(I1243="Keep",IF(D1243="",E1243,D1243),IF(E1243="(unchanged)",D1243,E1243)))))</f>
      </c>
      <c r="M1243" s="6">
        <f>IF(AND(I1243="Cut",N1243&gt;0,K1243=""),"USED: say what replaces it (Note)",IF(AND(I1243="Rename",J1243=""),"type the new name",IF(AND(L1243&lt;&gt;"",L1243&lt;&gt;"(decide)",COUNTIF($L$2:$L$1680,L1243)&gt;1),"SAME FINAL NAME AS ANOTHER ROW","")))</f>
      </c>
      <c r="N1243" s="6">
        <v>3</v>
      </c>
      <c r="O1243" s="6" t="s">
        <v>2</v>
      </c>
    </row>
    <row r="1244" spans="1:15" x14ac:dyDescent="0.25">
      <c r="A1244">
        <v>1243</v>
      </c>
      <c r="B1244" t="s">
        <v>1659</v>
      </c>
      <c r="C1244" t="s">
        <v>2</v>
      </c>
      <c r="D1244" t="s">
        <v>1660</v>
      </c>
      <c r="E1244" t="s">
        <v>292</v>
      </c>
      <c r="F1244" t="s">
        <v>2</v>
      </c>
      <c r="G1244" t="s">
        <v>38</v>
      </c>
      <c r="H1244" t="s">
        <v>39</v>
      </c>
      <c r="I1244" s="5" t="s">
        <v>294</v>
      </c>
      <c r="J1244" s="5" t="s">
        <v>2</v>
      </c>
      <c r="K1244" s="5" t="s">
        <v>2</v>
      </c>
      <c r="L1244" s="6">
        <f>IF(I1244="Cut","",IF(I1244="Your call","(decide)",IF(I1244="Rename",J1244,IF(I1244="Keep",IF(D1244="",E1244,D1244),IF(E1244="(unchanged)",D1244,E1244)))))</f>
      </c>
      <c r="M1244" s="6">
        <f>IF(AND(I1244="Cut",N1244&gt;0,K1244=""),"USED: say what replaces it (Note)",IF(AND(I1244="Rename",J1244=""),"type the new name",IF(AND(L1244&lt;&gt;"",L1244&lt;&gt;"(decide)",COUNTIF($L$2:$L$1680,L1244)&gt;1),"SAME FINAL NAME AS ANOTHER ROW","")))</f>
      </c>
      <c r="N1244" s="6">
        <v>0</v>
      </c>
      <c r="O1244" s="6" t="s">
        <v>2</v>
      </c>
    </row>
    <row r="1245" spans="1:15" x14ac:dyDescent="0.25">
      <c r="A1245">
        <v>1244</v>
      </c>
      <c r="B1245" t="s">
        <v>1659</v>
      </c>
      <c r="C1245" t="s">
        <v>2</v>
      </c>
      <c r="D1245" t="s">
        <v>1661</v>
      </c>
      <c r="E1245" t="s">
        <v>292</v>
      </c>
      <c r="F1245" t="s">
        <v>2</v>
      </c>
      <c r="G1245" t="s">
        <v>38</v>
      </c>
      <c r="H1245" t="s">
        <v>39</v>
      </c>
      <c r="I1245" s="5" t="s">
        <v>294</v>
      </c>
      <c r="J1245" s="5" t="s">
        <v>2</v>
      </c>
      <c r="K1245" s="5" t="s">
        <v>2</v>
      </c>
      <c r="L1245" s="6">
        <f>IF(I1245="Cut","",IF(I1245="Your call","(decide)",IF(I1245="Rename",J1245,IF(I1245="Keep",IF(D1245="",E1245,D1245),IF(E1245="(unchanged)",D1245,E1245)))))</f>
      </c>
      <c r="M1245" s="6">
        <f>IF(AND(I1245="Cut",N1245&gt;0,K1245=""),"USED: say what replaces it (Note)",IF(AND(I1245="Rename",J1245=""),"type the new name",IF(AND(L1245&lt;&gt;"",L1245&lt;&gt;"(decide)",COUNTIF($L$2:$L$1680,L1245)&gt;1),"SAME FINAL NAME AS ANOTHER ROW","")))</f>
      </c>
      <c r="N1245" s="6">
        <v>0</v>
      </c>
      <c r="O1245" s="6" t="s">
        <v>2</v>
      </c>
    </row>
    <row r="1246" spans="1:15" x14ac:dyDescent="0.25">
      <c r="A1246">
        <v>1245</v>
      </c>
      <c r="B1246" t="s">
        <v>1659</v>
      </c>
      <c r="C1246" t="s">
        <v>2</v>
      </c>
      <c r="D1246" t="s">
        <v>1662</v>
      </c>
      <c r="E1246" t="s">
        <v>292</v>
      </c>
      <c r="F1246" t="s">
        <v>2</v>
      </c>
      <c r="G1246" t="s">
        <v>94</v>
      </c>
      <c r="H1246" t="s">
        <v>39</v>
      </c>
      <c r="I1246" s="5" t="s">
        <v>294</v>
      </c>
      <c r="J1246" s="5" t="s">
        <v>2</v>
      </c>
      <c r="K1246" s="5" t="s">
        <v>2</v>
      </c>
      <c r="L1246" s="6">
        <f>IF(I1246="Cut","",IF(I1246="Your call","(decide)",IF(I1246="Rename",J1246,IF(I1246="Keep",IF(D1246="",E1246,D1246),IF(E1246="(unchanged)",D1246,E1246)))))</f>
      </c>
      <c r="M1246" s="6">
        <f>IF(AND(I1246="Cut",N1246&gt;0,K1246=""),"USED: say what replaces it (Note)",IF(AND(I1246="Rename",J1246=""),"type the new name",IF(AND(L1246&lt;&gt;"",L1246&lt;&gt;"(decide)",COUNTIF($L$2:$L$1680,L1246)&gt;1),"SAME FINAL NAME AS ANOTHER ROW","")))</f>
      </c>
      <c r="N1246" s="6">
        <v>1</v>
      </c>
      <c r="O1246" s="6" t="s">
        <v>2</v>
      </c>
    </row>
    <row r="1247" spans="1:15" x14ac:dyDescent="0.25">
      <c r="A1247">
        <v>1246</v>
      </c>
      <c r="B1247" t="s">
        <v>1659</v>
      </c>
      <c r="C1247" t="s">
        <v>2</v>
      </c>
      <c r="D1247" t="s">
        <v>1663</v>
      </c>
      <c r="E1247" t="s">
        <v>292</v>
      </c>
      <c r="F1247" t="s">
        <v>2</v>
      </c>
      <c r="G1247" t="s">
        <v>38</v>
      </c>
      <c r="H1247" t="s">
        <v>39</v>
      </c>
      <c r="I1247" s="5" t="s">
        <v>294</v>
      </c>
      <c r="J1247" s="5" t="s">
        <v>2</v>
      </c>
      <c r="K1247" s="5" t="s">
        <v>2</v>
      </c>
      <c r="L1247" s="6">
        <f>IF(I1247="Cut","",IF(I1247="Your call","(decide)",IF(I1247="Rename",J1247,IF(I1247="Keep",IF(D1247="",E1247,D1247),IF(E1247="(unchanged)",D1247,E1247)))))</f>
      </c>
      <c r="M1247" s="6">
        <f>IF(AND(I1247="Cut",N1247&gt;0,K1247=""),"USED: say what replaces it (Note)",IF(AND(I1247="Rename",J1247=""),"type the new name",IF(AND(L1247&lt;&gt;"",L1247&lt;&gt;"(decide)",COUNTIF($L$2:$L$1680,L1247)&gt;1),"SAME FINAL NAME AS ANOTHER ROW","")))</f>
      </c>
      <c r="N1247" s="6">
        <v>0</v>
      </c>
      <c r="O1247" s="6" t="s">
        <v>2</v>
      </c>
    </row>
    <row r="1248" spans="1:15" x14ac:dyDescent="0.25">
      <c r="A1248">
        <v>1247</v>
      </c>
      <c r="B1248" t="s">
        <v>1659</v>
      </c>
      <c r="C1248" t="s">
        <v>2</v>
      </c>
      <c r="D1248" t="s">
        <v>1664</v>
      </c>
      <c r="E1248" t="s">
        <v>292</v>
      </c>
      <c r="F1248" t="s">
        <v>2</v>
      </c>
      <c r="G1248" t="s">
        <v>94</v>
      </c>
      <c r="H1248" t="s">
        <v>39</v>
      </c>
      <c r="I1248" s="5" t="s">
        <v>294</v>
      </c>
      <c r="J1248" s="5" t="s">
        <v>2</v>
      </c>
      <c r="K1248" s="5" t="s">
        <v>2</v>
      </c>
      <c r="L1248" s="6">
        <f>IF(I1248="Cut","",IF(I1248="Your call","(decide)",IF(I1248="Rename",J1248,IF(I1248="Keep",IF(D1248="",E1248,D1248),IF(E1248="(unchanged)",D1248,E1248)))))</f>
      </c>
      <c r="M1248" s="6">
        <f>IF(AND(I1248="Cut",N1248&gt;0,K1248=""),"USED: say what replaces it (Note)",IF(AND(I1248="Rename",J1248=""),"type the new name",IF(AND(L1248&lt;&gt;"",L1248&lt;&gt;"(decide)",COUNTIF($L$2:$L$1680,L1248)&gt;1),"SAME FINAL NAME AS ANOTHER ROW","")))</f>
      </c>
      <c r="N1248" s="6">
        <v>1</v>
      </c>
      <c r="O1248" s="6" t="s">
        <v>2</v>
      </c>
    </row>
    <row r="1249" spans="1:15" x14ac:dyDescent="0.25">
      <c r="A1249">
        <v>1248</v>
      </c>
      <c r="B1249" t="s">
        <v>1659</v>
      </c>
      <c r="C1249" t="s">
        <v>2</v>
      </c>
      <c r="D1249" t="s">
        <v>1665</v>
      </c>
      <c r="E1249" t="s">
        <v>292</v>
      </c>
      <c r="F1249" t="s">
        <v>2</v>
      </c>
      <c r="G1249" t="s">
        <v>38</v>
      </c>
      <c r="H1249" t="s">
        <v>39</v>
      </c>
      <c r="I1249" s="5" t="s">
        <v>294</v>
      </c>
      <c r="J1249" s="5" t="s">
        <v>2</v>
      </c>
      <c r="K1249" s="5" t="s">
        <v>2</v>
      </c>
      <c r="L1249" s="6">
        <f>IF(I1249="Cut","",IF(I1249="Your call","(decide)",IF(I1249="Rename",J1249,IF(I1249="Keep",IF(D1249="",E1249,D1249),IF(E1249="(unchanged)",D1249,E1249)))))</f>
      </c>
      <c r="M1249" s="6">
        <f>IF(AND(I1249="Cut",N1249&gt;0,K1249=""),"USED: say what replaces it (Note)",IF(AND(I1249="Rename",J1249=""),"type the new name",IF(AND(L1249&lt;&gt;"",L1249&lt;&gt;"(decide)",COUNTIF($L$2:$L$1680,L1249)&gt;1),"SAME FINAL NAME AS ANOTHER ROW","")))</f>
      </c>
      <c r="N1249" s="6">
        <v>0</v>
      </c>
      <c r="O1249" s="6" t="s">
        <v>2</v>
      </c>
    </row>
    <row r="1250" spans="1:15" x14ac:dyDescent="0.25">
      <c r="A1250">
        <v>1249</v>
      </c>
      <c r="B1250" t="s">
        <v>1659</v>
      </c>
      <c r="C1250" t="s">
        <v>2</v>
      </c>
      <c r="D1250" t="s">
        <v>1666</v>
      </c>
      <c r="E1250" t="s">
        <v>292</v>
      </c>
      <c r="F1250" t="s">
        <v>2</v>
      </c>
      <c r="G1250" t="s">
        <v>94</v>
      </c>
      <c r="H1250" t="s">
        <v>39</v>
      </c>
      <c r="I1250" s="5" t="s">
        <v>294</v>
      </c>
      <c r="J1250" s="5" t="s">
        <v>2</v>
      </c>
      <c r="K1250" s="5" t="s">
        <v>2</v>
      </c>
      <c r="L1250" s="6">
        <f>IF(I1250="Cut","",IF(I1250="Your call","(decide)",IF(I1250="Rename",J1250,IF(I1250="Keep",IF(D1250="",E1250,D1250),IF(E1250="(unchanged)",D1250,E1250)))))</f>
      </c>
      <c r="M1250" s="6">
        <f>IF(AND(I1250="Cut",N1250&gt;0,K1250=""),"USED: say what replaces it (Note)",IF(AND(I1250="Rename",J1250=""),"type the new name",IF(AND(L1250&lt;&gt;"",L1250&lt;&gt;"(decide)",COUNTIF($L$2:$L$1680,L1250)&gt;1),"SAME FINAL NAME AS ANOTHER ROW","")))</f>
      </c>
      <c r="N1250" s="6">
        <v>1</v>
      </c>
      <c r="O1250" s="6" t="s">
        <v>2</v>
      </c>
    </row>
    <row r="1251" spans="1:15" x14ac:dyDescent="0.25">
      <c r="A1251">
        <v>1250</v>
      </c>
      <c r="B1251" t="s">
        <v>1659</v>
      </c>
      <c r="C1251" t="s">
        <v>2</v>
      </c>
      <c r="D1251" t="s">
        <v>1667</v>
      </c>
      <c r="E1251" t="s">
        <v>292</v>
      </c>
      <c r="F1251" t="s">
        <v>2</v>
      </c>
      <c r="G1251" t="s">
        <v>48</v>
      </c>
      <c r="H1251" t="s">
        <v>39</v>
      </c>
      <c r="I1251" s="5" t="s">
        <v>294</v>
      </c>
      <c r="J1251" s="5" t="s">
        <v>2</v>
      </c>
      <c r="K1251" s="5" t="s">
        <v>2</v>
      </c>
      <c r="L1251" s="6">
        <f>IF(I1251="Cut","",IF(I1251="Your call","(decide)",IF(I1251="Rename",J1251,IF(I1251="Keep",IF(D1251="",E1251,D1251),IF(E1251="(unchanged)",D1251,E1251)))))</f>
      </c>
      <c r="M1251" s="6">
        <f>IF(AND(I1251="Cut",N1251&gt;0,K1251=""),"USED: say what replaces it (Note)",IF(AND(I1251="Rename",J1251=""),"type the new name",IF(AND(L1251&lt;&gt;"",L1251&lt;&gt;"(decide)",COUNTIF($L$2:$L$1680,L1251)&gt;1),"SAME FINAL NAME AS ANOTHER ROW","")))</f>
      </c>
      <c r="N1251" s="6">
        <v>2</v>
      </c>
      <c r="O1251" s="6" t="s">
        <v>2</v>
      </c>
    </row>
    <row r="1252" spans="1:15" x14ac:dyDescent="0.25">
      <c r="A1252">
        <v>1251</v>
      </c>
      <c r="B1252" t="s">
        <v>1659</v>
      </c>
      <c r="C1252" t="s">
        <v>2</v>
      </c>
      <c r="D1252" t="s">
        <v>1668</v>
      </c>
      <c r="E1252" t="s">
        <v>292</v>
      </c>
      <c r="F1252" t="s">
        <v>2</v>
      </c>
      <c r="G1252" t="s">
        <v>38</v>
      </c>
      <c r="H1252" t="s">
        <v>39</v>
      </c>
      <c r="I1252" s="5" t="s">
        <v>294</v>
      </c>
      <c r="J1252" s="5" t="s">
        <v>2</v>
      </c>
      <c r="K1252" s="5" t="s">
        <v>2</v>
      </c>
      <c r="L1252" s="6">
        <f>IF(I1252="Cut","",IF(I1252="Your call","(decide)",IF(I1252="Rename",J1252,IF(I1252="Keep",IF(D1252="",E1252,D1252),IF(E1252="(unchanged)",D1252,E1252)))))</f>
      </c>
      <c r="M1252" s="6">
        <f>IF(AND(I1252="Cut",N1252&gt;0,K1252=""),"USED: say what replaces it (Note)",IF(AND(I1252="Rename",J1252=""),"type the new name",IF(AND(L1252&lt;&gt;"",L1252&lt;&gt;"(decide)",COUNTIF($L$2:$L$1680,L1252)&gt;1),"SAME FINAL NAME AS ANOTHER ROW","")))</f>
      </c>
      <c r="N1252" s="6">
        <v>0</v>
      </c>
      <c r="O1252" s="6" t="s">
        <v>2</v>
      </c>
    </row>
    <row r="1253" spans="1:15" x14ac:dyDescent="0.25">
      <c r="A1253">
        <v>1252</v>
      </c>
      <c r="B1253" t="s">
        <v>1659</v>
      </c>
      <c r="C1253" t="s">
        <v>2</v>
      </c>
      <c r="D1253" t="s">
        <v>1669</v>
      </c>
      <c r="E1253" t="s">
        <v>292</v>
      </c>
      <c r="F1253" t="s">
        <v>2</v>
      </c>
      <c r="G1253" t="s">
        <v>38</v>
      </c>
      <c r="H1253" t="s">
        <v>39</v>
      </c>
      <c r="I1253" s="5" t="s">
        <v>294</v>
      </c>
      <c r="J1253" s="5" t="s">
        <v>2</v>
      </c>
      <c r="K1253" s="5" t="s">
        <v>2</v>
      </c>
      <c r="L1253" s="6">
        <f>IF(I1253="Cut","",IF(I1253="Your call","(decide)",IF(I1253="Rename",J1253,IF(I1253="Keep",IF(D1253="",E1253,D1253),IF(E1253="(unchanged)",D1253,E1253)))))</f>
      </c>
      <c r="M1253" s="6">
        <f>IF(AND(I1253="Cut",N1253&gt;0,K1253=""),"USED: say what replaces it (Note)",IF(AND(I1253="Rename",J1253=""),"type the new name",IF(AND(L1253&lt;&gt;"",L1253&lt;&gt;"(decide)",COUNTIF($L$2:$L$1680,L1253)&gt;1),"SAME FINAL NAME AS ANOTHER ROW","")))</f>
      </c>
      <c r="N1253" s="6">
        <v>0</v>
      </c>
      <c r="O1253" s="6" t="s">
        <v>2</v>
      </c>
    </row>
    <row r="1254" spans="1:15" x14ac:dyDescent="0.25">
      <c r="A1254">
        <v>1253</v>
      </c>
      <c r="B1254" t="s">
        <v>1659</v>
      </c>
      <c r="C1254" t="s">
        <v>2</v>
      </c>
      <c r="D1254" t="s">
        <v>1670</v>
      </c>
      <c r="E1254" t="s">
        <v>292</v>
      </c>
      <c r="F1254" t="s">
        <v>2</v>
      </c>
      <c r="G1254" t="s">
        <v>38</v>
      </c>
      <c r="H1254" t="s">
        <v>39</v>
      </c>
      <c r="I1254" s="5" t="s">
        <v>294</v>
      </c>
      <c r="J1254" s="5" t="s">
        <v>2</v>
      </c>
      <c r="K1254" s="5" t="s">
        <v>2</v>
      </c>
      <c r="L1254" s="6">
        <f>IF(I1254="Cut","",IF(I1254="Your call","(decide)",IF(I1254="Rename",J1254,IF(I1254="Keep",IF(D1254="",E1254,D1254),IF(E1254="(unchanged)",D1254,E1254)))))</f>
      </c>
      <c r="M1254" s="6">
        <f>IF(AND(I1254="Cut",N1254&gt;0,K1254=""),"USED: say what replaces it (Note)",IF(AND(I1254="Rename",J1254=""),"type the new name",IF(AND(L1254&lt;&gt;"",L1254&lt;&gt;"(decide)",COUNTIF($L$2:$L$1680,L1254)&gt;1),"SAME FINAL NAME AS ANOTHER ROW","")))</f>
      </c>
      <c r="N1254" s="6">
        <v>0</v>
      </c>
      <c r="O1254" s="6" t="s">
        <v>2</v>
      </c>
    </row>
    <row r="1255" spans="1:15" x14ac:dyDescent="0.25">
      <c r="A1255">
        <v>1254</v>
      </c>
      <c r="B1255" t="s">
        <v>1659</v>
      </c>
      <c r="C1255" t="s">
        <v>2</v>
      </c>
      <c r="D1255" t="s">
        <v>1671</v>
      </c>
      <c r="E1255" t="s">
        <v>292</v>
      </c>
      <c r="F1255" t="s">
        <v>2</v>
      </c>
      <c r="G1255" t="s">
        <v>94</v>
      </c>
      <c r="H1255" t="s">
        <v>39</v>
      </c>
      <c r="I1255" s="5" t="s">
        <v>294</v>
      </c>
      <c r="J1255" s="5" t="s">
        <v>2</v>
      </c>
      <c r="K1255" s="5" t="s">
        <v>2</v>
      </c>
      <c r="L1255" s="6">
        <f>IF(I1255="Cut","",IF(I1255="Your call","(decide)",IF(I1255="Rename",J1255,IF(I1255="Keep",IF(D1255="",E1255,D1255),IF(E1255="(unchanged)",D1255,E1255)))))</f>
      </c>
      <c r="M1255" s="6">
        <f>IF(AND(I1255="Cut",N1255&gt;0,K1255=""),"USED: say what replaces it (Note)",IF(AND(I1255="Rename",J1255=""),"type the new name",IF(AND(L1255&lt;&gt;"",L1255&lt;&gt;"(decide)",COUNTIF($L$2:$L$1680,L1255)&gt;1),"SAME FINAL NAME AS ANOTHER ROW","")))</f>
      </c>
      <c r="N1255" s="6">
        <v>1</v>
      </c>
      <c r="O1255" s="6" t="s">
        <v>2</v>
      </c>
    </row>
    <row r="1256" spans="1:15" x14ac:dyDescent="0.25">
      <c r="A1256">
        <v>1255</v>
      </c>
      <c r="B1256" t="s">
        <v>1659</v>
      </c>
      <c r="C1256" t="s">
        <v>2</v>
      </c>
      <c r="D1256" t="s">
        <v>1672</v>
      </c>
      <c r="E1256" t="s">
        <v>292</v>
      </c>
      <c r="F1256" t="s">
        <v>2</v>
      </c>
      <c r="G1256" t="s">
        <v>94</v>
      </c>
      <c r="H1256" t="s">
        <v>39</v>
      </c>
      <c r="I1256" s="5" t="s">
        <v>294</v>
      </c>
      <c r="J1256" s="5" t="s">
        <v>2</v>
      </c>
      <c r="K1256" s="5" t="s">
        <v>2</v>
      </c>
      <c r="L1256" s="6">
        <f>IF(I1256="Cut","",IF(I1256="Your call","(decide)",IF(I1256="Rename",J1256,IF(I1256="Keep",IF(D1256="",E1256,D1256),IF(E1256="(unchanged)",D1256,E1256)))))</f>
      </c>
      <c r="M1256" s="6">
        <f>IF(AND(I1256="Cut",N1256&gt;0,K1256=""),"USED: say what replaces it (Note)",IF(AND(I1256="Rename",J1256=""),"type the new name",IF(AND(L1256&lt;&gt;"",L1256&lt;&gt;"(decide)",COUNTIF($L$2:$L$1680,L1256)&gt;1),"SAME FINAL NAME AS ANOTHER ROW","")))</f>
      </c>
      <c r="N1256" s="6">
        <v>1</v>
      </c>
      <c r="O1256" s="6" t="s">
        <v>2</v>
      </c>
    </row>
    <row r="1257" spans="1:15" x14ac:dyDescent="0.25">
      <c r="A1257">
        <v>1256</v>
      </c>
      <c r="B1257" t="s">
        <v>1659</v>
      </c>
      <c r="C1257" t="s">
        <v>2</v>
      </c>
      <c r="D1257" t="s">
        <v>1673</v>
      </c>
      <c r="E1257" t="s">
        <v>292</v>
      </c>
      <c r="F1257" t="s">
        <v>2</v>
      </c>
      <c r="G1257" t="s">
        <v>38</v>
      </c>
      <c r="H1257" t="s">
        <v>39</v>
      </c>
      <c r="I1257" s="5" t="s">
        <v>294</v>
      </c>
      <c r="J1257" s="5" t="s">
        <v>2</v>
      </c>
      <c r="K1257" s="5" t="s">
        <v>2</v>
      </c>
      <c r="L1257" s="6">
        <f>IF(I1257="Cut","",IF(I1257="Your call","(decide)",IF(I1257="Rename",J1257,IF(I1257="Keep",IF(D1257="",E1257,D1257),IF(E1257="(unchanged)",D1257,E1257)))))</f>
      </c>
      <c r="M1257" s="6">
        <f>IF(AND(I1257="Cut",N1257&gt;0,K1257=""),"USED: say what replaces it (Note)",IF(AND(I1257="Rename",J1257=""),"type the new name",IF(AND(L1257&lt;&gt;"",L1257&lt;&gt;"(decide)",COUNTIF($L$2:$L$1680,L1257)&gt;1),"SAME FINAL NAME AS ANOTHER ROW","")))</f>
      </c>
      <c r="N1257" s="6">
        <v>0</v>
      </c>
      <c r="O1257" s="6" t="s">
        <v>2</v>
      </c>
    </row>
    <row r="1258" spans="1:15" x14ac:dyDescent="0.25">
      <c r="A1258">
        <v>1257</v>
      </c>
      <c r="B1258" t="s">
        <v>1659</v>
      </c>
      <c r="C1258" t="s">
        <v>2</v>
      </c>
      <c r="D1258" t="s">
        <v>1674</v>
      </c>
      <c r="E1258" t="s">
        <v>292</v>
      </c>
      <c r="F1258" t="s">
        <v>2</v>
      </c>
      <c r="G1258" t="s">
        <v>38</v>
      </c>
      <c r="H1258" t="s">
        <v>39</v>
      </c>
      <c r="I1258" s="5" t="s">
        <v>294</v>
      </c>
      <c r="J1258" s="5" t="s">
        <v>2</v>
      </c>
      <c r="K1258" s="5" t="s">
        <v>2</v>
      </c>
      <c r="L1258" s="6">
        <f>IF(I1258="Cut","",IF(I1258="Your call","(decide)",IF(I1258="Rename",J1258,IF(I1258="Keep",IF(D1258="",E1258,D1258),IF(E1258="(unchanged)",D1258,E1258)))))</f>
      </c>
      <c r="M1258" s="6">
        <f>IF(AND(I1258="Cut",N1258&gt;0,K1258=""),"USED: say what replaces it (Note)",IF(AND(I1258="Rename",J1258=""),"type the new name",IF(AND(L1258&lt;&gt;"",L1258&lt;&gt;"(decide)",COUNTIF($L$2:$L$1680,L1258)&gt;1),"SAME FINAL NAME AS ANOTHER ROW","")))</f>
      </c>
      <c r="N1258" s="6">
        <v>0</v>
      </c>
      <c r="O1258" s="6" t="s">
        <v>2</v>
      </c>
    </row>
    <row r="1259" spans="1:15" x14ac:dyDescent="0.25">
      <c r="A1259">
        <v>1258</v>
      </c>
      <c r="B1259" t="s">
        <v>1659</v>
      </c>
      <c r="C1259" t="s">
        <v>2</v>
      </c>
      <c r="D1259" t="s">
        <v>1675</v>
      </c>
      <c r="E1259" t="s">
        <v>292</v>
      </c>
      <c r="F1259" t="s">
        <v>2</v>
      </c>
      <c r="G1259" t="s">
        <v>38</v>
      </c>
      <c r="H1259" t="s">
        <v>39</v>
      </c>
      <c r="I1259" s="5" t="s">
        <v>294</v>
      </c>
      <c r="J1259" s="5" t="s">
        <v>2</v>
      </c>
      <c r="K1259" s="5" t="s">
        <v>2</v>
      </c>
      <c r="L1259" s="6">
        <f>IF(I1259="Cut","",IF(I1259="Your call","(decide)",IF(I1259="Rename",J1259,IF(I1259="Keep",IF(D1259="",E1259,D1259),IF(E1259="(unchanged)",D1259,E1259)))))</f>
      </c>
      <c r="M1259" s="6">
        <f>IF(AND(I1259="Cut",N1259&gt;0,K1259=""),"USED: say what replaces it (Note)",IF(AND(I1259="Rename",J1259=""),"type the new name",IF(AND(L1259&lt;&gt;"",L1259&lt;&gt;"(decide)",COUNTIF($L$2:$L$1680,L1259)&gt;1),"SAME FINAL NAME AS ANOTHER ROW","")))</f>
      </c>
      <c r="N1259" s="6">
        <v>0</v>
      </c>
      <c r="O1259" s="6" t="s">
        <v>2</v>
      </c>
    </row>
    <row r="1260" spans="1:15" x14ac:dyDescent="0.25">
      <c r="A1260">
        <v>1259</v>
      </c>
      <c r="B1260" t="s">
        <v>1659</v>
      </c>
      <c r="C1260" t="s">
        <v>2</v>
      </c>
      <c r="D1260" t="s">
        <v>1676</v>
      </c>
      <c r="E1260" t="s">
        <v>292</v>
      </c>
      <c r="F1260" t="s">
        <v>2</v>
      </c>
      <c r="G1260" t="s">
        <v>38</v>
      </c>
      <c r="H1260" t="s">
        <v>39</v>
      </c>
      <c r="I1260" s="5" t="s">
        <v>294</v>
      </c>
      <c r="J1260" s="5" t="s">
        <v>2</v>
      </c>
      <c r="K1260" s="5" t="s">
        <v>2</v>
      </c>
      <c r="L1260" s="6">
        <f>IF(I1260="Cut","",IF(I1260="Your call","(decide)",IF(I1260="Rename",J1260,IF(I1260="Keep",IF(D1260="",E1260,D1260),IF(E1260="(unchanged)",D1260,E1260)))))</f>
      </c>
      <c r="M1260" s="6">
        <f>IF(AND(I1260="Cut",N1260&gt;0,K1260=""),"USED: say what replaces it (Note)",IF(AND(I1260="Rename",J1260=""),"type the new name",IF(AND(L1260&lt;&gt;"",L1260&lt;&gt;"(decide)",COUNTIF($L$2:$L$1680,L1260)&gt;1),"SAME FINAL NAME AS ANOTHER ROW","")))</f>
      </c>
      <c r="N1260" s="6">
        <v>0</v>
      </c>
      <c r="O1260" s="6" t="s">
        <v>2</v>
      </c>
    </row>
    <row r="1261" spans="1:15" x14ac:dyDescent="0.25">
      <c r="A1261">
        <v>1260</v>
      </c>
      <c r="B1261" t="s">
        <v>1659</v>
      </c>
      <c r="C1261" t="s">
        <v>2</v>
      </c>
      <c r="D1261" t="s">
        <v>1677</v>
      </c>
      <c r="E1261" t="s">
        <v>292</v>
      </c>
      <c r="F1261" t="s">
        <v>2</v>
      </c>
      <c r="G1261" t="s">
        <v>38</v>
      </c>
      <c r="H1261" t="s">
        <v>39</v>
      </c>
      <c r="I1261" s="5" t="s">
        <v>294</v>
      </c>
      <c r="J1261" s="5" t="s">
        <v>2</v>
      </c>
      <c r="K1261" s="5" t="s">
        <v>2</v>
      </c>
      <c r="L1261" s="6">
        <f>IF(I1261="Cut","",IF(I1261="Your call","(decide)",IF(I1261="Rename",J1261,IF(I1261="Keep",IF(D1261="",E1261,D1261),IF(E1261="(unchanged)",D1261,E1261)))))</f>
      </c>
      <c r="M1261" s="6">
        <f>IF(AND(I1261="Cut",N1261&gt;0,K1261=""),"USED: say what replaces it (Note)",IF(AND(I1261="Rename",J1261=""),"type the new name",IF(AND(L1261&lt;&gt;"",L1261&lt;&gt;"(decide)",COUNTIF($L$2:$L$1680,L1261)&gt;1),"SAME FINAL NAME AS ANOTHER ROW","")))</f>
      </c>
      <c r="N1261" s="6">
        <v>0</v>
      </c>
      <c r="O1261" s="6" t="s">
        <v>2</v>
      </c>
    </row>
    <row r="1262" spans="1:15" x14ac:dyDescent="0.25">
      <c r="A1262">
        <v>1261</v>
      </c>
      <c r="B1262" t="s">
        <v>1659</v>
      </c>
      <c r="C1262" t="s">
        <v>2</v>
      </c>
      <c r="D1262" t="s">
        <v>1678</v>
      </c>
      <c r="E1262" t="s">
        <v>292</v>
      </c>
      <c r="F1262" t="s">
        <v>2</v>
      </c>
      <c r="G1262" t="s">
        <v>38</v>
      </c>
      <c r="H1262" t="s">
        <v>39</v>
      </c>
      <c r="I1262" s="5" t="s">
        <v>294</v>
      </c>
      <c r="J1262" s="5" t="s">
        <v>2</v>
      </c>
      <c r="K1262" s="5" t="s">
        <v>2</v>
      </c>
      <c r="L1262" s="6">
        <f>IF(I1262="Cut","",IF(I1262="Your call","(decide)",IF(I1262="Rename",J1262,IF(I1262="Keep",IF(D1262="",E1262,D1262),IF(E1262="(unchanged)",D1262,E1262)))))</f>
      </c>
      <c r="M1262" s="6">
        <f>IF(AND(I1262="Cut",N1262&gt;0,K1262=""),"USED: say what replaces it (Note)",IF(AND(I1262="Rename",J1262=""),"type the new name",IF(AND(L1262&lt;&gt;"",L1262&lt;&gt;"(decide)",COUNTIF($L$2:$L$1680,L1262)&gt;1),"SAME FINAL NAME AS ANOTHER ROW","")))</f>
      </c>
      <c r="N1262" s="6">
        <v>0</v>
      </c>
      <c r="O1262" s="6" t="s">
        <v>2</v>
      </c>
    </row>
    <row r="1263" spans="1:15" x14ac:dyDescent="0.25">
      <c r="A1263">
        <v>1262</v>
      </c>
      <c r="B1263" t="s">
        <v>1659</v>
      </c>
      <c r="C1263" t="s">
        <v>2</v>
      </c>
      <c r="D1263" t="s">
        <v>1679</v>
      </c>
      <c r="E1263" t="s">
        <v>292</v>
      </c>
      <c r="F1263" t="s">
        <v>2</v>
      </c>
      <c r="G1263" t="s">
        <v>38</v>
      </c>
      <c r="H1263" t="s">
        <v>39</v>
      </c>
      <c r="I1263" s="5" t="s">
        <v>294</v>
      </c>
      <c r="J1263" s="5" t="s">
        <v>2</v>
      </c>
      <c r="K1263" s="5" t="s">
        <v>2</v>
      </c>
      <c r="L1263" s="6">
        <f>IF(I1263="Cut","",IF(I1263="Your call","(decide)",IF(I1263="Rename",J1263,IF(I1263="Keep",IF(D1263="",E1263,D1263),IF(E1263="(unchanged)",D1263,E1263)))))</f>
      </c>
      <c r="M1263" s="6">
        <f>IF(AND(I1263="Cut",N1263&gt;0,K1263=""),"USED: say what replaces it (Note)",IF(AND(I1263="Rename",J1263=""),"type the new name",IF(AND(L1263&lt;&gt;"",L1263&lt;&gt;"(decide)",COUNTIF($L$2:$L$1680,L1263)&gt;1),"SAME FINAL NAME AS ANOTHER ROW","")))</f>
      </c>
      <c r="N1263" s="6">
        <v>0</v>
      </c>
      <c r="O1263" s="6" t="s">
        <v>2</v>
      </c>
    </row>
    <row r="1264" spans="1:15" x14ac:dyDescent="0.25">
      <c r="A1264">
        <v>1263</v>
      </c>
      <c r="B1264" t="s">
        <v>1659</v>
      </c>
      <c r="C1264" t="s">
        <v>2</v>
      </c>
      <c r="D1264" t="s">
        <v>1680</v>
      </c>
      <c r="E1264" t="s">
        <v>292</v>
      </c>
      <c r="F1264" t="s">
        <v>2</v>
      </c>
      <c r="G1264" t="s">
        <v>94</v>
      </c>
      <c r="H1264" t="s">
        <v>39</v>
      </c>
      <c r="I1264" s="5" t="s">
        <v>294</v>
      </c>
      <c r="J1264" s="5" t="s">
        <v>2</v>
      </c>
      <c r="K1264" s="5" t="s">
        <v>2</v>
      </c>
      <c r="L1264" s="6">
        <f>IF(I1264="Cut","",IF(I1264="Your call","(decide)",IF(I1264="Rename",J1264,IF(I1264="Keep",IF(D1264="",E1264,D1264),IF(E1264="(unchanged)",D1264,E1264)))))</f>
      </c>
      <c r="M1264" s="6">
        <f>IF(AND(I1264="Cut",N1264&gt;0,K1264=""),"USED: say what replaces it (Note)",IF(AND(I1264="Rename",J1264=""),"type the new name",IF(AND(L1264&lt;&gt;"",L1264&lt;&gt;"(decide)",COUNTIF($L$2:$L$1680,L1264)&gt;1),"SAME FINAL NAME AS ANOTHER ROW","")))</f>
      </c>
      <c r="N1264" s="6">
        <v>1</v>
      </c>
      <c r="O1264" s="6" t="s">
        <v>2</v>
      </c>
    </row>
    <row r="1265" spans="1:15" x14ac:dyDescent="0.25">
      <c r="A1265">
        <v>1264</v>
      </c>
      <c r="B1265" t="s">
        <v>1659</v>
      </c>
      <c r="C1265" t="s">
        <v>2</v>
      </c>
      <c r="D1265" t="s">
        <v>1681</v>
      </c>
      <c r="E1265" t="s">
        <v>292</v>
      </c>
      <c r="F1265" t="s">
        <v>2</v>
      </c>
      <c r="G1265" t="s">
        <v>38</v>
      </c>
      <c r="H1265" t="s">
        <v>39</v>
      </c>
      <c r="I1265" s="5" t="s">
        <v>294</v>
      </c>
      <c r="J1265" s="5" t="s">
        <v>2</v>
      </c>
      <c r="K1265" s="5" t="s">
        <v>2</v>
      </c>
      <c r="L1265" s="6">
        <f>IF(I1265="Cut","",IF(I1265="Your call","(decide)",IF(I1265="Rename",J1265,IF(I1265="Keep",IF(D1265="",E1265,D1265),IF(E1265="(unchanged)",D1265,E1265)))))</f>
      </c>
      <c r="M1265" s="6">
        <f>IF(AND(I1265="Cut",N1265&gt;0,K1265=""),"USED: say what replaces it (Note)",IF(AND(I1265="Rename",J1265=""),"type the new name",IF(AND(L1265&lt;&gt;"",L1265&lt;&gt;"(decide)",COUNTIF($L$2:$L$1680,L1265)&gt;1),"SAME FINAL NAME AS ANOTHER ROW","")))</f>
      </c>
      <c r="N1265" s="6">
        <v>0</v>
      </c>
      <c r="O1265" s="6" t="s">
        <v>2</v>
      </c>
    </row>
    <row r="1266" spans="1:15" x14ac:dyDescent="0.25">
      <c r="A1266">
        <v>1265</v>
      </c>
      <c r="B1266" t="s">
        <v>1659</v>
      </c>
      <c r="C1266" t="s">
        <v>2</v>
      </c>
      <c r="D1266" t="s">
        <v>1682</v>
      </c>
      <c r="E1266" t="s">
        <v>292</v>
      </c>
      <c r="F1266" t="s">
        <v>2</v>
      </c>
      <c r="G1266" t="s">
        <v>94</v>
      </c>
      <c r="H1266" t="s">
        <v>39</v>
      </c>
      <c r="I1266" s="5" t="s">
        <v>294</v>
      </c>
      <c r="J1266" s="5" t="s">
        <v>2</v>
      </c>
      <c r="K1266" s="5" t="s">
        <v>2</v>
      </c>
      <c r="L1266" s="6">
        <f>IF(I1266="Cut","",IF(I1266="Your call","(decide)",IF(I1266="Rename",J1266,IF(I1266="Keep",IF(D1266="",E1266,D1266),IF(E1266="(unchanged)",D1266,E1266)))))</f>
      </c>
      <c r="M1266" s="6">
        <f>IF(AND(I1266="Cut",N1266&gt;0,K1266=""),"USED: say what replaces it (Note)",IF(AND(I1266="Rename",J1266=""),"type the new name",IF(AND(L1266&lt;&gt;"",L1266&lt;&gt;"(decide)",COUNTIF($L$2:$L$1680,L1266)&gt;1),"SAME FINAL NAME AS ANOTHER ROW","")))</f>
      </c>
      <c r="N1266" s="6">
        <v>1</v>
      </c>
      <c r="O1266" s="6" t="s">
        <v>2</v>
      </c>
    </row>
    <row r="1267" spans="1:15" x14ac:dyDescent="0.25">
      <c r="A1267">
        <v>1266</v>
      </c>
      <c r="B1267" t="s">
        <v>1659</v>
      </c>
      <c r="C1267" t="s">
        <v>2</v>
      </c>
      <c r="D1267" t="s">
        <v>1683</v>
      </c>
      <c r="E1267" t="s">
        <v>292</v>
      </c>
      <c r="F1267" t="s">
        <v>2</v>
      </c>
      <c r="G1267" t="s">
        <v>94</v>
      </c>
      <c r="H1267" t="s">
        <v>39</v>
      </c>
      <c r="I1267" s="5" t="s">
        <v>294</v>
      </c>
      <c r="J1267" s="5" t="s">
        <v>2</v>
      </c>
      <c r="K1267" s="5" t="s">
        <v>2</v>
      </c>
      <c r="L1267" s="6">
        <f>IF(I1267="Cut","",IF(I1267="Your call","(decide)",IF(I1267="Rename",J1267,IF(I1267="Keep",IF(D1267="",E1267,D1267),IF(E1267="(unchanged)",D1267,E1267)))))</f>
      </c>
      <c r="M1267" s="6">
        <f>IF(AND(I1267="Cut",N1267&gt;0,K1267=""),"USED: say what replaces it (Note)",IF(AND(I1267="Rename",J1267=""),"type the new name",IF(AND(L1267&lt;&gt;"",L1267&lt;&gt;"(decide)",COUNTIF($L$2:$L$1680,L1267)&gt;1),"SAME FINAL NAME AS ANOTHER ROW","")))</f>
      </c>
      <c r="N1267" s="6">
        <v>1</v>
      </c>
      <c r="O1267" s="6" t="s">
        <v>2</v>
      </c>
    </row>
    <row r="1268" spans="1:15" x14ac:dyDescent="0.25">
      <c r="A1268">
        <v>1267</v>
      </c>
      <c r="B1268" t="s">
        <v>1684</v>
      </c>
      <c r="C1268" t="s">
        <v>2</v>
      </c>
      <c r="D1268" t="s">
        <v>1685</v>
      </c>
      <c r="E1268" t="s">
        <v>1686</v>
      </c>
      <c r="F1268" t="s">
        <v>1687</v>
      </c>
      <c r="G1268" t="s">
        <v>38</v>
      </c>
      <c r="H1268" t="s">
        <v>39</v>
      </c>
      <c r="I1268" s="5" t="s">
        <v>40</v>
      </c>
      <c r="J1268" s="5" t="s">
        <v>2</v>
      </c>
      <c r="K1268" s="5" t="s">
        <v>2</v>
      </c>
      <c r="L1268" s="6">
        <f>IF(I1268="Cut","",IF(I1268="Your call","(decide)",IF(I1268="Rename",J1268,IF(I1268="Keep",IF(D1268="",E1268,D1268),IF(E1268="(unchanged)",D1268,E1268)))))</f>
      </c>
      <c r="M1268" s="6">
        <f>IF(AND(I1268="Cut",N1268&gt;0,K1268=""),"USED: say what replaces it (Note)",IF(AND(I1268="Rename",J1268=""),"type the new name",IF(AND(L1268&lt;&gt;"",L1268&lt;&gt;"(decide)",COUNTIF($L$2:$L$1680,L1268)&gt;1),"SAME FINAL NAME AS ANOTHER ROW","")))</f>
      </c>
      <c r="N1268" s="6">
        <v>0</v>
      </c>
      <c r="O1268" s="6" t="s">
        <v>2</v>
      </c>
    </row>
    <row r="1269" spans="1:15" x14ac:dyDescent="0.25">
      <c r="A1269">
        <v>1268</v>
      </c>
      <c r="B1269" t="s">
        <v>1684</v>
      </c>
      <c r="C1269" t="s">
        <v>2</v>
      </c>
      <c r="D1269" t="s">
        <v>1688</v>
      </c>
      <c r="E1269" t="s">
        <v>292</v>
      </c>
      <c r="F1269" t="s">
        <v>2</v>
      </c>
      <c r="G1269" t="s">
        <v>38</v>
      </c>
      <c r="H1269" t="s">
        <v>39</v>
      </c>
      <c r="I1269" s="5" t="s">
        <v>294</v>
      </c>
      <c r="J1269" s="5" t="s">
        <v>2</v>
      </c>
      <c r="K1269" s="5" t="s">
        <v>2</v>
      </c>
      <c r="L1269" s="6">
        <f>IF(I1269="Cut","",IF(I1269="Your call","(decide)",IF(I1269="Rename",J1269,IF(I1269="Keep",IF(D1269="",E1269,D1269),IF(E1269="(unchanged)",D1269,E1269)))))</f>
      </c>
      <c r="M1269" s="6">
        <f>IF(AND(I1269="Cut",N1269&gt;0,K1269=""),"USED: say what replaces it (Note)",IF(AND(I1269="Rename",J1269=""),"type the new name",IF(AND(L1269&lt;&gt;"",L1269&lt;&gt;"(decide)",COUNTIF($L$2:$L$1680,L1269)&gt;1),"SAME FINAL NAME AS ANOTHER ROW","")))</f>
      </c>
      <c r="N1269" s="6">
        <v>0</v>
      </c>
      <c r="O1269" s="6" t="s">
        <v>2</v>
      </c>
    </row>
    <row r="1270" spans="1:15" x14ac:dyDescent="0.25">
      <c r="A1270">
        <v>1269</v>
      </c>
      <c r="B1270" t="s">
        <v>1684</v>
      </c>
      <c r="C1270" t="s">
        <v>2</v>
      </c>
      <c r="D1270" t="s">
        <v>1689</v>
      </c>
      <c r="E1270" t="s">
        <v>1690</v>
      </c>
      <c r="F1270" t="s">
        <v>1687</v>
      </c>
      <c r="G1270" t="s">
        <v>94</v>
      </c>
      <c r="H1270" t="s">
        <v>39</v>
      </c>
      <c r="I1270" s="5" t="s">
        <v>40</v>
      </c>
      <c r="J1270" s="5" t="s">
        <v>2</v>
      </c>
      <c r="K1270" s="5" t="s">
        <v>2</v>
      </c>
      <c r="L1270" s="6">
        <f>IF(I1270="Cut","",IF(I1270="Your call","(decide)",IF(I1270="Rename",J1270,IF(I1270="Keep",IF(D1270="",E1270,D1270),IF(E1270="(unchanged)",D1270,E1270)))))</f>
      </c>
      <c r="M1270" s="6">
        <f>IF(AND(I1270="Cut",N1270&gt;0,K1270=""),"USED: say what replaces it (Note)",IF(AND(I1270="Rename",J1270=""),"type the new name",IF(AND(L1270&lt;&gt;"",L1270&lt;&gt;"(decide)",COUNTIF($L$2:$L$1680,L1270)&gt;1),"SAME FINAL NAME AS ANOTHER ROW","")))</f>
      </c>
      <c r="N1270" s="6">
        <v>1</v>
      </c>
      <c r="O1270" s="6" t="s">
        <v>2</v>
      </c>
    </row>
    <row r="1271" spans="1:15" x14ac:dyDescent="0.25">
      <c r="A1271">
        <v>1270</v>
      </c>
      <c r="B1271" t="s">
        <v>1684</v>
      </c>
      <c r="C1271" t="s">
        <v>2</v>
      </c>
      <c r="D1271" t="s">
        <v>1691</v>
      </c>
      <c r="E1271" t="s">
        <v>1692</v>
      </c>
      <c r="F1271" t="s">
        <v>1687</v>
      </c>
      <c r="G1271" t="s">
        <v>58</v>
      </c>
      <c r="H1271" t="s">
        <v>39</v>
      </c>
      <c r="I1271" s="5" t="s">
        <v>40</v>
      </c>
      <c r="J1271" s="5" t="s">
        <v>2</v>
      </c>
      <c r="K1271" s="5" t="s">
        <v>2</v>
      </c>
      <c r="L1271" s="6">
        <f>IF(I1271="Cut","",IF(I1271="Your call","(decide)",IF(I1271="Rename",J1271,IF(I1271="Keep",IF(D1271="",E1271,D1271),IF(E1271="(unchanged)",D1271,E1271)))))</f>
      </c>
      <c r="M1271" s="6">
        <f>IF(AND(I1271="Cut",N1271&gt;0,K1271=""),"USED: say what replaces it (Note)",IF(AND(I1271="Rename",J1271=""),"type the new name",IF(AND(L1271&lt;&gt;"",L1271&lt;&gt;"(decide)",COUNTIF($L$2:$L$1680,L1271)&gt;1),"SAME FINAL NAME AS ANOTHER ROW","")))</f>
      </c>
      <c r="N1271" s="6">
        <v>3</v>
      </c>
      <c r="O1271" s="6" t="s">
        <v>2</v>
      </c>
    </row>
    <row r="1272" spans="1:15" x14ac:dyDescent="0.25">
      <c r="A1272">
        <v>1271</v>
      </c>
      <c r="B1272" t="s">
        <v>1684</v>
      </c>
      <c r="C1272" t="s">
        <v>2</v>
      </c>
      <c r="D1272" t="s">
        <v>1693</v>
      </c>
      <c r="E1272" t="s">
        <v>1694</v>
      </c>
      <c r="F1272" t="s">
        <v>1687</v>
      </c>
      <c r="G1272" t="s">
        <v>94</v>
      </c>
      <c r="H1272" t="s">
        <v>39</v>
      </c>
      <c r="I1272" s="5" t="s">
        <v>40</v>
      </c>
      <c r="J1272" s="5" t="s">
        <v>2</v>
      </c>
      <c r="K1272" s="5" t="s">
        <v>2</v>
      </c>
      <c r="L1272" s="6">
        <f>IF(I1272="Cut","",IF(I1272="Your call","(decide)",IF(I1272="Rename",J1272,IF(I1272="Keep",IF(D1272="",E1272,D1272),IF(E1272="(unchanged)",D1272,E1272)))))</f>
      </c>
      <c r="M1272" s="6">
        <f>IF(AND(I1272="Cut",N1272&gt;0,K1272=""),"USED: say what replaces it (Note)",IF(AND(I1272="Rename",J1272=""),"type the new name",IF(AND(L1272&lt;&gt;"",L1272&lt;&gt;"(decide)",COUNTIF($L$2:$L$1680,L1272)&gt;1),"SAME FINAL NAME AS ANOTHER ROW","")))</f>
      </c>
      <c r="N1272" s="6">
        <v>1</v>
      </c>
      <c r="O1272" s="6" t="s">
        <v>2</v>
      </c>
    </row>
    <row r="1273" spans="1:15" x14ac:dyDescent="0.25">
      <c r="A1273">
        <v>1272</v>
      </c>
      <c r="B1273" t="s">
        <v>1684</v>
      </c>
      <c r="C1273" t="s">
        <v>2</v>
      </c>
      <c r="D1273" t="s">
        <v>1695</v>
      </c>
      <c r="E1273" t="s">
        <v>1696</v>
      </c>
      <c r="F1273" t="s">
        <v>1687</v>
      </c>
      <c r="G1273" t="s">
        <v>58</v>
      </c>
      <c r="H1273" t="s">
        <v>39</v>
      </c>
      <c r="I1273" s="5" t="s">
        <v>40</v>
      </c>
      <c r="J1273" s="5" t="s">
        <v>2</v>
      </c>
      <c r="K1273" s="5" t="s">
        <v>2</v>
      </c>
      <c r="L1273" s="6">
        <f>IF(I1273="Cut","",IF(I1273="Your call","(decide)",IF(I1273="Rename",J1273,IF(I1273="Keep",IF(D1273="",E1273,D1273),IF(E1273="(unchanged)",D1273,E1273)))))</f>
      </c>
      <c r="M1273" s="6">
        <f>IF(AND(I1273="Cut",N1273&gt;0,K1273=""),"USED: say what replaces it (Note)",IF(AND(I1273="Rename",J1273=""),"type the new name",IF(AND(L1273&lt;&gt;"",L1273&lt;&gt;"(decide)",COUNTIF($L$2:$L$1680,L1273)&gt;1),"SAME FINAL NAME AS ANOTHER ROW","")))</f>
      </c>
      <c r="N1273" s="6">
        <v>3</v>
      </c>
      <c r="O1273" s="6" t="s">
        <v>2</v>
      </c>
    </row>
    <row r="1274" spans="1:15" x14ac:dyDescent="0.25">
      <c r="A1274">
        <v>1273</v>
      </c>
      <c r="B1274" t="s">
        <v>1684</v>
      </c>
      <c r="C1274" t="s">
        <v>2</v>
      </c>
      <c r="D1274" t="s">
        <v>1697</v>
      </c>
      <c r="E1274" t="s">
        <v>1698</v>
      </c>
      <c r="F1274" t="s">
        <v>1687</v>
      </c>
      <c r="G1274" t="s">
        <v>94</v>
      </c>
      <c r="H1274" t="s">
        <v>39</v>
      </c>
      <c r="I1274" s="5" t="s">
        <v>40</v>
      </c>
      <c r="J1274" s="5" t="s">
        <v>2</v>
      </c>
      <c r="K1274" s="5" t="s">
        <v>2</v>
      </c>
      <c r="L1274" s="6">
        <f>IF(I1274="Cut","",IF(I1274="Your call","(decide)",IF(I1274="Rename",J1274,IF(I1274="Keep",IF(D1274="",E1274,D1274),IF(E1274="(unchanged)",D1274,E1274)))))</f>
      </c>
      <c r="M1274" s="6">
        <f>IF(AND(I1274="Cut",N1274&gt;0,K1274=""),"USED: say what replaces it (Note)",IF(AND(I1274="Rename",J1274=""),"type the new name",IF(AND(L1274&lt;&gt;"",L1274&lt;&gt;"(decide)",COUNTIF($L$2:$L$1680,L1274)&gt;1),"SAME FINAL NAME AS ANOTHER ROW","")))</f>
      </c>
      <c r="N1274" s="6">
        <v>1</v>
      </c>
      <c r="O1274" s="6" t="s">
        <v>2</v>
      </c>
    </row>
    <row r="1275" spans="1:15" x14ac:dyDescent="0.25">
      <c r="A1275">
        <v>1274</v>
      </c>
      <c r="B1275" t="s">
        <v>1684</v>
      </c>
      <c r="C1275" t="s">
        <v>2</v>
      </c>
      <c r="D1275" t="s">
        <v>1699</v>
      </c>
      <c r="E1275" t="s">
        <v>1700</v>
      </c>
      <c r="F1275" t="s">
        <v>1687</v>
      </c>
      <c r="G1275" t="s">
        <v>38</v>
      </c>
      <c r="H1275" t="s">
        <v>39</v>
      </c>
      <c r="I1275" s="5" t="s">
        <v>40</v>
      </c>
      <c r="J1275" s="5" t="s">
        <v>2</v>
      </c>
      <c r="K1275" s="5" t="s">
        <v>2</v>
      </c>
      <c r="L1275" s="6">
        <f>IF(I1275="Cut","",IF(I1275="Your call","(decide)",IF(I1275="Rename",J1275,IF(I1275="Keep",IF(D1275="",E1275,D1275),IF(E1275="(unchanged)",D1275,E1275)))))</f>
      </c>
      <c r="M1275" s="6">
        <f>IF(AND(I1275="Cut",N1275&gt;0,K1275=""),"USED: say what replaces it (Note)",IF(AND(I1275="Rename",J1275=""),"type the new name",IF(AND(L1275&lt;&gt;"",L1275&lt;&gt;"(decide)",COUNTIF($L$2:$L$1680,L1275)&gt;1),"SAME FINAL NAME AS ANOTHER ROW","")))</f>
      </c>
      <c r="N1275" s="6">
        <v>0</v>
      </c>
      <c r="O1275" s="6" t="s">
        <v>2</v>
      </c>
    </row>
    <row r="1276" spans="1:15" x14ac:dyDescent="0.25">
      <c r="A1276">
        <v>1275</v>
      </c>
      <c r="B1276" t="s">
        <v>1684</v>
      </c>
      <c r="C1276" t="s">
        <v>2</v>
      </c>
      <c r="D1276" t="s">
        <v>1701</v>
      </c>
      <c r="E1276" t="s">
        <v>1702</v>
      </c>
      <c r="F1276" t="s">
        <v>1687</v>
      </c>
      <c r="G1276" t="s">
        <v>38</v>
      </c>
      <c r="H1276" t="s">
        <v>39</v>
      </c>
      <c r="I1276" s="5" t="s">
        <v>40</v>
      </c>
      <c r="J1276" s="5" t="s">
        <v>2</v>
      </c>
      <c r="K1276" s="5" t="s">
        <v>2</v>
      </c>
      <c r="L1276" s="6">
        <f>IF(I1276="Cut","",IF(I1276="Your call","(decide)",IF(I1276="Rename",J1276,IF(I1276="Keep",IF(D1276="",E1276,D1276),IF(E1276="(unchanged)",D1276,E1276)))))</f>
      </c>
      <c r="M1276" s="6">
        <f>IF(AND(I1276="Cut",N1276&gt;0,K1276=""),"USED: say what replaces it (Note)",IF(AND(I1276="Rename",J1276=""),"type the new name",IF(AND(L1276&lt;&gt;"",L1276&lt;&gt;"(decide)",COUNTIF($L$2:$L$1680,L1276)&gt;1),"SAME FINAL NAME AS ANOTHER ROW","")))</f>
      </c>
      <c r="N1276" s="6">
        <v>0</v>
      </c>
      <c r="O1276" s="6" t="s">
        <v>2</v>
      </c>
    </row>
    <row r="1277" spans="1:15" x14ac:dyDescent="0.25">
      <c r="A1277">
        <v>1276</v>
      </c>
      <c r="B1277" t="s">
        <v>1684</v>
      </c>
      <c r="C1277" t="s">
        <v>2</v>
      </c>
      <c r="D1277" t="s">
        <v>1703</v>
      </c>
      <c r="E1277" t="s">
        <v>1704</v>
      </c>
      <c r="F1277" t="s">
        <v>1687</v>
      </c>
      <c r="G1277" t="s">
        <v>38</v>
      </c>
      <c r="H1277" t="s">
        <v>39</v>
      </c>
      <c r="I1277" s="5" t="s">
        <v>40</v>
      </c>
      <c r="J1277" s="5" t="s">
        <v>2</v>
      </c>
      <c r="K1277" s="5" t="s">
        <v>2</v>
      </c>
      <c r="L1277" s="6">
        <f>IF(I1277="Cut","",IF(I1277="Your call","(decide)",IF(I1277="Rename",J1277,IF(I1277="Keep",IF(D1277="",E1277,D1277),IF(E1277="(unchanged)",D1277,E1277)))))</f>
      </c>
      <c r="M1277" s="6">
        <f>IF(AND(I1277="Cut",N1277&gt;0,K1277=""),"USED: say what replaces it (Note)",IF(AND(I1277="Rename",J1277=""),"type the new name",IF(AND(L1277&lt;&gt;"",L1277&lt;&gt;"(decide)",COUNTIF($L$2:$L$1680,L1277)&gt;1),"SAME FINAL NAME AS ANOTHER ROW","")))</f>
      </c>
      <c r="N1277" s="6">
        <v>0</v>
      </c>
      <c r="O1277" s="6" t="s">
        <v>2</v>
      </c>
    </row>
    <row r="1278" spans="1:15" x14ac:dyDescent="0.25">
      <c r="A1278">
        <v>1277</v>
      </c>
      <c r="B1278" t="s">
        <v>1684</v>
      </c>
      <c r="C1278" t="s">
        <v>2</v>
      </c>
      <c r="D1278" t="s">
        <v>1705</v>
      </c>
      <c r="E1278" t="s">
        <v>292</v>
      </c>
      <c r="F1278" t="s">
        <v>2</v>
      </c>
      <c r="G1278" t="s">
        <v>94</v>
      </c>
      <c r="H1278" t="s">
        <v>39</v>
      </c>
      <c r="I1278" s="5" t="s">
        <v>294</v>
      </c>
      <c r="J1278" s="5" t="s">
        <v>2</v>
      </c>
      <c r="K1278" s="5" t="s">
        <v>2</v>
      </c>
      <c r="L1278" s="6">
        <f>IF(I1278="Cut","",IF(I1278="Your call","(decide)",IF(I1278="Rename",J1278,IF(I1278="Keep",IF(D1278="",E1278,D1278),IF(E1278="(unchanged)",D1278,E1278)))))</f>
      </c>
      <c r="M1278" s="6">
        <f>IF(AND(I1278="Cut",N1278&gt;0,K1278=""),"USED: say what replaces it (Note)",IF(AND(I1278="Rename",J1278=""),"type the new name",IF(AND(L1278&lt;&gt;"",L1278&lt;&gt;"(decide)",COUNTIF($L$2:$L$1680,L1278)&gt;1),"SAME FINAL NAME AS ANOTHER ROW","")))</f>
      </c>
      <c r="N1278" s="6">
        <v>1</v>
      </c>
      <c r="O1278" s="6" t="s">
        <v>2</v>
      </c>
    </row>
    <row r="1279" spans="1:15" x14ac:dyDescent="0.25">
      <c r="A1279">
        <v>1278</v>
      </c>
      <c r="B1279" t="s">
        <v>1684</v>
      </c>
      <c r="C1279" t="s">
        <v>2</v>
      </c>
      <c r="D1279" t="s">
        <v>1706</v>
      </c>
      <c r="E1279" t="s">
        <v>292</v>
      </c>
      <c r="F1279" t="s">
        <v>2</v>
      </c>
      <c r="G1279" t="s">
        <v>38</v>
      </c>
      <c r="H1279" t="s">
        <v>39</v>
      </c>
      <c r="I1279" s="5" t="s">
        <v>294</v>
      </c>
      <c r="J1279" s="5" t="s">
        <v>2</v>
      </c>
      <c r="K1279" s="5" t="s">
        <v>2</v>
      </c>
      <c r="L1279" s="6">
        <f>IF(I1279="Cut","",IF(I1279="Your call","(decide)",IF(I1279="Rename",J1279,IF(I1279="Keep",IF(D1279="",E1279,D1279),IF(E1279="(unchanged)",D1279,E1279)))))</f>
      </c>
      <c r="M1279" s="6">
        <f>IF(AND(I1279="Cut",N1279&gt;0,K1279=""),"USED: say what replaces it (Note)",IF(AND(I1279="Rename",J1279=""),"type the new name",IF(AND(L1279&lt;&gt;"",L1279&lt;&gt;"(decide)",COUNTIF($L$2:$L$1680,L1279)&gt;1),"SAME FINAL NAME AS ANOTHER ROW","")))</f>
      </c>
      <c r="N1279" s="6">
        <v>0</v>
      </c>
      <c r="O1279" s="6" t="s">
        <v>2</v>
      </c>
    </row>
    <row r="1280" spans="1:15" x14ac:dyDescent="0.25">
      <c r="A1280">
        <v>1279</v>
      </c>
      <c r="B1280" t="s">
        <v>1684</v>
      </c>
      <c r="C1280" t="s">
        <v>2</v>
      </c>
      <c r="D1280" t="s">
        <v>1707</v>
      </c>
      <c r="E1280" t="s">
        <v>1708</v>
      </c>
      <c r="F1280" t="s">
        <v>1687</v>
      </c>
      <c r="G1280" t="s">
        <v>38</v>
      </c>
      <c r="H1280" t="s">
        <v>39</v>
      </c>
      <c r="I1280" s="5" t="s">
        <v>40</v>
      </c>
      <c r="J1280" s="5" t="s">
        <v>2</v>
      </c>
      <c r="K1280" s="5" t="s">
        <v>2</v>
      </c>
      <c r="L1280" s="6">
        <f>IF(I1280="Cut","",IF(I1280="Your call","(decide)",IF(I1280="Rename",J1280,IF(I1280="Keep",IF(D1280="",E1280,D1280),IF(E1280="(unchanged)",D1280,E1280)))))</f>
      </c>
      <c r="M1280" s="6">
        <f>IF(AND(I1280="Cut",N1280&gt;0,K1280=""),"USED: say what replaces it (Note)",IF(AND(I1280="Rename",J1280=""),"type the new name",IF(AND(L1280&lt;&gt;"",L1280&lt;&gt;"(decide)",COUNTIF($L$2:$L$1680,L1280)&gt;1),"SAME FINAL NAME AS ANOTHER ROW","")))</f>
      </c>
      <c r="N1280" s="6">
        <v>0</v>
      </c>
      <c r="O1280" s="6" t="s">
        <v>2</v>
      </c>
    </row>
    <row r="1281" spans="1:15" x14ac:dyDescent="0.25">
      <c r="A1281">
        <v>1280</v>
      </c>
      <c r="B1281" t="s">
        <v>1684</v>
      </c>
      <c r="C1281" t="s">
        <v>2</v>
      </c>
      <c r="D1281" t="s">
        <v>1709</v>
      </c>
      <c r="E1281" t="s">
        <v>292</v>
      </c>
      <c r="F1281" t="s">
        <v>2</v>
      </c>
      <c r="G1281" t="s">
        <v>38</v>
      </c>
      <c r="H1281" t="s">
        <v>39</v>
      </c>
      <c r="I1281" s="5" t="s">
        <v>294</v>
      </c>
      <c r="J1281" s="5" t="s">
        <v>2</v>
      </c>
      <c r="K1281" s="5" t="s">
        <v>2</v>
      </c>
      <c r="L1281" s="6">
        <f>IF(I1281="Cut","",IF(I1281="Your call","(decide)",IF(I1281="Rename",J1281,IF(I1281="Keep",IF(D1281="",E1281,D1281),IF(E1281="(unchanged)",D1281,E1281)))))</f>
      </c>
      <c r="M1281" s="6">
        <f>IF(AND(I1281="Cut",N1281&gt;0,K1281=""),"USED: say what replaces it (Note)",IF(AND(I1281="Rename",J1281=""),"type the new name",IF(AND(L1281&lt;&gt;"",L1281&lt;&gt;"(decide)",COUNTIF($L$2:$L$1680,L1281)&gt;1),"SAME FINAL NAME AS ANOTHER ROW","")))</f>
      </c>
      <c r="N1281" s="6">
        <v>0</v>
      </c>
      <c r="O1281" s="6" t="s">
        <v>2</v>
      </c>
    </row>
    <row r="1282" spans="1:15" x14ac:dyDescent="0.25">
      <c r="A1282">
        <v>1281</v>
      </c>
      <c r="B1282" t="s">
        <v>1684</v>
      </c>
      <c r="C1282" t="s">
        <v>2</v>
      </c>
      <c r="D1282" t="s">
        <v>1710</v>
      </c>
      <c r="E1282" t="s">
        <v>292</v>
      </c>
      <c r="F1282" t="s">
        <v>2</v>
      </c>
      <c r="G1282" t="s">
        <v>38</v>
      </c>
      <c r="H1282" t="s">
        <v>39</v>
      </c>
      <c r="I1282" s="5" t="s">
        <v>294</v>
      </c>
      <c r="J1282" s="5" t="s">
        <v>2</v>
      </c>
      <c r="K1282" s="5" t="s">
        <v>2</v>
      </c>
      <c r="L1282" s="6">
        <f>IF(I1282="Cut","",IF(I1282="Your call","(decide)",IF(I1282="Rename",J1282,IF(I1282="Keep",IF(D1282="",E1282,D1282),IF(E1282="(unchanged)",D1282,E1282)))))</f>
      </c>
      <c r="M1282" s="6">
        <f>IF(AND(I1282="Cut",N1282&gt;0,K1282=""),"USED: say what replaces it (Note)",IF(AND(I1282="Rename",J1282=""),"type the new name",IF(AND(L1282&lt;&gt;"",L1282&lt;&gt;"(decide)",COUNTIF($L$2:$L$1680,L1282)&gt;1),"SAME FINAL NAME AS ANOTHER ROW","")))</f>
      </c>
      <c r="N1282" s="6">
        <v>0</v>
      </c>
      <c r="O1282" s="6" t="s">
        <v>2</v>
      </c>
    </row>
    <row r="1283" spans="1:15" x14ac:dyDescent="0.25">
      <c r="A1283">
        <v>1282</v>
      </c>
      <c r="B1283" t="s">
        <v>1684</v>
      </c>
      <c r="C1283" t="s">
        <v>2</v>
      </c>
      <c r="D1283" t="s">
        <v>1711</v>
      </c>
      <c r="E1283" t="s">
        <v>1712</v>
      </c>
      <c r="F1283" t="s">
        <v>1687</v>
      </c>
      <c r="G1283" t="s">
        <v>58</v>
      </c>
      <c r="H1283" t="s">
        <v>39</v>
      </c>
      <c r="I1283" s="5" t="s">
        <v>40</v>
      </c>
      <c r="J1283" s="5" t="s">
        <v>2</v>
      </c>
      <c r="K1283" s="5" t="s">
        <v>2</v>
      </c>
      <c r="L1283" s="6">
        <f>IF(I1283="Cut","",IF(I1283="Your call","(decide)",IF(I1283="Rename",J1283,IF(I1283="Keep",IF(D1283="",E1283,D1283),IF(E1283="(unchanged)",D1283,E1283)))))</f>
      </c>
      <c r="M1283" s="6">
        <f>IF(AND(I1283="Cut",N1283&gt;0,K1283=""),"USED: say what replaces it (Note)",IF(AND(I1283="Rename",J1283=""),"type the new name",IF(AND(L1283&lt;&gt;"",L1283&lt;&gt;"(decide)",COUNTIF($L$2:$L$1680,L1283)&gt;1),"SAME FINAL NAME AS ANOTHER ROW","")))</f>
      </c>
      <c r="N1283" s="6">
        <v>3</v>
      </c>
      <c r="O1283" s="6" t="s">
        <v>2</v>
      </c>
    </row>
    <row r="1284" spans="1:15" x14ac:dyDescent="0.25">
      <c r="A1284">
        <v>1283</v>
      </c>
      <c r="B1284" t="s">
        <v>1684</v>
      </c>
      <c r="C1284" t="s">
        <v>2</v>
      </c>
      <c r="D1284" t="s">
        <v>1713</v>
      </c>
      <c r="E1284" t="s">
        <v>292</v>
      </c>
      <c r="F1284" t="s">
        <v>2</v>
      </c>
      <c r="G1284" t="s">
        <v>58</v>
      </c>
      <c r="H1284" t="s">
        <v>39</v>
      </c>
      <c r="I1284" s="5" t="s">
        <v>294</v>
      </c>
      <c r="J1284" s="5" t="s">
        <v>2</v>
      </c>
      <c r="K1284" s="5" t="s">
        <v>2</v>
      </c>
      <c r="L1284" s="6">
        <f>IF(I1284="Cut","",IF(I1284="Your call","(decide)",IF(I1284="Rename",J1284,IF(I1284="Keep",IF(D1284="",E1284,D1284),IF(E1284="(unchanged)",D1284,E1284)))))</f>
      </c>
      <c r="M1284" s="6">
        <f>IF(AND(I1284="Cut",N1284&gt;0,K1284=""),"USED: say what replaces it (Note)",IF(AND(I1284="Rename",J1284=""),"type the new name",IF(AND(L1284&lt;&gt;"",L1284&lt;&gt;"(decide)",COUNTIF($L$2:$L$1680,L1284)&gt;1),"SAME FINAL NAME AS ANOTHER ROW","")))</f>
      </c>
      <c r="N1284" s="6">
        <v>3</v>
      </c>
      <c r="O1284" s="6" t="s">
        <v>2</v>
      </c>
    </row>
    <row r="1285" spans="1:15" x14ac:dyDescent="0.25">
      <c r="A1285">
        <v>1284</v>
      </c>
      <c r="B1285" t="s">
        <v>1684</v>
      </c>
      <c r="C1285" t="s">
        <v>1714</v>
      </c>
      <c r="D1285" t="s">
        <v>1715</v>
      </c>
      <c r="E1285" t="s">
        <v>292</v>
      </c>
      <c r="F1285" t="s">
        <v>2</v>
      </c>
      <c r="G1285" t="s">
        <v>94</v>
      </c>
      <c r="H1285" t="s">
        <v>39</v>
      </c>
      <c r="I1285" s="5" t="s">
        <v>294</v>
      </c>
      <c r="J1285" s="5" t="s">
        <v>2</v>
      </c>
      <c r="K1285" s="5" t="s">
        <v>2</v>
      </c>
      <c r="L1285" s="6">
        <f>IF(I1285="Cut","",IF(I1285="Your call","(decide)",IF(I1285="Rename",J1285,IF(I1285="Keep",IF(D1285="",E1285,D1285),IF(E1285="(unchanged)",D1285,E1285)))))</f>
      </c>
      <c r="M1285" s="6">
        <f>IF(AND(I1285="Cut",N1285&gt;0,K1285=""),"USED: say what replaces it (Note)",IF(AND(I1285="Rename",J1285=""),"type the new name",IF(AND(L1285&lt;&gt;"",L1285&lt;&gt;"(decide)",COUNTIF($L$2:$L$1680,L1285)&gt;1),"SAME FINAL NAME AS ANOTHER ROW","")))</f>
      </c>
      <c r="N1285" s="6">
        <v>1</v>
      </c>
      <c r="O1285" s="6" t="s">
        <v>2</v>
      </c>
    </row>
    <row r="1286" spans="1:15" x14ac:dyDescent="0.25">
      <c r="A1286">
        <v>1285</v>
      </c>
      <c r="B1286" t="s">
        <v>1684</v>
      </c>
      <c r="C1286" t="s">
        <v>1714</v>
      </c>
      <c r="D1286" t="s">
        <v>1716</v>
      </c>
      <c r="E1286" t="s">
        <v>292</v>
      </c>
      <c r="F1286" t="s">
        <v>2</v>
      </c>
      <c r="G1286" t="s">
        <v>38</v>
      </c>
      <c r="H1286" t="s">
        <v>39</v>
      </c>
      <c r="I1286" s="5" t="s">
        <v>294</v>
      </c>
      <c r="J1286" s="5" t="s">
        <v>2</v>
      </c>
      <c r="K1286" s="5" t="s">
        <v>2</v>
      </c>
      <c r="L1286" s="6">
        <f>IF(I1286="Cut","",IF(I1286="Your call","(decide)",IF(I1286="Rename",J1286,IF(I1286="Keep",IF(D1286="",E1286,D1286),IF(E1286="(unchanged)",D1286,E1286)))))</f>
      </c>
      <c r="M1286" s="6">
        <f>IF(AND(I1286="Cut",N1286&gt;0,K1286=""),"USED: say what replaces it (Note)",IF(AND(I1286="Rename",J1286=""),"type the new name",IF(AND(L1286&lt;&gt;"",L1286&lt;&gt;"(decide)",COUNTIF($L$2:$L$1680,L1286)&gt;1),"SAME FINAL NAME AS ANOTHER ROW","")))</f>
      </c>
      <c r="N1286" s="6">
        <v>0</v>
      </c>
      <c r="O1286" s="6" t="s">
        <v>2</v>
      </c>
    </row>
    <row r="1287" spans="1:15" x14ac:dyDescent="0.25">
      <c r="A1287">
        <v>1286</v>
      </c>
      <c r="B1287" t="s">
        <v>1684</v>
      </c>
      <c r="C1287" t="s">
        <v>2</v>
      </c>
      <c r="D1287" t="s">
        <v>1717</v>
      </c>
      <c r="E1287" t="s">
        <v>292</v>
      </c>
      <c r="F1287" t="s">
        <v>2</v>
      </c>
      <c r="G1287" t="s">
        <v>94</v>
      </c>
      <c r="H1287" t="s">
        <v>39</v>
      </c>
      <c r="I1287" s="5" t="s">
        <v>294</v>
      </c>
      <c r="J1287" s="5" t="s">
        <v>2</v>
      </c>
      <c r="K1287" s="5" t="s">
        <v>2</v>
      </c>
      <c r="L1287" s="6">
        <f>IF(I1287="Cut","",IF(I1287="Your call","(decide)",IF(I1287="Rename",J1287,IF(I1287="Keep",IF(D1287="",E1287,D1287),IF(E1287="(unchanged)",D1287,E1287)))))</f>
      </c>
      <c r="M1287" s="6">
        <f>IF(AND(I1287="Cut",N1287&gt;0,K1287=""),"USED: say what replaces it (Note)",IF(AND(I1287="Rename",J1287=""),"type the new name",IF(AND(L1287&lt;&gt;"",L1287&lt;&gt;"(decide)",COUNTIF($L$2:$L$1680,L1287)&gt;1),"SAME FINAL NAME AS ANOTHER ROW","")))</f>
      </c>
      <c r="N1287" s="6">
        <v>1</v>
      </c>
      <c r="O1287" s="6" t="s">
        <v>2</v>
      </c>
    </row>
    <row r="1288" spans="1:15" x14ac:dyDescent="0.25">
      <c r="A1288">
        <v>1287</v>
      </c>
      <c r="B1288" t="s">
        <v>1684</v>
      </c>
      <c r="C1288" t="s">
        <v>2</v>
      </c>
      <c r="D1288" t="s">
        <v>1718</v>
      </c>
      <c r="E1288" t="s">
        <v>292</v>
      </c>
      <c r="F1288" t="s">
        <v>2</v>
      </c>
      <c r="G1288" t="s">
        <v>94</v>
      </c>
      <c r="H1288" t="s">
        <v>39</v>
      </c>
      <c r="I1288" s="5" t="s">
        <v>294</v>
      </c>
      <c r="J1288" s="5" t="s">
        <v>2</v>
      </c>
      <c r="K1288" s="5" t="s">
        <v>2</v>
      </c>
      <c r="L1288" s="6">
        <f>IF(I1288="Cut","",IF(I1288="Your call","(decide)",IF(I1288="Rename",J1288,IF(I1288="Keep",IF(D1288="",E1288,D1288),IF(E1288="(unchanged)",D1288,E1288)))))</f>
      </c>
      <c r="M1288" s="6">
        <f>IF(AND(I1288="Cut",N1288&gt;0,K1288=""),"USED: say what replaces it (Note)",IF(AND(I1288="Rename",J1288=""),"type the new name",IF(AND(L1288&lt;&gt;"",L1288&lt;&gt;"(decide)",COUNTIF($L$2:$L$1680,L1288)&gt;1),"SAME FINAL NAME AS ANOTHER ROW","")))</f>
      </c>
      <c r="N1288" s="6">
        <v>1</v>
      </c>
      <c r="O1288" s="6" t="s">
        <v>2</v>
      </c>
    </row>
    <row r="1289" spans="1:15" x14ac:dyDescent="0.25">
      <c r="A1289">
        <v>1288</v>
      </c>
      <c r="B1289" t="s">
        <v>1684</v>
      </c>
      <c r="C1289" t="s">
        <v>2</v>
      </c>
      <c r="D1289" t="s">
        <v>1719</v>
      </c>
      <c r="E1289" t="s">
        <v>1720</v>
      </c>
      <c r="F1289" t="s">
        <v>1687</v>
      </c>
      <c r="G1289" t="s">
        <v>38</v>
      </c>
      <c r="H1289" t="s">
        <v>39</v>
      </c>
      <c r="I1289" s="5" t="s">
        <v>40</v>
      </c>
      <c r="J1289" s="5" t="s">
        <v>2</v>
      </c>
      <c r="K1289" s="5" t="s">
        <v>2</v>
      </c>
      <c r="L1289" s="6">
        <f>IF(I1289="Cut","",IF(I1289="Your call","(decide)",IF(I1289="Rename",J1289,IF(I1289="Keep",IF(D1289="",E1289,D1289),IF(E1289="(unchanged)",D1289,E1289)))))</f>
      </c>
      <c r="M1289" s="6">
        <f>IF(AND(I1289="Cut",N1289&gt;0,K1289=""),"USED: say what replaces it (Note)",IF(AND(I1289="Rename",J1289=""),"type the new name",IF(AND(L1289&lt;&gt;"",L1289&lt;&gt;"(decide)",COUNTIF($L$2:$L$1680,L1289)&gt;1),"SAME FINAL NAME AS ANOTHER ROW","")))</f>
      </c>
      <c r="N1289" s="6">
        <v>0</v>
      </c>
      <c r="O1289" s="6" t="s">
        <v>2</v>
      </c>
    </row>
    <row r="1290" spans="1:15" x14ac:dyDescent="0.25">
      <c r="A1290">
        <v>1289</v>
      </c>
      <c r="B1290" t="s">
        <v>1684</v>
      </c>
      <c r="C1290" t="s">
        <v>2</v>
      </c>
      <c r="D1290" t="s">
        <v>1721</v>
      </c>
      <c r="E1290" t="s">
        <v>1722</v>
      </c>
      <c r="F1290" t="s">
        <v>1687</v>
      </c>
      <c r="G1290" t="s">
        <v>38</v>
      </c>
      <c r="H1290" t="s">
        <v>39</v>
      </c>
      <c r="I1290" s="5" t="s">
        <v>40</v>
      </c>
      <c r="J1290" s="5" t="s">
        <v>2</v>
      </c>
      <c r="K1290" s="5" t="s">
        <v>2</v>
      </c>
      <c r="L1290" s="6">
        <f>IF(I1290="Cut","",IF(I1290="Your call","(decide)",IF(I1290="Rename",J1290,IF(I1290="Keep",IF(D1290="",E1290,D1290),IF(E1290="(unchanged)",D1290,E1290)))))</f>
      </c>
      <c r="M1290" s="6">
        <f>IF(AND(I1290="Cut",N1290&gt;0,K1290=""),"USED: say what replaces it (Note)",IF(AND(I1290="Rename",J1290=""),"type the new name",IF(AND(L1290&lt;&gt;"",L1290&lt;&gt;"(decide)",COUNTIF($L$2:$L$1680,L1290)&gt;1),"SAME FINAL NAME AS ANOTHER ROW","")))</f>
      </c>
      <c r="N1290" s="6">
        <v>0</v>
      </c>
      <c r="O1290" s="6" t="s">
        <v>2</v>
      </c>
    </row>
    <row r="1291" spans="1:15" x14ac:dyDescent="0.25">
      <c r="A1291">
        <v>1290</v>
      </c>
      <c r="B1291" t="s">
        <v>1684</v>
      </c>
      <c r="C1291" t="s">
        <v>2</v>
      </c>
      <c r="D1291" t="s">
        <v>1723</v>
      </c>
      <c r="E1291" t="s">
        <v>292</v>
      </c>
      <c r="F1291" t="s">
        <v>2</v>
      </c>
      <c r="G1291" t="s">
        <v>38</v>
      </c>
      <c r="H1291" t="s">
        <v>39</v>
      </c>
      <c r="I1291" s="5" t="s">
        <v>294</v>
      </c>
      <c r="J1291" s="5" t="s">
        <v>2</v>
      </c>
      <c r="K1291" s="5" t="s">
        <v>2</v>
      </c>
      <c r="L1291" s="6">
        <f>IF(I1291="Cut","",IF(I1291="Your call","(decide)",IF(I1291="Rename",J1291,IF(I1291="Keep",IF(D1291="",E1291,D1291),IF(E1291="(unchanged)",D1291,E1291)))))</f>
      </c>
      <c r="M1291" s="6">
        <f>IF(AND(I1291="Cut",N1291&gt;0,K1291=""),"USED: say what replaces it (Note)",IF(AND(I1291="Rename",J1291=""),"type the new name",IF(AND(L1291&lt;&gt;"",L1291&lt;&gt;"(decide)",COUNTIF($L$2:$L$1680,L1291)&gt;1),"SAME FINAL NAME AS ANOTHER ROW","")))</f>
      </c>
      <c r="N1291" s="6">
        <v>0</v>
      </c>
      <c r="O1291" s="6" t="s">
        <v>2</v>
      </c>
    </row>
    <row r="1292" spans="1:15" x14ac:dyDescent="0.25">
      <c r="A1292">
        <v>1291</v>
      </c>
      <c r="B1292" t="s">
        <v>1684</v>
      </c>
      <c r="C1292" t="s">
        <v>2</v>
      </c>
      <c r="D1292" t="s">
        <v>1724</v>
      </c>
      <c r="E1292" t="s">
        <v>292</v>
      </c>
      <c r="F1292" t="s">
        <v>2</v>
      </c>
      <c r="G1292" t="s">
        <v>38</v>
      </c>
      <c r="H1292" t="s">
        <v>39</v>
      </c>
      <c r="I1292" s="5" t="s">
        <v>294</v>
      </c>
      <c r="J1292" s="5" t="s">
        <v>2</v>
      </c>
      <c r="K1292" s="5" t="s">
        <v>2</v>
      </c>
      <c r="L1292" s="6">
        <f>IF(I1292="Cut","",IF(I1292="Your call","(decide)",IF(I1292="Rename",J1292,IF(I1292="Keep",IF(D1292="",E1292,D1292),IF(E1292="(unchanged)",D1292,E1292)))))</f>
      </c>
      <c r="M1292" s="6">
        <f>IF(AND(I1292="Cut",N1292&gt;0,K1292=""),"USED: say what replaces it (Note)",IF(AND(I1292="Rename",J1292=""),"type the new name",IF(AND(L1292&lt;&gt;"",L1292&lt;&gt;"(decide)",COUNTIF($L$2:$L$1680,L1292)&gt;1),"SAME FINAL NAME AS ANOTHER ROW","")))</f>
      </c>
      <c r="N1292" s="6">
        <v>0</v>
      </c>
      <c r="O1292" s="6" t="s">
        <v>2</v>
      </c>
    </row>
    <row r="1293" spans="1:15" x14ac:dyDescent="0.25">
      <c r="A1293">
        <v>1292</v>
      </c>
      <c r="B1293" t="s">
        <v>1684</v>
      </c>
      <c r="C1293" t="s">
        <v>2</v>
      </c>
      <c r="D1293" t="s">
        <v>1725</v>
      </c>
      <c r="E1293" t="s">
        <v>292</v>
      </c>
      <c r="F1293" t="s">
        <v>2</v>
      </c>
      <c r="G1293" t="s">
        <v>38</v>
      </c>
      <c r="H1293" t="s">
        <v>39</v>
      </c>
      <c r="I1293" s="5" t="s">
        <v>294</v>
      </c>
      <c r="J1293" s="5" t="s">
        <v>2</v>
      </c>
      <c r="K1293" s="5" t="s">
        <v>2</v>
      </c>
      <c r="L1293" s="6">
        <f>IF(I1293="Cut","",IF(I1293="Your call","(decide)",IF(I1293="Rename",J1293,IF(I1293="Keep",IF(D1293="",E1293,D1293),IF(E1293="(unchanged)",D1293,E1293)))))</f>
      </c>
      <c r="M1293" s="6">
        <f>IF(AND(I1293="Cut",N1293&gt;0,K1293=""),"USED: say what replaces it (Note)",IF(AND(I1293="Rename",J1293=""),"type the new name",IF(AND(L1293&lt;&gt;"",L1293&lt;&gt;"(decide)",COUNTIF($L$2:$L$1680,L1293)&gt;1),"SAME FINAL NAME AS ANOTHER ROW","")))</f>
      </c>
      <c r="N1293" s="6">
        <v>0</v>
      </c>
      <c r="O1293" s="6" t="s">
        <v>2</v>
      </c>
    </row>
    <row r="1294" spans="1:15" x14ac:dyDescent="0.25">
      <c r="A1294">
        <v>1293</v>
      </c>
      <c r="B1294" t="s">
        <v>1684</v>
      </c>
      <c r="C1294" t="s">
        <v>2</v>
      </c>
      <c r="D1294" t="s">
        <v>1726</v>
      </c>
      <c r="E1294" t="s">
        <v>292</v>
      </c>
      <c r="F1294" t="s">
        <v>2</v>
      </c>
      <c r="G1294" t="s">
        <v>94</v>
      </c>
      <c r="H1294" t="s">
        <v>39</v>
      </c>
      <c r="I1294" s="5" t="s">
        <v>294</v>
      </c>
      <c r="J1294" s="5" t="s">
        <v>2</v>
      </c>
      <c r="K1294" s="5" t="s">
        <v>2</v>
      </c>
      <c r="L1294" s="6">
        <f>IF(I1294="Cut","",IF(I1294="Your call","(decide)",IF(I1294="Rename",J1294,IF(I1294="Keep",IF(D1294="",E1294,D1294),IF(E1294="(unchanged)",D1294,E1294)))))</f>
      </c>
      <c r="M1294" s="6">
        <f>IF(AND(I1294="Cut",N1294&gt;0,K1294=""),"USED: say what replaces it (Note)",IF(AND(I1294="Rename",J1294=""),"type the new name",IF(AND(L1294&lt;&gt;"",L1294&lt;&gt;"(decide)",COUNTIF($L$2:$L$1680,L1294)&gt;1),"SAME FINAL NAME AS ANOTHER ROW","")))</f>
      </c>
      <c r="N1294" s="6">
        <v>1</v>
      </c>
      <c r="O1294" s="6" t="s">
        <v>2</v>
      </c>
    </row>
    <row r="1295" spans="1:15" x14ac:dyDescent="0.25">
      <c r="A1295">
        <v>1294</v>
      </c>
      <c r="B1295" t="s">
        <v>1684</v>
      </c>
      <c r="C1295" t="s">
        <v>2</v>
      </c>
      <c r="D1295" t="s">
        <v>1727</v>
      </c>
      <c r="E1295" t="s">
        <v>292</v>
      </c>
      <c r="F1295" t="s">
        <v>2</v>
      </c>
      <c r="G1295" t="s">
        <v>38</v>
      </c>
      <c r="H1295" t="s">
        <v>39</v>
      </c>
      <c r="I1295" s="5" t="s">
        <v>294</v>
      </c>
      <c r="J1295" s="5" t="s">
        <v>2</v>
      </c>
      <c r="K1295" s="5" t="s">
        <v>2</v>
      </c>
      <c r="L1295" s="6">
        <f>IF(I1295="Cut","",IF(I1295="Your call","(decide)",IF(I1295="Rename",J1295,IF(I1295="Keep",IF(D1295="",E1295,D1295),IF(E1295="(unchanged)",D1295,E1295)))))</f>
      </c>
      <c r="M1295" s="6">
        <f>IF(AND(I1295="Cut",N1295&gt;0,K1295=""),"USED: say what replaces it (Note)",IF(AND(I1295="Rename",J1295=""),"type the new name",IF(AND(L1295&lt;&gt;"",L1295&lt;&gt;"(decide)",COUNTIF($L$2:$L$1680,L1295)&gt;1),"SAME FINAL NAME AS ANOTHER ROW","")))</f>
      </c>
      <c r="N1295" s="6">
        <v>0</v>
      </c>
      <c r="O1295" s="6" t="s">
        <v>2</v>
      </c>
    </row>
    <row r="1296" spans="1:15" x14ac:dyDescent="0.25">
      <c r="A1296">
        <v>1295</v>
      </c>
      <c r="B1296" t="s">
        <v>1684</v>
      </c>
      <c r="C1296" t="s">
        <v>2</v>
      </c>
      <c r="D1296" t="s">
        <v>1728</v>
      </c>
      <c r="E1296" t="s">
        <v>292</v>
      </c>
      <c r="F1296" t="s">
        <v>2</v>
      </c>
      <c r="G1296" t="s">
        <v>38</v>
      </c>
      <c r="H1296" t="s">
        <v>39</v>
      </c>
      <c r="I1296" s="5" t="s">
        <v>294</v>
      </c>
      <c r="J1296" s="5" t="s">
        <v>2</v>
      </c>
      <c r="K1296" s="5" t="s">
        <v>2</v>
      </c>
      <c r="L1296" s="6">
        <f>IF(I1296="Cut","",IF(I1296="Your call","(decide)",IF(I1296="Rename",J1296,IF(I1296="Keep",IF(D1296="",E1296,D1296),IF(E1296="(unchanged)",D1296,E1296)))))</f>
      </c>
      <c r="M1296" s="6">
        <f>IF(AND(I1296="Cut",N1296&gt;0,K1296=""),"USED: say what replaces it (Note)",IF(AND(I1296="Rename",J1296=""),"type the new name",IF(AND(L1296&lt;&gt;"",L1296&lt;&gt;"(decide)",COUNTIF($L$2:$L$1680,L1296)&gt;1),"SAME FINAL NAME AS ANOTHER ROW","")))</f>
      </c>
      <c r="N1296" s="6">
        <v>0</v>
      </c>
      <c r="O1296" s="6" t="s">
        <v>2</v>
      </c>
    </row>
    <row r="1297" spans="1:15" x14ac:dyDescent="0.25">
      <c r="A1297">
        <v>1296</v>
      </c>
      <c r="B1297" t="s">
        <v>1684</v>
      </c>
      <c r="C1297" t="s">
        <v>2</v>
      </c>
      <c r="D1297" t="s">
        <v>1729</v>
      </c>
      <c r="E1297" t="s">
        <v>292</v>
      </c>
      <c r="F1297" t="s">
        <v>2</v>
      </c>
      <c r="G1297" t="s">
        <v>94</v>
      </c>
      <c r="H1297" t="s">
        <v>39</v>
      </c>
      <c r="I1297" s="5" t="s">
        <v>294</v>
      </c>
      <c r="J1297" s="5" t="s">
        <v>2</v>
      </c>
      <c r="K1297" s="5" t="s">
        <v>2</v>
      </c>
      <c r="L1297" s="6">
        <f>IF(I1297="Cut","",IF(I1297="Your call","(decide)",IF(I1297="Rename",J1297,IF(I1297="Keep",IF(D1297="",E1297,D1297),IF(E1297="(unchanged)",D1297,E1297)))))</f>
      </c>
      <c r="M1297" s="6">
        <f>IF(AND(I1297="Cut",N1297&gt;0,K1297=""),"USED: say what replaces it (Note)",IF(AND(I1297="Rename",J1297=""),"type the new name",IF(AND(L1297&lt;&gt;"",L1297&lt;&gt;"(decide)",COUNTIF($L$2:$L$1680,L1297)&gt;1),"SAME FINAL NAME AS ANOTHER ROW","")))</f>
      </c>
      <c r="N1297" s="6">
        <v>1</v>
      </c>
      <c r="O1297" s="6" t="s">
        <v>2</v>
      </c>
    </row>
    <row r="1298" spans="1:15" x14ac:dyDescent="0.25">
      <c r="A1298">
        <v>1297</v>
      </c>
      <c r="B1298" t="s">
        <v>1684</v>
      </c>
      <c r="C1298" t="s">
        <v>2</v>
      </c>
      <c r="D1298" t="s">
        <v>1730</v>
      </c>
      <c r="E1298" t="s">
        <v>292</v>
      </c>
      <c r="F1298" t="s">
        <v>2</v>
      </c>
      <c r="G1298" t="s">
        <v>38</v>
      </c>
      <c r="H1298" t="s">
        <v>39</v>
      </c>
      <c r="I1298" s="5" t="s">
        <v>294</v>
      </c>
      <c r="J1298" s="5" t="s">
        <v>2</v>
      </c>
      <c r="K1298" s="5" t="s">
        <v>2</v>
      </c>
      <c r="L1298" s="6">
        <f>IF(I1298="Cut","",IF(I1298="Your call","(decide)",IF(I1298="Rename",J1298,IF(I1298="Keep",IF(D1298="",E1298,D1298),IF(E1298="(unchanged)",D1298,E1298)))))</f>
      </c>
      <c r="M1298" s="6">
        <f>IF(AND(I1298="Cut",N1298&gt;0,K1298=""),"USED: say what replaces it (Note)",IF(AND(I1298="Rename",J1298=""),"type the new name",IF(AND(L1298&lt;&gt;"",L1298&lt;&gt;"(decide)",COUNTIF($L$2:$L$1680,L1298)&gt;1),"SAME FINAL NAME AS ANOTHER ROW","")))</f>
      </c>
      <c r="N1298" s="6">
        <v>0</v>
      </c>
      <c r="O1298" s="6" t="s">
        <v>2</v>
      </c>
    </row>
    <row r="1299" spans="1:15" x14ac:dyDescent="0.25">
      <c r="A1299">
        <v>1298</v>
      </c>
      <c r="B1299" t="s">
        <v>1684</v>
      </c>
      <c r="C1299" t="s">
        <v>2</v>
      </c>
      <c r="D1299" t="s">
        <v>1731</v>
      </c>
      <c r="E1299" t="s">
        <v>292</v>
      </c>
      <c r="F1299" t="s">
        <v>2</v>
      </c>
      <c r="G1299" t="s">
        <v>94</v>
      </c>
      <c r="H1299" t="s">
        <v>39</v>
      </c>
      <c r="I1299" s="5" t="s">
        <v>294</v>
      </c>
      <c r="J1299" s="5" t="s">
        <v>2</v>
      </c>
      <c r="K1299" s="5" t="s">
        <v>2</v>
      </c>
      <c r="L1299" s="6">
        <f>IF(I1299="Cut","",IF(I1299="Your call","(decide)",IF(I1299="Rename",J1299,IF(I1299="Keep",IF(D1299="",E1299,D1299),IF(E1299="(unchanged)",D1299,E1299)))))</f>
      </c>
      <c r="M1299" s="6">
        <f>IF(AND(I1299="Cut",N1299&gt;0,K1299=""),"USED: say what replaces it (Note)",IF(AND(I1299="Rename",J1299=""),"type the new name",IF(AND(L1299&lt;&gt;"",L1299&lt;&gt;"(decide)",COUNTIF($L$2:$L$1680,L1299)&gt;1),"SAME FINAL NAME AS ANOTHER ROW","")))</f>
      </c>
      <c r="N1299" s="6">
        <v>1</v>
      </c>
      <c r="O1299" s="6" t="s">
        <v>2</v>
      </c>
    </row>
    <row r="1300" spans="1:15" x14ac:dyDescent="0.25">
      <c r="A1300">
        <v>1299</v>
      </c>
      <c r="B1300" t="s">
        <v>1684</v>
      </c>
      <c r="C1300" t="s">
        <v>2</v>
      </c>
      <c r="D1300" t="s">
        <v>1732</v>
      </c>
      <c r="E1300" t="s">
        <v>292</v>
      </c>
      <c r="F1300" t="s">
        <v>2</v>
      </c>
      <c r="G1300" t="s">
        <v>94</v>
      </c>
      <c r="H1300" t="s">
        <v>39</v>
      </c>
      <c r="I1300" s="5" t="s">
        <v>294</v>
      </c>
      <c r="J1300" s="5" t="s">
        <v>2</v>
      </c>
      <c r="K1300" s="5" t="s">
        <v>2</v>
      </c>
      <c r="L1300" s="6">
        <f>IF(I1300="Cut","",IF(I1300="Your call","(decide)",IF(I1300="Rename",J1300,IF(I1300="Keep",IF(D1300="",E1300,D1300),IF(E1300="(unchanged)",D1300,E1300)))))</f>
      </c>
      <c r="M1300" s="6">
        <f>IF(AND(I1300="Cut",N1300&gt;0,K1300=""),"USED: say what replaces it (Note)",IF(AND(I1300="Rename",J1300=""),"type the new name",IF(AND(L1300&lt;&gt;"",L1300&lt;&gt;"(decide)",COUNTIF($L$2:$L$1680,L1300)&gt;1),"SAME FINAL NAME AS ANOTHER ROW","")))</f>
      </c>
      <c r="N1300" s="6">
        <v>1</v>
      </c>
      <c r="O1300" s="6" t="s">
        <v>2</v>
      </c>
    </row>
    <row r="1301" spans="1:15" x14ac:dyDescent="0.25">
      <c r="A1301">
        <v>1300</v>
      </c>
      <c r="B1301" t="s">
        <v>1684</v>
      </c>
      <c r="C1301" t="s">
        <v>2</v>
      </c>
      <c r="D1301" t="s">
        <v>1733</v>
      </c>
      <c r="E1301" t="s">
        <v>292</v>
      </c>
      <c r="F1301" t="s">
        <v>2</v>
      </c>
      <c r="G1301" t="s">
        <v>38</v>
      </c>
      <c r="H1301" t="s">
        <v>39</v>
      </c>
      <c r="I1301" s="5" t="s">
        <v>294</v>
      </c>
      <c r="J1301" s="5" t="s">
        <v>2</v>
      </c>
      <c r="K1301" s="5" t="s">
        <v>2</v>
      </c>
      <c r="L1301" s="6">
        <f>IF(I1301="Cut","",IF(I1301="Your call","(decide)",IF(I1301="Rename",J1301,IF(I1301="Keep",IF(D1301="",E1301,D1301),IF(E1301="(unchanged)",D1301,E1301)))))</f>
      </c>
      <c r="M1301" s="6">
        <f>IF(AND(I1301="Cut",N1301&gt;0,K1301=""),"USED: say what replaces it (Note)",IF(AND(I1301="Rename",J1301=""),"type the new name",IF(AND(L1301&lt;&gt;"",L1301&lt;&gt;"(decide)",COUNTIF($L$2:$L$1680,L1301)&gt;1),"SAME FINAL NAME AS ANOTHER ROW","")))</f>
      </c>
      <c r="N1301" s="6">
        <v>0</v>
      </c>
      <c r="O1301" s="6" t="s">
        <v>2</v>
      </c>
    </row>
    <row r="1302" spans="1:15" x14ac:dyDescent="0.25">
      <c r="A1302">
        <v>1301</v>
      </c>
      <c r="B1302" t="s">
        <v>1684</v>
      </c>
      <c r="C1302" t="s">
        <v>2</v>
      </c>
      <c r="D1302" t="s">
        <v>1734</v>
      </c>
      <c r="E1302" t="s">
        <v>292</v>
      </c>
      <c r="F1302" t="s">
        <v>2</v>
      </c>
      <c r="G1302" t="s">
        <v>38</v>
      </c>
      <c r="H1302" t="s">
        <v>39</v>
      </c>
      <c r="I1302" s="5" t="s">
        <v>294</v>
      </c>
      <c r="J1302" s="5" t="s">
        <v>2</v>
      </c>
      <c r="K1302" s="5" t="s">
        <v>2</v>
      </c>
      <c r="L1302" s="6">
        <f>IF(I1302="Cut","",IF(I1302="Your call","(decide)",IF(I1302="Rename",J1302,IF(I1302="Keep",IF(D1302="",E1302,D1302),IF(E1302="(unchanged)",D1302,E1302)))))</f>
      </c>
      <c r="M1302" s="6">
        <f>IF(AND(I1302="Cut",N1302&gt;0,K1302=""),"USED: say what replaces it (Note)",IF(AND(I1302="Rename",J1302=""),"type the new name",IF(AND(L1302&lt;&gt;"",L1302&lt;&gt;"(decide)",COUNTIF($L$2:$L$1680,L1302)&gt;1),"SAME FINAL NAME AS ANOTHER ROW","")))</f>
      </c>
      <c r="N1302" s="6">
        <v>0</v>
      </c>
      <c r="O1302" s="6" t="s">
        <v>2</v>
      </c>
    </row>
    <row r="1303" spans="1:15" x14ac:dyDescent="0.25">
      <c r="A1303">
        <v>1302</v>
      </c>
      <c r="B1303" t="s">
        <v>1684</v>
      </c>
      <c r="C1303" t="s">
        <v>2</v>
      </c>
      <c r="D1303" t="s">
        <v>1735</v>
      </c>
      <c r="E1303" t="s">
        <v>292</v>
      </c>
      <c r="F1303" t="s">
        <v>2</v>
      </c>
      <c r="G1303" t="s">
        <v>38</v>
      </c>
      <c r="H1303" t="s">
        <v>39</v>
      </c>
      <c r="I1303" s="5" t="s">
        <v>294</v>
      </c>
      <c r="J1303" s="5" t="s">
        <v>2</v>
      </c>
      <c r="K1303" s="5" t="s">
        <v>2</v>
      </c>
      <c r="L1303" s="6">
        <f>IF(I1303="Cut","",IF(I1303="Your call","(decide)",IF(I1303="Rename",J1303,IF(I1303="Keep",IF(D1303="",E1303,D1303),IF(E1303="(unchanged)",D1303,E1303)))))</f>
      </c>
      <c r="M1303" s="6">
        <f>IF(AND(I1303="Cut",N1303&gt;0,K1303=""),"USED: say what replaces it (Note)",IF(AND(I1303="Rename",J1303=""),"type the new name",IF(AND(L1303&lt;&gt;"",L1303&lt;&gt;"(decide)",COUNTIF($L$2:$L$1680,L1303)&gt;1),"SAME FINAL NAME AS ANOTHER ROW","")))</f>
      </c>
      <c r="N1303" s="6">
        <v>0</v>
      </c>
      <c r="O1303" s="6" t="s">
        <v>2</v>
      </c>
    </row>
    <row r="1304" spans="1:15" x14ac:dyDescent="0.25">
      <c r="A1304">
        <v>1303</v>
      </c>
      <c r="B1304" t="s">
        <v>1684</v>
      </c>
      <c r="C1304" t="s">
        <v>2</v>
      </c>
      <c r="D1304" t="s">
        <v>1736</v>
      </c>
      <c r="E1304" t="s">
        <v>292</v>
      </c>
      <c r="F1304" t="s">
        <v>2</v>
      </c>
      <c r="G1304" t="s">
        <v>38</v>
      </c>
      <c r="H1304" t="s">
        <v>39</v>
      </c>
      <c r="I1304" s="5" t="s">
        <v>294</v>
      </c>
      <c r="J1304" s="5" t="s">
        <v>2</v>
      </c>
      <c r="K1304" s="5" t="s">
        <v>2</v>
      </c>
      <c r="L1304" s="6">
        <f>IF(I1304="Cut","",IF(I1304="Your call","(decide)",IF(I1304="Rename",J1304,IF(I1304="Keep",IF(D1304="",E1304,D1304),IF(E1304="(unchanged)",D1304,E1304)))))</f>
      </c>
      <c r="M1304" s="6">
        <f>IF(AND(I1304="Cut",N1304&gt;0,K1304=""),"USED: say what replaces it (Note)",IF(AND(I1304="Rename",J1304=""),"type the new name",IF(AND(L1304&lt;&gt;"",L1304&lt;&gt;"(decide)",COUNTIF($L$2:$L$1680,L1304)&gt;1),"SAME FINAL NAME AS ANOTHER ROW","")))</f>
      </c>
      <c r="N1304" s="6">
        <v>0</v>
      </c>
      <c r="O1304" s="6" t="s">
        <v>2</v>
      </c>
    </row>
    <row r="1305" spans="1:15" x14ac:dyDescent="0.25">
      <c r="A1305">
        <v>1304</v>
      </c>
      <c r="B1305" t="s">
        <v>1684</v>
      </c>
      <c r="C1305" t="s">
        <v>2</v>
      </c>
      <c r="D1305" t="s">
        <v>1737</v>
      </c>
      <c r="E1305" t="s">
        <v>292</v>
      </c>
      <c r="F1305" t="s">
        <v>2</v>
      </c>
      <c r="G1305" t="s">
        <v>38</v>
      </c>
      <c r="H1305" t="s">
        <v>39</v>
      </c>
      <c r="I1305" s="5" t="s">
        <v>294</v>
      </c>
      <c r="J1305" s="5" t="s">
        <v>2</v>
      </c>
      <c r="K1305" s="5" t="s">
        <v>2</v>
      </c>
      <c r="L1305" s="6">
        <f>IF(I1305="Cut","",IF(I1305="Your call","(decide)",IF(I1305="Rename",J1305,IF(I1305="Keep",IF(D1305="",E1305,D1305),IF(E1305="(unchanged)",D1305,E1305)))))</f>
      </c>
      <c r="M1305" s="6">
        <f>IF(AND(I1305="Cut",N1305&gt;0,K1305=""),"USED: say what replaces it (Note)",IF(AND(I1305="Rename",J1305=""),"type the new name",IF(AND(L1305&lt;&gt;"",L1305&lt;&gt;"(decide)",COUNTIF($L$2:$L$1680,L1305)&gt;1),"SAME FINAL NAME AS ANOTHER ROW","")))</f>
      </c>
      <c r="N1305" s="6">
        <v>0</v>
      </c>
      <c r="O1305" s="6" t="s">
        <v>2</v>
      </c>
    </row>
    <row r="1306" spans="1:15" x14ac:dyDescent="0.25">
      <c r="A1306">
        <v>1305</v>
      </c>
      <c r="B1306" t="s">
        <v>1684</v>
      </c>
      <c r="C1306" t="s">
        <v>2</v>
      </c>
      <c r="D1306" t="s">
        <v>1738</v>
      </c>
      <c r="E1306" t="s">
        <v>292</v>
      </c>
      <c r="F1306" t="s">
        <v>2</v>
      </c>
      <c r="G1306" t="s">
        <v>38</v>
      </c>
      <c r="H1306" t="s">
        <v>39</v>
      </c>
      <c r="I1306" s="5" t="s">
        <v>294</v>
      </c>
      <c r="J1306" s="5" t="s">
        <v>2</v>
      </c>
      <c r="K1306" s="5" t="s">
        <v>2</v>
      </c>
      <c r="L1306" s="6">
        <f>IF(I1306="Cut","",IF(I1306="Your call","(decide)",IF(I1306="Rename",J1306,IF(I1306="Keep",IF(D1306="",E1306,D1306),IF(E1306="(unchanged)",D1306,E1306)))))</f>
      </c>
      <c r="M1306" s="6">
        <f>IF(AND(I1306="Cut",N1306&gt;0,K1306=""),"USED: say what replaces it (Note)",IF(AND(I1306="Rename",J1306=""),"type the new name",IF(AND(L1306&lt;&gt;"",L1306&lt;&gt;"(decide)",COUNTIF($L$2:$L$1680,L1306)&gt;1),"SAME FINAL NAME AS ANOTHER ROW","")))</f>
      </c>
      <c r="N1306" s="6">
        <v>0</v>
      </c>
      <c r="O1306" s="6" t="s">
        <v>2</v>
      </c>
    </row>
    <row r="1307" spans="1:15" x14ac:dyDescent="0.25">
      <c r="A1307">
        <v>1306</v>
      </c>
      <c r="B1307" t="s">
        <v>1684</v>
      </c>
      <c r="C1307" t="s">
        <v>2</v>
      </c>
      <c r="D1307" t="s">
        <v>1739</v>
      </c>
      <c r="E1307" t="s">
        <v>292</v>
      </c>
      <c r="F1307" t="s">
        <v>2</v>
      </c>
      <c r="G1307" t="s">
        <v>94</v>
      </c>
      <c r="H1307" t="s">
        <v>39</v>
      </c>
      <c r="I1307" s="5" t="s">
        <v>294</v>
      </c>
      <c r="J1307" s="5" t="s">
        <v>2</v>
      </c>
      <c r="K1307" s="5" t="s">
        <v>2</v>
      </c>
      <c r="L1307" s="6">
        <f>IF(I1307="Cut","",IF(I1307="Your call","(decide)",IF(I1307="Rename",J1307,IF(I1307="Keep",IF(D1307="",E1307,D1307),IF(E1307="(unchanged)",D1307,E1307)))))</f>
      </c>
      <c r="M1307" s="6">
        <f>IF(AND(I1307="Cut",N1307&gt;0,K1307=""),"USED: say what replaces it (Note)",IF(AND(I1307="Rename",J1307=""),"type the new name",IF(AND(L1307&lt;&gt;"",L1307&lt;&gt;"(decide)",COUNTIF($L$2:$L$1680,L1307)&gt;1),"SAME FINAL NAME AS ANOTHER ROW","")))</f>
      </c>
      <c r="N1307" s="6">
        <v>1</v>
      </c>
      <c r="O1307" s="6" t="s">
        <v>2</v>
      </c>
    </row>
    <row r="1308" spans="1:15" x14ac:dyDescent="0.25">
      <c r="A1308">
        <v>1307</v>
      </c>
      <c r="B1308" t="s">
        <v>1684</v>
      </c>
      <c r="C1308" t="s">
        <v>2</v>
      </c>
      <c r="D1308" t="s">
        <v>1740</v>
      </c>
      <c r="E1308" t="s">
        <v>292</v>
      </c>
      <c r="F1308" t="s">
        <v>2</v>
      </c>
      <c r="G1308" t="s">
        <v>94</v>
      </c>
      <c r="H1308" t="s">
        <v>39</v>
      </c>
      <c r="I1308" s="5" t="s">
        <v>294</v>
      </c>
      <c r="J1308" s="5" t="s">
        <v>2</v>
      </c>
      <c r="K1308" s="5" t="s">
        <v>2</v>
      </c>
      <c r="L1308" s="6">
        <f>IF(I1308="Cut","",IF(I1308="Your call","(decide)",IF(I1308="Rename",J1308,IF(I1308="Keep",IF(D1308="",E1308,D1308),IF(E1308="(unchanged)",D1308,E1308)))))</f>
      </c>
      <c r="M1308" s="6">
        <f>IF(AND(I1308="Cut",N1308&gt;0,K1308=""),"USED: say what replaces it (Note)",IF(AND(I1308="Rename",J1308=""),"type the new name",IF(AND(L1308&lt;&gt;"",L1308&lt;&gt;"(decide)",COUNTIF($L$2:$L$1680,L1308)&gt;1),"SAME FINAL NAME AS ANOTHER ROW","")))</f>
      </c>
      <c r="N1308" s="6">
        <v>1</v>
      </c>
      <c r="O1308" s="6" t="s">
        <v>2</v>
      </c>
    </row>
    <row r="1309" spans="1:15" x14ac:dyDescent="0.25">
      <c r="A1309">
        <v>1308</v>
      </c>
      <c r="B1309" t="s">
        <v>1684</v>
      </c>
      <c r="C1309" t="s">
        <v>2</v>
      </c>
      <c r="D1309" t="s">
        <v>1741</v>
      </c>
      <c r="E1309" t="s">
        <v>292</v>
      </c>
      <c r="F1309" t="s">
        <v>2</v>
      </c>
      <c r="G1309" t="s">
        <v>38</v>
      </c>
      <c r="H1309" t="s">
        <v>39</v>
      </c>
      <c r="I1309" s="5" t="s">
        <v>294</v>
      </c>
      <c r="J1309" s="5" t="s">
        <v>2</v>
      </c>
      <c r="K1309" s="5" t="s">
        <v>2</v>
      </c>
      <c r="L1309" s="6">
        <f>IF(I1309="Cut","",IF(I1309="Your call","(decide)",IF(I1309="Rename",J1309,IF(I1309="Keep",IF(D1309="",E1309,D1309),IF(E1309="(unchanged)",D1309,E1309)))))</f>
      </c>
      <c r="M1309" s="6">
        <f>IF(AND(I1309="Cut",N1309&gt;0,K1309=""),"USED: say what replaces it (Note)",IF(AND(I1309="Rename",J1309=""),"type the new name",IF(AND(L1309&lt;&gt;"",L1309&lt;&gt;"(decide)",COUNTIF($L$2:$L$1680,L1309)&gt;1),"SAME FINAL NAME AS ANOTHER ROW","")))</f>
      </c>
      <c r="N1309" s="6">
        <v>0</v>
      </c>
      <c r="O1309" s="6" t="s">
        <v>2</v>
      </c>
    </row>
    <row r="1310" spans="1:15" x14ac:dyDescent="0.25">
      <c r="A1310">
        <v>1309</v>
      </c>
      <c r="B1310" t="s">
        <v>1684</v>
      </c>
      <c r="C1310" t="s">
        <v>2</v>
      </c>
      <c r="D1310" t="s">
        <v>1742</v>
      </c>
      <c r="E1310" t="s">
        <v>292</v>
      </c>
      <c r="F1310" t="s">
        <v>2</v>
      </c>
      <c r="G1310" t="s">
        <v>48</v>
      </c>
      <c r="H1310" t="s">
        <v>39</v>
      </c>
      <c r="I1310" s="5" t="s">
        <v>294</v>
      </c>
      <c r="J1310" s="5" t="s">
        <v>2</v>
      </c>
      <c r="K1310" s="5" t="s">
        <v>2</v>
      </c>
      <c r="L1310" s="6">
        <f>IF(I1310="Cut","",IF(I1310="Your call","(decide)",IF(I1310="Rename",J1310,IF(I1310="Keep",IF(D1310="",E1310,D1310),IF(E1310="(unchanged)",D1310,E1310)))))</f>
      </c>
      <c r="M1310" s="6">
        <f>IF(AND(I1310="Cut",N1310&gt;0,K1310=""),"USED: say what replaces it (Note)",IF(AND(I1310="Rename",J1310=""),"type the new name",IF(AND(L1310&lt;&gt;"",L1310&lt;&gt;"(decide)",COUNTIF($L$2:$L$1680,L1310)&gt;1),"SAME FINAL NAME AS ANOTHER ROW","")))</f>
      </c>
      <c r="N1310" s="6">
        <v>2</v>
      </c>
      <c r="O1310" s="6" t="s">
        <v>2</v>
      </c>
    </row>
    <row r="1311" spans="1:15" x14ac:dyDescent="0.25">
      <c r="A1311">
        <v>1310</v>
      </c>
      <c r="B1311" t="s">
        <v>1684</v>
      </c>
      <c r="C1311" t="s">
        <v>2</v>
      </c>
      <c r="D1311" t="s">
        <v>1743</v>
      </c>
      <c r="E1311" t="s">
        <v>292</v>
      </c>
      <c r="F1311" t="s">
        <v>2</v>
      </c>
      <c r="G1311" t="s">
        <v>38</v>
      </c>
      <c r="H1311" t="s">
        <v>39</v>
      </c>
      <c r="I1311" s="5" t="s">
        <v>294</v>
      </c>
      <c r="J1311" s="5" t="s">
        <v>2</v>
      </c>
      <c r="K1311" s="5" t="s">
        <v>2</v>
      </c>
      <c r="L1311" s="6">
        <f>IF(I1311="Cut","",IF(I1311="Your call","(decide)",IF(I1311="Rename",J1311,IF(I1311="Keep",IF(D1311="",E1311,D1311),IF(E1311="(unchanged)",D1311,E1311)))))</f>
      </c>
      <c r="M1311" s="6">
        <f>IF(AND(I1311="Cut",N1311&gt;0,K1311=""),"USED: say what replaces it (Note)",IF(AND(I1311="Rename",J1311=""),"type the new name",IF(AND(L1311&lt;&gt;"",L1311&lt;&gt;"(decide)",COUNTIF($L$2:$L$1680,L1311)&gt;1),"SAME FINAL NAME AS ANOTHER ROW","")))</f>
      </c>
      <c r="N1311" s="6">
        <v>0</v>
      </c>
      <c r="O1311" s="6" t="s">
        <v>2</v>
      </c>
    </row>
    <row r="1312" spans="1:15" x14ac:dyDescent="0.25">
      <c r="A1312">
        <v>1311</v>
      </c>
      <c r="B1312" t="s">
        <v>1684</v>
      </c>
      <c r="C1312" t="s">
        <v>2</v>
      </c>
      <c r="D1312" t="s">
        <v>1744</v>
      </c>
      <c r="E1312" t="s">
        <v>292</v>
      </c>
      <c r="F1312" t="s">
        <v>2</v>
      </c>
      <c r="G1312" t="s">
        <v>38</v>
      </c>
      <c r="H1312" t="s">
        <v>39</v>
      </c>
      <c r="I1312" s="5" t="s">
        <v>294</v>
      </c>
      <c r="J1312" s="5" t="s">
        <v>2</v>
      </c>
      <c r="K1312" s="5" t="s">
        <v>2</v>
      </c>
      <c r="L1312" s="6">
        <f>IF(I1312="Cut","",IF(I1312="Your call","(decide)",IF(I1312="Rename",J1312,IF(I1312="Keep",IF(D1312="",E1312,D1312),IF(E1312="(unchanged)",D1312,E1312)))))</f>
      </c>
      <c r="M1312" s="6">
        <f>IF(AND(I1312="Cut",N1312&gt;0,K1312=""),"USED: say what replaces it (Note)",IF(AND(I1312="Rename",J1312=""),"type the new name",IF(AND(L1312&lt;&gt;"",L1312&lt;&gt;"(decide)",COUNTIF($L$2:$L$1680,L1312)&gt;1),"SAME FINAL NAME AS ANOTHER ROW","")))</f>
      </c>
      <c r="N1312" s="6">
        <v>0</v>
      </c>
      <c r="O1312" s="6" t="s">
        <v>2</v>
      </c>
    </row>
    <row r="1313" spans="1:15" x14ac:dyDescent="0.25">
      <c r="A1313">
        <v>1312</v>
      </c>
      <c r="B1313" t="s">
        <v>1684</v>
      </c>
      <c r="C1313" t="s">
        <v>2</v>
      </c>
      <c r="D1313" t="s">
        <v>1745</v>
      </c>
      <c r="E1313" t="s">
        <v>292</v>
      </c>
      <c r="F1313" t="s">
        <v>2</v>
      </c>
      <c r="G1313" t="s">
        <v>38</v>
      </c>
      <c r="H1313" t="s">
        <v>39</v>
      </c>
      <c r="I1313" s="5" t="s">
        <v>294</v>
      </c>
      <c r="J1313" s="5" t="s">
        <v>2</v>
      </c>
      <c r="K1313" s="5" t="s">
        <v>2</v>
      </c>
      <c r="L1313" s="6">
        <f>IF(I1313="Cut","",IF(I1313="Your call","(decide)",IF(I1313="Rename",J1313,IF(I1313="Keep",IF(D1313="",E1313,D1313),IF(E1313="(unchanged)",D1313,E1313)))))</f>
      </c>
      <c r="M1313" s="6">
        <f>IF(AND(I1313="Cut",N1313&gt;0,K1313=""),"USED: say what replaces it (Note)",IF(AND(I1313="Rename",J1313=""),"type the new name",IF(AND(L1313&lt;&gt;"",L1313&lt;&gt;"(decide)",COUNTIF($L$2:$L$1680,L1313)&gt;1),"SAME FINAL NAME AS ANOTHER ROW","")))</f>
      </c>
      <c r="N1313" s="6">
        <v>0</v>
      </c>
      <c r="O1313" s="6" t="s">
        <v>2</v>
      </c>
    </row>
    <row r="1314" spans="1:15" x14ac:dyDescent="0.25">
      <c r="A1314">
        <v>1313</v>
      </c>
      <c r="B1314" t="s">
        <v>1684</v>
      </c>
      <c r="C1314" t="s">
        <v>2</v>
      </c>
      <c r="D1314" t="s">
        <v>1746</v>
      </c>
      <c r="E1314" t="s">
        <v>292</v>
      </c>
      <c r="F1314" t="s">
        <v>2</v>
      </c>
      <c r="G1314" t="s">
        <v>94</v>
      </c>
      <c r="H1314" t="s">
        <v>39</v>
      </c>
      <c r="I1314" s="5" t="s">
        <v>294</v>
      </c>
      <c r="J1314" s="5" t="s">
        <v>2</v>
      </c>
      <c r="K1314" s="5" t="s">
        <v>2</v>
      </c>
      <c r="L1314" s="6">
        <f>IF(I1314="Cut","",IF(I1314="Your call","(decide)",IF(I1314="Rename",J1314,IF(I1314="Keep",IF(D1314="",E1314,D1314),IF(E1314="(unchanged)",D1314,E1314)))))</f>
      </c>
      <c r="M1314" s="6">
        <f>IF(AND(I1314="Cut",N1314&gt;0,K1314=""),"USED: say what replaces it (Note)",IF(AND(I1314="Rename",J1314=""),"type the new name",IF(AND(L1314&lt;&gt;"",L1314&lt;&gt;"(decide)",COUNTIF($L$2:$L$1680,L1314)&gt;1),"SAME FINAL NAME AS ANOTHER ROW","")))</f>
      </c>
      <c r="N1314" s="6">
        <v>1</v>
      </c>
      <c r="O1314" s="6" t="s">
        <v>2</v>
      </c>
    </row>
    <row r="1315" spans="1:15" x14ac:dyDescent="0.25">
      <c r="A1315">
        <v>1314</v>
      </c>
      <c r="B1315" t="s">
        <v>1684</v>
      </c>
      <c r="C1315" t="s">
        <v>2</v>
      </c>
      <c r="D1315" t="s">
        <v>1747</v>
      </c>
      <c r="E1315" t="s">
        <v>1748</v>
      </c>
      <c r="F1315" t="s">
        <v>1687</v>
      </c>
      <c r="G1315" t="s">
        <v>94</v>
      </c>
      <c r="H1315" t="s">
        <v>39</v>
      </c>
      <c r="I1315" s="5" t="s">
        <v>40</v>
      </c>
      <c r="J1315" s="5" t="s">
        <v>2</v>
      </c>
      <c r="K1315" s="5" t="s">
        <v>2</v>
      </c>
      <c r="L1315" s="6">
        <f>IF(I1315="Cut","",IF(I1315="Your call","(decide)",IF(I1315="Rename",J1315,IF(I1315="Keep",IF(D1315="",E1315,D1315),IF(E1315="(unchanged)",D1315,E1315)))))</f>
      </c>
      <c r="M1315" s="6">
        <f>IF(AND(I1315="Cut",N1315&gt;0,K1315=""),"USED: say what replaces it (Note)",IF(AND(I1315="Rename",J1315=""),"type the new name",IF(AND(L1315&lt;&gt;"",L1315&lt;&gt;"(decide)",COUNTIF($L$2:$L$1680,L1315)&gt;1),"SAME FINAL NAME AS ANOTHER ROW","")))</f>
      </c>
      <c r="N1315" s="6">
        <v>1</v>
      </c>
      <c r="O1315" s="6" t="s">
        <v>2</v>
      </c>
    </row>
    <row r="1316" spans="1:15" x14ac:dyDescent="0.25">
      <c r="A1316">
        <v>1315</v>
      </c>
      <c r="B1316" t="s">
        <v>1684</v>
      </c>
      <c r="C1316" t="s">
        <v>2</v>
      </c>
      <c r="D1316" t="s">
        <v>1749</v>
      </c>
      <c r="E1316" t="s">
        <v>292</v>
      </c>
      <c r="F1316" t="s">
        <v>2</v>
      </c>
      <c r="G1316" t="s">
        <v>38</v>
      </c>
      <c r="H1316" t="s">
        <v>39</v>
      </c>
      <c r="I1316" s="5" t="s">
        <v>294</v>
      </c>
      <c r="J1316" s="5" t="s">
        <v>2</v>
      </c>
      <c r="K1316" s="5" t="s">
        <v>2</v>
      </c>
      <c r="L1316" s="6">
        <f>IF(I1316="Cut","",IF(I1316="Your call","(decide)",IF(I1316="Rename",J1316,IF(I1316="Keep",IF(D1316="",E1316,D1316),IF(E1316="(unchanged)",D1316,E1316)))))</f>
      </c>
      <c r="M1316" s="6">
        <f>IF(AND(I1316="Cut",N1316&gt;0,K1316=""),"USED: say what replaces it (Note)",IF(AND(I1316="Rename",J1316=""),"type the new name",IF(AND(L1316&lt;&gt;"",L1316&lt;&gt;"(decide)",COUNTIF($L$2:$L$1680,L1316)&gt;1),"SAME FINAL NAME AS ANOTHER ROW","")))</f>
      </c>
      <c r="N1316" s="6">
        <v>0</v>
      </c>
      <c r="O1316" s="6" t="s">
        <v>2</v>
      </c>
    </row>
    <row r="1317" spans="1:15" x14ac:dyDescent="0.25">
      <c r="A1317">
        <v>1316</v>
      </c>
      <c r="B1317" t="s">
        <v>1684</v>
      </c>
      <c r="C1317" t="s">
        <v>2</v>
      </c>
      <c r="D1317" t="s">
        <v>1750</v>
      </c>
      <c r="E1317" t="s">
        <v>292</v>
      </c>
      <c r="F1317" t="s">
        <v>2</v>
      </c>
      <c r="G1317" t="s">
        <v>94</v>
      </c>
      <c r="H1317" t="s">
        <v>39</v>
      </c>
      <c r="I1317" s="5" t="s">
        <v>294</v>
      </c>
      <c r="J1317" s="5" t="s">
        <v>2</v>
      </c>
      <c r="K1317" s="5" t="s">
        <v>2</v>
      </c>
      <c r="L1317" s="6">
        <f>IF(I1317="Cut","",IF(I1317="Your call","(decide)",IF(I1317="Rename",J1317,IF(I1317="Keep",IF(D1317="",E1317,D1317),IF(E1317="(unchanged)",D1317,E1317)))))</f>
      </c>
      <c r="M1317" s="6">
        <f>IF(AND(I1317="Cut",N1317&gt;0,K1317=""),"USED: say what replaces it (Note)",IF(AND(I1317="Rename",J1317=""),"type the new name",IF(AND(L1317&lt;&gt;"",L1317&lt;&gt;"(decide)",COUNTIF($L$2:$L$1680,L1317)&gt;1),"SAME FINAL NAME AS ANOTHER ROW","")))</f>
      </c>
      <c r="N1317" s="6">
        <v>1</v>
      </c>
      <c r="O1317" s="6" t="s">
        <v>2</v>
      </c>
    </row>
    <row r="1318" spans="1:15" x14ac:dyDescent="0.25">
      <c r="A1318">
        <v>1317</v>
      </c>
      <c r="B1318" t="s">
        <v>1684</v>
      </c>
      <c r="C1318" t="s">
        <v>2</v>
      </c>
      <c r="D1318" t="s">
        <v>1751</v>
      </c>
      <c r="E1318" t="s">
        <v>292</v>
      </c>
      <c r="F1318" t="s">
        <v>2</v>
      </c>
      <c r="G1318" t="s">
        <v>38</v>
      </c>
      <c r="H1318" t="s">
        <v>39</v>
      </c>
      <c r="I1318" s="5" t="s">
        <v>294</v>
      </c>
      <c r="J1318" s="5" t="s">
        <v>2</v>
      </c>
      <c r="K1318" s="5" t="s">
        <v>2</v>
      </c>
      <c r="L1318" s="6">
        <f>IF(I1318="Cut","",IF(I1318="Your call","(decide)",IF(I1318="Rename",J1318,IF(I1318="Keep",IF(D1318="",E1318,D1318),IF(E1318="(unchanged)",D1318,E1318)))))</f>
      </c>
      <c r="M1318" s="6">
        <f>IF(AND(I1318="Cut",N1318&gt;0,K1318=""),"USED: say what replaces it (Note)",IF(AND(I1318="Rename",J1318=""),"type the new name",IF(AND(L1318&lt;&gt;"",L1318&lt;&gt;"(decide)",COUNTIF($L$2:$L$1680,L1318)&gt;1),"SAME FINAL NAME AS ANOTHER ROW","")))</f>
      </c>
      <c r="N1318" s="6">
        <v>0</v>
      </c>
      <c r="O1318" s="6" t="s">
        <v>2</v>
      </c>
    </row>
    <row r="1319" spans="1:15" x14ac:dyDescent="0.25">
      <c r="A1319">
        <v>1318</v>
      </c>
      <c r="B1319" t="s">
        <v>1684</v>
      </c>
      <c r="C1319" t="s">
        <v>2</v>
      </c>
      <c r="D1319" t="s">
        <v>1752</v>
      </c>
      <c r="E1319" t="s">
        <v>292</v>
      </c>
      <c r="F1319" t="s">
        <v>2</v>
      </c>
      <c r="G1319" t="s">
        <v>38</v>
      </c>
      <c r="H1319" t="s">
        <v>39</v>
      </c>
      <c r="I1319" s="5" t="s">
        <v>294</v>
      </c>
      <c r="J1319" s="5" t="s">
        <v>2</v>
      </c>
      <c r="K1319" s="5" t="s">
        <v>2</v>
      </c>
      <c r="L1319" s="6">
        <f>IF(I1319="Cut","",IF(I1319="Your call","(decide)",IF(I1319="Rename",J1319,IF(I1319="Keep",IF(D1319="",E1319,D1319),IF(E1319="(unchanged)",D1319,E1319)))))</f>
      </c>
      <c r="M1319" s="6">
        <f>IF(AND(I1319="Cut",N1319&gt;0,K1319=""),"USED: say what replaces it (Note)",IF(AND(I1319="Rename",J1319=""),"type the new name",IF(AND(L1319&lt;&gt;"",L1319&lt;&gt;"(decide)",COUNTIF($L$2:$L$1680,L1319)&gt;1),"SAME FINAL NAME AS ANOTHER ROW","")))</f>
      </c>
      <c r="N1319" s="6">
        <v>0</v>
      </c>
      <c r="O1319" s="6" t="s">
        <v>2</v>
      </c>
    </row>
    <row r="1320" spans="1:15" x14ac:dyDescent="0.25">
      <c r="A1320">
        <v>1319</v>
      </c>
      <c r="B1320" t="s">
        <v>1684</v>
      </c>
      <c r="C1320" t="s">
        <v>2</v>
      </c>
      <c r="D1320" t="s">
        <v>1753</v>
      </c>
      <c r="E1320" t="s">
        <v>292</v>
      </c>
      <c r="F1320" t="s">
        <v>2</v>
      </c>
      <c r="G1320" t="s">
        <v>38</v>
      </c>
      <c r="H1320" t="s">
        <v>39</v>
      </c>
      <c r="I1320" s="5" t="s">
        <v>294</v>
      </c>
      <c r="J1320" s="5" t="s">
        <v>2</v>
      </c>
      <c r="K1320" s="5" t="s">
        <v>2</v>
      </c>
      <c r="L1320" s="6">
        <f>IF(I1320="Cut","",IF(I1320="Your call","(decide)",IF(I1320="Rename",J1320,IF(I1320="Keep",IF(D1320="",E1320,D1320),IF(E1320="(unchanged)",D1320,E1320)))))</f>
      </c>
      <c r="M1320" s="6">
        <f>IF(AND(I1320="Cut",N1320&gt;0,K1320=""),"USED: say what replaces it (Note)",IF(AND(I1320="Rename",J1320=""),"type the new name",IF(AND(L1320&lt;&gt;"",L1320&lt;&gt;"(decide)",COUNTIF($L$2:$L$1680,L1320)&gt;1),"SAME FINAL NAME AS ANOTHER ROW","")))</f>
      </c>
      <c r="N1320" s="6">
        <v>0</v>
      </c>
      <c r="O1320" s="6" t="s">
        <v>2</v>
      </c>
    </row>
    <row r="1321" spans="1:15" x14ac:dyDescent="0.25">
      <c r="A1321">
        <v>1320</v>
      </c>
      <c r="B1321" t="s">
        <v>1684</v>
      </c>
      <c r="C1321" t="s">
        <v>2</v>
      </c>
      <c r="D1321" t="s">
        <v>1754</v>
      </c>
      <c r="E1321" t="s">
        <v>1755</v>
      </c>
      <c r="F1321" t="s">
        <v>1687</v>
      </c>
      <c r="G1321" t="s">
        <v>38</v>
      </c>
      <c r="H1321" t="s">
        <v>39</v>
      </c>
      <c r="I1321" s="5" t="s">
        <v>40</v>
      </c>
      <c r="J1321" s="5" t="s">
        <v>2</v>
      </c>
      <c r="K1321" s="5" t="s">
        <v>2</v>
      </c>
      <c r="L1321" s="6">
        <f>IF(I1321="Cut","",IF(I1321="Your call","(decide)",IF(I1321="Rename",J1321,IF(I1321="Keep",IF(D1321="",E1321,D1321),IF(E1321="(unchanged)",D1321,E1321)))))</f>
      </c>
      <c r="M1321" s="6">
        <f>IF(AND(I1321="Cut",N1321&gt;0,K1321=""),"USED: say what replaces it (Note)",IF(AND(I1321="Rename",J1321=""),"type the new name",IF(AND(L1321&lt;&gt;"",L1321&lt;&gt;"(decide)",COUNTIF($L$2:$L$1680,L1321)&gt;1),"SAME FINAL NAME AS ANOTHER ROW","")))</f>
      </c>
      <c r="N1321" s="6">
        <v>0</v>
      </c>
      <c r="O1321" s="6" t="s">
        <v>2</v>
      </c>
    </row>
    <row r="1322" spans="1:15" x14ac:dyDescent="0.25">
      <c r="A1322">
        <v>1321</v>
      </c>
      <c r="B1322" t="s">
        <v>1684</v>
      </c>
      <c r="C1322" t="s">
        <v>2</v>
      </c>
      <c r="D1322" t="s">
        <v>1756</v>
      </c>
      <c r="E1322" t="s">
        <v>1757</v>
      </c>
      <c r="F1322" t="s">
        <v>1687</v>
      </c>
      <c r="G1322" t="s">
        <v>94</v>
      </c>
      <c r="H1322" t="s">
        <v>39</v>
      </c>
      <c r="I1322" s="5" t="s">
        <v>40</v>
      </c>
      <c r="J1322" s="5" t="s">
        <v>2</v>
      </c>
      <c r="K1322" s="5" t="s">
        <v>2</v>
      </c>
      <c r="L1322" s="6">
        <f>IF(I1322="Cut","",IF(I1322="Your call","(decide)",IF(I1322="Rename",J1322,IF(I1322="Keep",IF(D1322="",E1322,D1322),IF(E1322="(unchanged)",D1322,E1322)))))</f>
      </c>
      <c r="M1322" s="6">
        <f>IF(AND(I1322="Cut",N1322&gt;0,K1322=""),"USED: say what replaces it (Note)",IF(AND(I1322="Rename",J1322=""),"type the new name",IF(AND(L1322&lt;&gt;"",L1322&lt;&gt;"(decide)",COUNTIF($L$2:$L$1680,L1322)&gt;1),"SAME FINAL NAME AS ANOTHER ROW","")))</f>
      </c>
      <c r="N1322" s="6">
        <v>1</v>
      </c>
      <c r="O1322" s="6" t="s">
        <v>2</v>
      </c>
    </row>
    <row r="1323" spans="1:15" x14ac:dyDescent="0.25">
      <c r="A1323">
        <v>1322</v>
      </c>
      <c r="B1323" t="s">
        <v>1684</v>
      </c>
      <c r="C1323" t="s">
        <v>2</v>
      </c>
      <c r="D1323" t="s">
        <v>1758</v>
      </c>
      <c r="E1323" t="s">
        <v>1759</v>
      </c>
      <c r="F1323" t="s">
        <v>1687</v>
      </c>
      <c r="G1323" t="s">
        <v>38</v>
      </c>
      <c r="H1323" t="s">
        <v>39</v>
      </c>
      <c r="I1323" s="5" t="s">
        <v>40</v>
      </c>
      <c r="J1323" s="5" t="s">
        <v>2</v>
      </c>
      <c r="K1323" s="5" t="s">
        <v>2</v>
      </c>
      <c r="L1323" s="6">
        <f>IF(I1323="Cut","",IF(I1323="Your call","(decide)",IF(I1323="Rename",J1323,IF(I1323="Keep",IF(D1323="",E1323,D1323),IF(E1323="(unchanged)",D1323,E1323)))))</f>
      </c>
      <c r="M1323" s="6">
        <f>IF(AND(I1323="Cut",N1323&gt;0,K1323=""),"USED: say what replaces it (Note)",IF(AND(I1323="Rename",J1323=""),"type the new name",IF(AND(L1323&lt;&gt;"",L1323&lt;&gt;"(decide)",COUNTIF($L$2:$L$1680,L1323)&gt;1),"SAME FINAL NAME AS ANOTHER ROW","")))</f>
      </c>
      <c r="N1323" s="6">
        <v>0</v>
      </c>
      <c r="O1323" s="6" t="s">
        <v>2</v>
      </c>
    </row>
    <row r="1324" spans="1:15" x14ac:dyDescent="0.25">
      <c r="A1324">
        <v>1323</v>
      </c>
      <c r="B1324" t="s">
        <v>1684</v>
      </c>
      <c r="C1324" t="s">
        <v>2</v>
      </c>
      <c r="D1324" t="s">
        <v>1760</v>
      </c>
      <c r="E1324" t="s">
        <v>292</v>
      </c>
      <c r="F1324" t="s">
        <v>2</v>
      </c>
      <c r="G1324" t="s">
        <v>38</v>
      </c>
      <c r="H1324" t="s">
        <v>39</v>
      </c>
      <c r="I1324" s="5" t="s">
        <v>294</v>
      </c>
      <c r="J1324" s="5" t="s">
        <v>2</v>
      </c>
      <c r="K1324" s="5" t="s">
        <v>2</v>
      </c>
      <c r="L1324" s="6">
        <f>IF(I1324="Cut","",IF(I1324="Your call","(decide)",IF(I1324="Rename",J1324,IF(I1324="Keep",IF(D1324="",E1324,D1324),IF(E1324="(unchanged)",D1324,E1324)))))</f>
      </c>
      <c r="M1324" s="6">
        <f>IF(AND(I1324="Cut",N1324&gt;0,K1324=""),"USED: say what replaces it (Note)",IF(AND(I1324="Rename",J1324=""),"type the new name",IF(AND(L1324&lt;&gt;"",L1324&lt;&gt;"(decide)",COUNTIF($L$2:$L$1680,L1324)&gt;1),"SAME FINAL NAME AS ANOTHER ROW","")))</f>
      </c>
      <c r="N1324" s="6">
        <v>0</v>
      </c>
      <c r="O1324" s="6" t="s">
        <v>2</v>
      </c>
    </row>
    <row r="1325" spans="1:15" x14ac:dyDescent="0.25">
      <c r="A1325">
        <v>1324</v>
      </c>
      <c r="B1325" t="s">
        <v>1684</v>
      </c>
      <c r="C1325" t="s">
        <v>2</v>
      </c>
      <c r="D1325" t="s">
        <v>1761</v>
      </c>
      <c r="E1325" t="s">
        <v>292</v>
      </c>
      <c r="F1325" t="s">
        <v>2</v>
      </c>
      <c r="G1325" t="s">
        <v>94</v>
      </c>
      <c r="H1325" t="s">
        <v>39</v>
      </c>
      <c r="I1325" s="5" t="s">
        <v>294</v>
      </c>
      <c r="J1325" s="5" t="s">
        <v>2</v>
      </c>
      <c r="K1325" s="5" t="s">
        <v>2</v>
      </c>
      <c r="L1325" s="6">
        <f>IF(I1325="Cut","",IF(I1325="Your call","(decide)",IF(I1325="Rename",J1325,IF(I1325="Keep",IF(D1325="",E1325,D1325),IF(E1325="(unchanged)",D1325,E1325)))))</f>
      </c>
      <c r="M1325" s="6">
        <f>IF(AND(I1325="Cut",N1325&gt;0,K1325=""),"USED: say what replaces it (Note)",IF(AND(I1325="Rename",J1325=""),"type the new name",IF(AND(L1325&lt;&gt;"",L1325&lt;&gt;"(decide)",COUNTIF($L$2:$L$1680,L1325)&gt;1),"SAME FINAL NAME AS ANOTHER ROW","")))</f>
      </c>
      <c r="N1325" s="6">
        <v>1</v>
      </c>
      <c r="O1325" s="6" t="s">
        <v>2</v>
      </c>
    </row>
    <row r="1326" spans="1:15" x14ac:dyDescent="0.25">
      <c r="A1326">
        <v>1325</v>
      </c>
      <c r="B1326" t="s">
        <v>1684</v>
      </c>
      <c r="C1326" t="s">
        <v>2</v>
      </c>
      <c r="D1326" t="s">
        <v>1762</v>
      </c>
      <c r="E1326" t="s">
        <v>292</v>
      </c>
      <c r="F1326" t="s">
        <v>2</v>
      </c>
      <c r="G1326" t="s">
        <v>38</v>
      </c>
      <c r="H1326" t="s">
        <v>39</v>
      </c>
      <c r="I1326" s="5" t="s">
        <v>294</v>
      </c>
      <c r="J1326" s="5" t="s">
        <v>2</v>
      </c>
      <c r="K1326" s="5" t="s">
        <v>2</v>
      </c>
      <c r="L1326" s="6">
        <f>IF(I1326="Cut","",IF(I1326="Your call","(decide)",IF(I1326="Rename",J1326,IF(I1326="Keep",IF(D1326="",E1326,D1326),IF(E1326="(unchanged)",D1326,E1326)))))</f>
      </c>
      <c r="M1326" s="6">
        <f>IF(AND(I1326="Cut",N1326&gt;0,K1326=""),"USED: say what replaces it (Note)",IF(AND(I1326="Rename",J1326=""),"type the new name",IF(AND(L1326&lt;&gt;"",L1326&lt;&gt;"(decide)",COUNTIF($L$2:$L$1680,L1326)&gt;1),"SAME FINAL NAME AS ANOTHER ROW","")))</f>
      </c>
      <c r="N1326" s="6">
        <v>0</v>
      </c>
      <c r="O1326" s="6" t="s">
        <v>2</v>
      </c>
    </row>
    <row r="1327" spans="1:15" x14ac:dyDescent="0.25">
      <c r="A1327">
        <v>1326</v>
      </c>
      <c r="B1327" t="s">
        <v>1684</v>
      </c>
      <c r="C1327" t="s">
        <v>2</v>
      </c>
      <c r="D1327" t="s">
        <v>1763</v>
      </c>
      <c r="E1327" t="s">
        <v>292</v>
      </c>
      <c r="F1327" t="s">
        <v>2</v>
      </c>
      <c r="G1327" t="s">
        <v>94</v>
      </c>
      <c r="H1327" t="s">
        <v>39</v>
      </c>
      <c r="I1327" s="5" t="s">
        <v>294</v>
      </c>
      <c r="J1327" s="5" t="s">
        <v>2</v>
      </c>
      <c r="K1327" s="5" t="s">
        <v>2</v>
      </c>
      <c r="L1327" s="6">
        <f>IF(I1327="Cut","",IF(I1327="Your call","(decide)",IF(I1327="Rename",J1327,IF(I1327="Keep",IF(D1327="",E1327,D1327),IF(E1327="(unchanged)",D1327,E1327)))))</f>
      </c>
      <c r="M1327" s="6">
        <f>IF(AND(I1327="Cut",N1327&gt;0,K1327=""),"USED: say what replaces it (Note)",IF(AND(I1327="Rename",J1327=""),"type the new name",IF(AND(L1327&lt;&gt;"",L1327&lt;&gt;"(decide)",COUNTIF($L$2:$L$1680,L1327)&gt;1),"SAME FINAL NAME AS ANOTHER ROW","")))</f>
      </c>
      <c r="N1327" s="6">
        <v>1</v>
      </c>
      <c r="O1327" s="6" t="s">
        <v>2</v>
      </c>
    </row>
    <row r="1328" spans="1:15" x14ac:dyDescent="0.25">
      <c r="A1328">
        <v>1327</v>
      </c>
      <c r="B1328" t="s">
        <v>1684</v>
      </c>
      <c r="C1328" t="s">
        <v>2</v>
      </c>
      <c r="D1328" t="s">
        <v>1764</v>
      </c>
      <c r="E1328" t="s">
        <v>292</v>
      </c>
      <c r="F1328" t="s">
        <v>2</v>
      </c>
      <c r="G1328" t="s">
        <v>38</v>
      </c>
      <c r="H1328" t="s">
        <v>39</v>
      </c>
      <c r="I1328" s="5" t="s">
        <v>294</v>
      </c>
      <c r="J1328" s="5" t="s">
        <v>2</v>
      </c>
      <c r="K1328" s="5" t="s">
        <v>2</v>
      </c>
      <c r="L1328" s="6">
        <f>IF(I1328="Cut","",IF(I1328="Your call","(decide)",IF(I1328="Rename",J1328,IF(I1328="Keep",IF(D1328="",E1328,D1328),IF(E1328="(unchanged)",D1328,E1328)))))</f>
      </c>
      <c r="M1328" s="6">
        <f>IF(AND(I1328="Cut",N1328&gt;0,K1328=""),"USED: say what replaces it (Note)",IF(AND(I1328="Rename",J1328=""),"type the new name",IF(AND(L1328&lt;&gt;"",L1328&lt;&gt;"(decide)",COUNTIF($L$2:$L$1680,L1328)&gt;1),"SAME FINAL NAME AS ANOTHER ROW","")))</f>
      </c>
      <c r="N1328" s="6">
        <v>0</v>
      </c>
      <c r="O1328" s="6" t="s">
        <v>2</v>
      </c>
    </row>
    <row r="1329" spans="1:15" x14ac:dyDescent="0.25">
      <c r="A1329">
        <v>1328</v>
      </c>
      <c r="B1329" t="s">
        <v>1684</v>
      </c>
      <c r="C1329" t="s">
        <v>2</v>
      </c>
      <c r="D1329" t="s">
        <v>1765</v>
      </c>
      <c r="E1329" t="s">
        <v>292</v>
      </c>
      <c r="F1329" t="s">
        <v>2</v>
      </c>
      <c r="G1329" t="s">
        <v>38</v>
      </c>
      <c r="H1329" t="s">
        <v>39</v>
      </c>
      <c r="I1329" s="5" t="s">
        <v>294</v>
      </c>
      <c r="J1329" s="5" t="s">
        <v>2</v>
      </c>
      <c r="K1329" s="5" t="s">
        <v>2</v>
      </c>
      <c r="L1329" s="6">
        <f>IF(I1329="Cut","",IF(I1329="Your call","(decide)",IF(I1329="Rename",J1329,IF(I1329="Keep",IF(D1329="",E1329,D1329),IF(E1329="(unchanged)",D1329,E1329)))))</f>
      </c>
      <c r="M1329" s="6">
        <f>IF(AND(I1329="Cut",N1329&gt;0,K1329=""),"USED: say what replaces it (Note)",IF(AND(I1329="Rename",J1329=""),"type the new name",IF(AND(L1329&lt;&gt;"",L1329&lt;&gt;"(decide)",COUNTIF($L$2:$L$1680,L1329)&gt;1),"SAME FINAL NAME AS ANOTHER ROW","")))</f>
      </c>
      <c r="N1329" s="6">
        <v>0</v>
      </c>
      <c r="O1329" s="6" t="s">
        <v>2</v>
      </c>
    </row>
    <row r="1330" spans="1:15" x14ac:dyDescent="0.25">
      <c r="A1330">
        <v>1329</v>
      </c>
      <c r="B1330" t="s">
        <v>1684</v>
      </c>
      <c r="C1330" t="s">
        <v>2</v>
      </c>
      <c r="D1330" t="s">
        <v>1766</v>
      </c>
      <c r="E1330" t="s">
        <v>292</v>
      </c>
      <c r="F1330" t="s">
        <v>2</v>
      </c>
      <c r="G1330" t="s">
        <v>94</v>
      </c>
      <c r="H1330" t="s">
        <v>39</v>
      </c>
      <c r="I1330" s="5" t="s">
        <v>294</v>
      </c>
      <c r="J1330" s="5" t="s">
        <v>2</v>
      </c>
      <c r="K1330" s="5" t="s">
        <v>2</v>
      </c>
      <c r="L1330" s="6">
        <f>IF(I1330="Cut","",IF(I1330="Your call","(decide)",IF(I1330="Rename",J1330,IF(I1330="Keep",IF(D1330="",E1330,D1330),IF(E1330="(unchanged)",D1330,E1330)))))</f>
      </c>
      <c r="M1330" s="6">
        <f>IF(AND(I1330="Cut",N1330&gt;0,K1330=""),"USED: say what replaces it (Note)",IF(AND(I1330="Rename",J1330=""),"type the new name",IF(AND(L1330&lt;&gt;"",L1330&lt;&gt;"(decide)",COUNTIF($L$2:$L$1680,L1330)&gt;1),"SAME FINAL NAME AS ANOTHER ROW","")))</f>
      </c>
      <c r="N1330" s="6">
        <v>1</v>
      </c>
      <c r="O1330" s="6" t="s">
        <v>2</v>
      </c>
    </row>
    <row r="1331" spans="1:15" x14ac:dyDescent="0.25">
      <c r="A1331">
        <v>1330</v>
      </c>
      <c r="B1331" t="s">
        <v>1684</v>
      </c>
      <c r="C1331" t="s">
        <v>2</v>
      </c>
      <c r="D1331" t="s">
        <v>1767</v>
      </c>
      <c r="E1331" t="s">
        <v>292</v>
      </c>
      <c r="F1331" t="s">
        <v>2</v>
      </c>
      <c r="G1331" t="s">
        <v>94</v>
      </c>
      <c r="H1331" t="s">
        <v>39</v>
      </c>
      <c r="I1331" s="5" t="s">
        <v>294</v>
      </c>
      <c r="J1331" s="5" t="s">
        <v>2</v>
      </c>
      <c r="K1331" s="5" t="s">
        <v>2</v>
      </c>
      <c r="L1331" s="6">
        <f>IF(I1331="Cut","",IF(I1331="Your call","(decide)",IF(I1331="Rename",J1331,IF(I1331="Keep",IF(D1331="",E1331,D1331),IF(E1331="(unchanged)",D1331,E1331)))))</f>
      </c>
      <c r="M1331" s="6">
        <f>IF(AND(I1331="Cut",N1331&gt;0,K1331=""),"USED: say what replaces it (Note)",IF(AND(I1331="Rename",J1331=""),"type the new name",IF(AND(L1331&lt;&gt;"",L1331&lt;&gt;"(decide)",COUNTIF($L$2:$L$1680,L1331)&gt;1),"SAME FINAL NAME AS ANOTHER ROW","")))</f>
      </c>
      <c r="N1331" s="6">
        <v>1</v>
      </c>
      <c r="O1331" s="6" t="s">
        <v>2</v>
      </c>
    </row>
    <row r="1332" spans="1:15" x14ac:dyDescent="0.25">
      <c r="A1332">
        <v>1331</v>
      </c>
      <c r="B1332" t="s">
        <v>1684</v>
      </c>
      <c r="C1332" t="s">
        <v>2</v>
      </c>
      <c r="D1332" t="s">
        <v>1768</v>
      </c>
      <c r="E1332" t="s">
        <v>292</v>
      </c>
      <c r="F1332" t="s">
        <v>2</v>
      </c>
      <c r="G1332" t="s">
        <v>38</v>
      </c>
      <c r="H1332" t="s">
        <v>39</v>
      </c>
      <c r="I1332" s="5" t="s">
        <v>294</v>
      </c>
      <c r="J1332" s="5" t="s">
        <v>2</v>
      </c>
      <c r="K1332" s="5" t="s">
        <v>2</v>
      </c>
      <c r="L1332" s="6">
        <f>IF(I1332="Cut","",IF(I1332="Your call","(decide)",IF(I1332="Rename",J1332,IF(I1332="Keep",IF(D1332="",E1332,D1332),IF(E1332="(unchanged)",D1332,E1332)))))</f>
      </c>
      <c r="M1332" s="6">
        <f>IF(AND(I1332="Cut",N1332&gt;0,K1332=""),"USED: say what replaces it (Note)",IF(AND(I1332="Rename",J1332=""),"type the new name",IF(AND(L1332&lt;&gt;"",L1332&lt;&gt;"(decide)",COUNTIF($L$2:$L$1680,L1332)&gt;1),"SAME FINAL NAME AS ANOTHER ROW","")))</f>
      </c>
      <c r="N1332" s="6">
        <v>0</v>
      </c>
      <c r="O1332" s="6" t="s">
        <v>2</v>
      </c>
    </row>
    <row r="1333" spans="1:15" x14ac:dyDescent="0.25">
      <c r="A1333">
        <v>1332</v>
      </c>
      <c r="B1333" t="s">
        <v>1769</v>
      </c>
      <c r="C1333" t="s">
        <v>2</v>
      </c>
      <c r="D1333" t="s">
        <v>1770</v>
      </c>
      <c r="E1333" t="s">
        <v>292</v>
      </c>
      <c r="F1333" t="s">
        <v>2</v>
      </c>
      <c r="G1333" t="s">
        <v>38</v>
      </c>
      <c r="H1333" t="s">
        <v>39</v>
      </c>
      <c r="I1333" s="5" t="s">
        <v>294</v>
      </c>
      <c r="J1333" s="5" t="s">
        <v>2</v>
      </c>
      <c r="K1333" s="5" t="s">
        <v>2</v>
      </c>
      <c r="L1333" s="6">
        <f>IF(I1333="Cut","",IF(I1333="Your call","(decide)",IF(I1333="Rename",J1333,IF(I1333="Keep",IF(D1333="",E1333,D1333),IF(E1333="(unchanged)",D1333,E1333)))))</f>
      </c>
      <c r="M1333" s="6">
        <f>IF(AND(I1333="Cut",N1333&gt;0,K1333=""),"USED: say what replaces it (Note)",IF(AND(I1333="Rename",J1333=""),"type the new name",IF(AND(L1333&lt;&gt;"",L1333&lt;&gt;"(decide)",COUNTIF($L$2:$L$1680,L1333)&gt;1),"SAME FINAL NAME AS ANOTHER ROW","")))</f>
      </c>
      <c r="N1333" s="6">
        <v>0</v>
      </c>
      <c r="O1333" s="6" t="s">
        <v>2</v>
      </c>
    </row>
    <row r="1334" spans="1:15" x14ac:dyDescent="0.25">
      <c r="A1334">
        <v>1333</v>
      </c>
      <c r="B1334" t="s">
        <v>1769</v>
      </c>
      <c r="C1334" t="s">
        <v>1771</v>
      </c>
      <c r="D1334" t="s">
        <v>1772</v>
      </c>
      <c r="E1334" t="s">
        <v>292</v>
      </c>
      <c r="F1334" t="s">
        <v>2</v>
      </c>
      <c r="G1334" t="s">
        <v>1564</v>
      </c>
      <c r="H1334" t="s">
        <v>39</v>
      </c>
      <c r="I1334" s="5" t="s">
        <v>294</v>
      </c>
      <c r="J1334" s="5" t="s">
        <v>2</v>
      </c>
      <c r="K1334" s="5" t="s">
        <v>2</v>
      </c>
      <c r="L1334" s="6">
        <f>IF(I1334="Cut","",IF(I1334="Your call","(decide)",IF(I1334="Rename",J1334,IF(I1334="Keep",IF(D1334="",E1334,D1334),IF(E1334="(unchanged)",D1334,E1334)))))</f>
      </c>
      <c r="M1334" s="6">
        <f>IF(AND(I1334="Cut",N1334&gt;0,K1334=""),"USED: say what replaces it (Note)",IF(AND(I1334="Rename",J1334=""),"type the new name",IF(AND(L1334&lt;&gt;"",L1334&lt;&gt;"(decide)",COUNTIF($L$2:$L$1680,L1334)&gt;1),"SAME FINAL NAME AS ANOTHER ROW","")))</f>
      </c>
      <c r="N1334" s="6">
        <v>6</v>
      </c>
      <c r="O1334" s="6" t="s">
        <v>2</v>
      </c>
    </row>
    <row r="1335" spans="1:15" x14ac:dyDescent="0.25">
      <c r="A1335">
        <v>1334</v>
      </c>
      <c r="B1335" t="s">
        <v>1769</v>
      </c>
      <c r="C1335" t="s">
        <v>1771</v>
      </c>
      <c r="D1335" t="s">
        <v>1773</v>
      </c>
      <c r="E1335" t="s">
        <v>292</v>
      </c>
      <c r="F1335" t="s">
        <v>2</v>
      </c>
      <c r="G1335" t="s">
        <v>151</v>
      </c>
      <c r="H1335" t="s">
        <v>39</v>
      </c>
      <c r="I1335" s="5" t="s">
        <v>294</v>
      </c>
      <c r="J1335" s="5" t="s">
        <v>2</v>
      </c>
      <c r="K1335" s="5" t="s">
        <v>2</v>
      </c>
      <c r="L1335" s="6">
        <f>IF(I1335="Cut","",IF(I1335="Your call","(decide)",IF(I1335="Rename",J1335,IF(I1335="Keep",IF(D1335="",E1335,D1335),IF(E1335="(unchanged)",D1335,E1335)))))</f>
      </c>
      <c r="M1335" s="6">
        <f>IF(AND(I1335="Cut",N1335&gt;0,K1335=""),"USED: say what replaces it (Note)",IF(AND(I1335="Rename",J1335=""),"type the new name",IF(AND(L1335&lt;&gt;"",L1335&lt;&gt;"(decide)",COUNTIF($L$2:$L$1680,L1335)&gt;1),"SAME FINAL NAME AS ANOTHER ROW","")))</f>
      </c>
      <c r="N1335" s="6">
        <v>5</v>
      </c>
      <c r="O1335" s="6" t="s">
        <v>2</v>
      </c>
    </row>
    <row r="1336" spans="1:15" x14ac:dyDescent="0.25">
      <c r="A1336">
        <v>1335</v>
      </c>
      <c r="B1336" t="s">
        <v>1769</v>
      </c>
      <c r="C1336" t="s">
        <v>1771</v>
      </c>
      <c r="D1336" t="s">
        <v>1774</v>
      </c>
      <c r="E1336" t="s">
        <v>292</v>
      </c>
      <c r="F1336" t="s">
        <v>2</v>
      </c>
      <c r="G1336" t="s">
        <v>48</v>
      </c>
      <c r="H1336" t="s">
        <v>39</v>
      </c>
      <c r="I1336" s="5" t="s">
        <v>294</v>
      </c>
      <c r="J1336" s="5" t="s">
        <v>2</v>
      </c>
      <c r="K1336" s="5" t="s">
        <v>2</v>
      </c>
      <c r="L1336" s="6">
        <f>IF(I1336="Cut","",IF(I1336="Your call","(decide)",IF(I1336="Rename",J1336,IF(I1336="Keep",IF(D1336="",E1336,D1336),IF(E1336="(unchanged)",D1336,E1336)))))</f>
      </c>
      <c r="M1336" s="6">
        <f>IF(AND(I1336="Cut",N1336&gt;0,K1336=""),"USED: say what replaces it (Note)",IF(AND(I1336="Rename",J1336=""),"type the new name",IF(AND(L1336&lt;&gt;"",L1336&lt;&gt;"(decide)",COUNTIF($L$2:$L$1680,L1336)&gt;1),"SAME FINAL NAME AS ANOTHER ROW","")))</f>
      </c>
      <c r="N1336" s="6">
        <v>2</v>
      </c>
      <c r="O1336" s="6" t="s">
        <v>2</v>
      </c>
    </row>
    <row r="1337" spans="1:15" x14ac:dyDescent="0.25">
      <c r="A1337">
        <v>1336</v>
      </c>
      <c r="B1337" t="s">
        <v>1769</v>
      </c>
      <c r="C1337" t="s">
        <v>1771</v>
      </c>
      <c r="D1337" t="s">
        <v>1775</v>
      </c>
      <c r="E1337" t="s">
        <v>292</v>
      </c>
      <c r="F1337" t="s">
        <v>2</v>
      </c>
      <c r="G1337" t="s">
        <v>71</v>
      </c>
      <c r="H1337" t="s">
        <v>39</v>
      </c>
      <c r="I1337" s="5" t="s">
        <v>294</v>
      </c>
      <c r="J1337" s="5" t="s">
        <v>2</v>
      </c>
      <c r="K1337" s="5" t="s">
        <v>2</v>
      </c>
      <c r="L1337" s="6">
        <f>IF(I1337="Cut","",IF(I1337="Your call","(decide)",IF(I1337="Rename",J1337,IF(I1337="Keep",IF(D1337="",E1337,D1337),IF(E1337="(unchanged)",D1337,E1337)))))</f>
      </c>
      <c r="M1337" s="6">
        <f>IF(AND(I1337="Cut",N1337&gt;0,K1337=""),"USED: say what replaces it (Note)",IF(AND(I1337="Rename",J1337=""),"type the new name",IF(AND(L1337&lt;&gt;"",L1337&lt;&gt;"(decide)",COUNTIF($L$2:$L$1680,L1337)&gt;1),"SAME FINAL NAME AS ANOTHER ROW","")))</f>
      </c>
      <c r="N1337" s="6">
        <v>4</v>
      </c>
      <c r="O1337" s="6" t="s">
        <v>2</v>
      </c>
    </row>
    <row r="1338" spans="1:15" x14ac:dyDescent="0.25">
      <c r="A1338">
        <v>1337</v>
      </c>
      <c r="B1338" t="s">
        <v>1769</v>
      </c>
      <c r="C1338" t="s">
        <v>2</v>
      </c>
      <c r="D1338" t="s">
        <v>1776</v>
      </c>
      <c r="E1338" t="s">
        <v>292</v>
      </c>
      <c r="F1338" t="s">
        <v>2</v>
      </c>
      <c r="G1338" t="s">
        <v>38</v>
      </c>
      <c r="H1338" t="s">
        <v>39</v>
      </c>
      <c r="I1338" s="5" t="s">
        <v>294</v>
      </c>
      <c r="J1338" s="5" t="s">
        <v>2</v>
      </c>
      <c r="K1338" s="5" t="s">
        <v>2</v>
      </c>
      <c r="L1338" s="6">
        <f>IF(I1338="Cut","",IF(I1338="Your call","(decide)",IF(I1338="Rename",J1338,IF(I1338="Keep",IF(D1338="",E1338,D1338),IF(E1338="(unchanged)",D1338,E1338)))))</f>
      </c>
      <c r="M1338" s="6">
        <f>IF(AND(I1338="Cut",N1338&gt;0,K1338=""),"USED: say what replaces it (Note)",IF(AND(I1338="Rename",J1338=""),"type the new name",IF(AND(L1338&lt;&gt;"",L1338&lt;&gt;"(decide)",COUNTIF($L$2:$L$1680,L1338)&gt;1),"SAME FINAL NAME AS ANOTHER ROW","")))</f>
      </c>
      <c r="N1338" s="6">
        <v>0</v>
      </c>
      <c r="O1338" s="6" t="s">
        <v>2</v>
      </c>
    </row>
    <row r="1339" spans="1:15" x14ac:dyDescent="0.25">
      <c r="A1339">
        <v>1338</v>
      </c>
      <c r="B1339" t="s">
        <v>1769</v>
      </c>
      <c r="C1339" t="s">
        <v>2</v>
      </c>
      <c r="D1339" t="s">
        <v>1777</v>
      </c>
      <c r="E1339" t="s">
        <v>292</v>
      </c>
      <c r="F1339" t="s">
        <v>2</v>
      </c>
      <c r="G1339" t="s">
        <v>48</v>
      </c>
      <c r="H1339" t="s">
        <v>39</v>
      </c>
      <c r="I1339" s="5" t="s">
        <v>294</v>
      </c>
      <c r="J1339" s="5" t="s">
        <v>2</v>
      </c>
      <c r="K1339" s="5" t="s">
        <v>2</v>
      </c>
      <c r="L1339" s="6">
        <f>IF(I1339="Cut","",IF(I1339="Your call","(decide)",IF(I1339="Rename",J1339,IF(I1339="Keep",IF(D1339="",E1339,D1339),IF(E1339="(unchanged)",D1339,E1339)))))</f>
      </c>
      <c r="M1339" s="6">
        <f>IF(AND(I1339="Cut",N1339&gt;0,K1339=""),"USED: say what replaces it (Note)",IF(AND(I1339="Rename",J1339=""),"type the new name",IF(AND(L1339&lt;&gt;"",L1339&lt;&gt;"(decide)",COUNTIF($L$2:$L$1680,L1339)&gt;1),"SAME FINAL NAME AS ANOTHER ROW","")))</f>
      </c>
      <c r="N1339" s="6">
        <v>2</v>
      </c>
      <c r="O1339" s="6" t="s">
        <v>2</v>
      </c>
    </row>
    <row r="1340" spans="1:15" x14ac:dyDescent="0.25">
      <c r="A1340">
        <v>1339</v>
      </c>
      <c r="B1340" t="s">
        <v>1769</v>
      </c>
      <c r="C1340" t="s">
        <v>1778</v>
      </c>
      <c r="D1340" t="s">
        <v>1779</v>
      </c>
      <c r="E1340" t="s">
        <v>292</v>
      </c>
      <c r="F1340" t="s">
        <v>2</v>
      </c>
      <c r="G1340" t="s">
        <v>38</v>
      </c>
      <c r="H1340" t="s">
        <v>39</v>
      </c>
      <c r="I1340" s="5" t="s">
        <v>294</v>
      </c>
      <c r="J1340" s="5" t="s">
        <v>2</v>
      </c>
      <c r="K1340" s="5" t="s">
        <v>2</v>
      </c>
      <c r="L1340" s="6">
        <f>IF(I1340="Cut","",IF(I1340="Your call","(decide)",IF(I1340="Rename",J1340,IF(I1340="Keep",IF(D1340="",E1340,D1340),IF(E1340="(unchanged)",D1340,E1340)))))</f>
      </c>
      <c r="M1340" s="6">
        <f>IF(AND(I1340="Cut",N1340&gt;0,K1340=""),"USED: say what replaces it (Note)",IF(AND(I1340="Rename",J1340=""),"type the new name",IF(AND(L1340&lt;&gt;"",L1340&lt;&gt;"(decide)",COUNTIF($L$2:$L$1680,L1340)&gt;1),"SAME FINAL NAME AS ANOTHER ROW","")))</f>
      </c>
      <c r="N1340" s="6">
        <v>0</v>
      </c>
      <c r="O1340" s="6" t="s">
        <v>2</v>
      </c>
    </row>
    <row r="1341" spans="1:15" x14ac:dyDescent="0.25">
      <c r="A1341">
        <v>1340</v>
      </c>
      <c r="B1341" t="s">
        <v>1769</v>
      </c>
      <c r="C1341" t="s">
        <v>1778</v>
      </c>
      <c r="D1341" t="s">
        <v>1780</v>
      </c>
      <c r="E1341" t="s">
        <v>292</v>
      </c>
      <c r="F1341" t="s">
        <v>2</v>
      </c>
      <c r="G1341" t="s">
        <v>38</v>
      </c>
      <c r="H1341" t="s">
        <v>39</v>
      </c>
      <c r="I1341" s="5" t="s">
        <v>294</v>
      </c>
      <c r="J1341" s="5" t="s">
        <v>2</v>
      </c>
      <c r="K1341" s="5" t="s">
        <v>2</v>
      </c>
      <c r="L1341" s="6">
        <f>IF(I1341="Cut","",IF(I1341="Your call","(decide)",IF(I1341="Rename",J1341,IF(I1341="Keep",IF(D1341="",E1341,D1341),IF(E1341="(unchanged)",D1341,E1341)))))</f>
      </c>
      <c r="M1341" s="6">
        <f>IF(AND(I1341="Cut",N1341&gt;0,K1341=""),"USED: say what replaces it (Note)",IF(AND(I1341="Rename",J1341=""),"type the new name",IF(AND(L1341&lt;&gt;"",L1341&lt;&gt;"(decide)",COUNTIF($L$2:$L$1680,L1341)&gt;1),"SAME FINAL NAME AS ANOTHER ROW","")))</f>
      </c>
      <c r="N1341" s="6">
        <v>0</v>
      </c>
      <c r="O1341" s="6" t="s">
        <v>2</v>
      </c>
    </row>
    <row r="1342" spans="1:15" x14ac:dyDescent="0.25">
      <c r="A1342">
        <v>1341</v>
      </c>
      <c r="B1342" t="s">
        <v>1769</v>
      </c>
      <c r="C1342" t="s">
        <v>1778</v>
      </c>
      <c r="D1342" t="s">
        <v>1781</v>
      </c>
      <c r="E1342" t="s">
        <v>292</v>
      </c>
      <c r="F1342" t="s">
        <v>2</v>
      </c>
      <c r="G1342" t="s">
        <v>38</v>
      </c>
      <c r="H1342" t="s">
        <v>39</v>
      </c>
      <c r="I1342" s="5" t="s">
        <v>294</v>
      </c>
      <c r="J1342" s="5" t="s">
        <v>2</v>
      </c>
      <c r="K1342" s="5" t="s">
        <v>2</v>
      </c>
      <c r="L1342" s="6">
        <f>IF(I1342="Cut","",IF(I1342="Your call","(decide)",IF(I1342="Rename",J1342,IF(I1342="Keep",IF(D1342="",E1342,D1342),IF(E1342="(unchanged)",D1342,E1342)))))</f>
      </c>
      <c r="M1342" s="6">
        <f>IF(AND(I1342="Cut",N1342&gt;0,K1342=""),"USED: say what replaces it (Note)",IF(AND(I1342="Rename",J1342=""),"type the new name",IF(AND(L1342&lt;&gt;"",L1342&lt;&gt;"(decide)",COUNTIF($L$2:$L$1680,L1342)&gt;1),"SAME FINAL NAME AS ANOTHER ROW","")))</f>
      </c>
      <c r="N1342" s="6">
        <v>0</v>
      </c>
      <c r="O1342" s="6" t="s">
        <v>2</v>
      </c>
    </row>
    <row r="1343" spans="1:15" x14ac:dyDescent="0.25">
      <c r="A1343">
        <v>1342</v>
      </c>
      <c r="B1343" t="s">
        <v>1769</v>
      </c>
      <c r="C1343" t="s">
        <v>1778</v>
      </c>
      <c r="D1343" t="s">
        <v>1782</v>
      </c>
      <c r="E1343" t="s">
        <v>292</v>
      </c>
      <c r="F1343" t="s">
        <v>2</v>
      </c>
      <c r="G1343" t="s">
        <v>38</v>
      </c>
      <c r="H1343" t="s">
        <v>39</v>
      </c>
      <c r="I1343" s="5" t="s">
        <v>294</v>
      </c>
      <c r="J1343" s="5" t="s">
        <v>2</v>
      </c>
      <c r="K1343" s="5" t="s">
        <v>2</v>
      </c>
      <c r="L1343" s="6">
        <f>IF(I1343="Cut","",IF(I1343="Your call","(decide)",IF(I1343="Rename",J1343,IF(I1343="Keep",IF(D1343="",E1343,D1343),IF(E1343="(unchanged)",D1343,E1343)))))</f>
      </c>
      <c r="M1343" s="6">
        <f>IF(AND(I1343="Cut",N1343&gt;0,K1343=""),"USED: say what replaces it (Note)",IF(AND(I1343="Rename",J1343=""),"type the new name",IF(AND(L1343&lt;&gt;"",L1343&lt;&gt;"(decide)",COUNTIF($L$2:$L$1680,L1343)&gt;1),"SAME FINAL NAME AS ANOTHER ROW","")))</f>
      </c>
      <c r="N1343" s="6">
        <v>0</v>
      </c>
      <c r="O1343" s="6" t="s">
        <v>2</v>
      </c>
    </row>
    <row r="1344" spans="1:15" x14ac:dyDescent="0.25">
      <c r="A1344">
        <v>1343</v>
      </c>
      <c r="B1344" t="s">
        <v>1769</v>
      </c>
      <c r="C1344" t="s">
        <v>1778</v>
      </c>
      <c r="D1344" t="s">
        <v>1783</v>
      </c>
      <c r="E1344" t="s">
        <v>292</v>
      </c>
      <c r="F1344" t="s">
        <v>2</v>
      </c>
      <c r="G1344" t="s">
        <v>94</v>
      </c>
      <c r="H1344" t="s">
        <v>39</v>
      </c>
      <c r="I1344" s="5" t="s">
        <v>294</v>
      </c>
      <c r="J1344" s="5" t="s">
        <v>2</v>
      </c>
      <c r="K1344" s="5" t="s">
        <v>2</v>
      </c>
      <c r="L1344" s="6">
        <f>IF(I1344="Cut","",IF(I1344="Your call","(decide)",IF(I1344="Rename",J1344,IF(I1344="Keep",IF(D1344="",E1344,D1344),IF(E1344="(unchanged)",D1344,E1344)))))</f>
      </c>
      <c r="M1344" s="6">
        <f>IF(AND(I1344="Cut",N1344&gt;0,K1344=""),"USED: say what replaces it (Note)",IF(AND(I1344="Rename",J1344=""),"type the new name",IF(AND(L1344&lt;&gt;"",L1344&lt;&gt;"(decide)",COUNTIF($L$2:$L$1680,L1344)&gt;1),"SAME FINAL NAME AS ANOTHER ROW","")))</f>
      </c>
      <c r="N1344" s="6">
        <v>1</v>
      </c>
      <c r="O1344" s="6" t="s">
        <v>2</v>
      </c>
    </row>
    <row r="1345" spans="1:15" x14ac:dyDescent="0.25">
      <c r="A1345">
        <v>1344</v>
      </c>
      <c r="B1345" t="s">
        <v>1769</v>
      </c>
      <c r="C1345" t="s">
        <v>1778</v>
      </c>
      <c r="D1345" t="s">
        <v>1784</v>
      </c>
      <c r="E1345" t="s">
        <v>292</v>
      </c>
      <c r="F1345" t="s">
        <v>2</v>
      </c>
      <c r="G1345" t="s">
        <v>38</v>
      </c>
      <c r="H1345" t="s">
        <v>39</v>
      </c>
      <c r="I1345" s="5" t="s">
        <v>294</v>
      </c>
      <c r="J1345" s="5" t="s">
        <v>2</v>
      </c>
      <c r="K1345" s="5" t="s">
        <v>2</v>
      </c>
      <c r="L1345" s="6">
        <f>IF(I1345="Cut","",IF(I1345="Your call","(decide)",IF(I1345="Rename",J1345,IF(I1345="Keep",IF(D1345="",E1345,D1345),IF(E1345="(unchanged)",D1345,E1345)))))</f>
      </c>
      <c r="M1345" s="6">
        <f>IF(AND(I1345="Cut",N1345&gt;0,K1345=""),"USED: say what replaces it (Note)",IF(AND(I1345="Rename",J1345=""),"type the new name",IF(AND(L1345&lt;&gt;"",L1345&lt;&gt;"(decide)",COUNTIF($L$2:$L$1680,L1345)&gt;1),"SAME FINAL NAME AS ANOTHER ROW","")))</f>
      </c>
      <c r="N1345" s="6">
        <v>0</v>
      </c>
      <c r="O1345" s="6" t="s">
        <v>2</v>
      </c>
    </row>
    <row r="1346" spans="1:15" x14ac:dyDescent="0.25">
      <c r="A1346">
        <v>1345</v>
      </c>
      <c r="B1346" t="s">
        <v>1769</v>
      </c>
      <c r="C1346" t="s">
        <v>1785</v>
      </c>
      <c r="D1346" t="s">
        <v>1786</v>
      </c>
      <c r="E1346" t="s">
        <v>292</v>
      </c>
      <c r="F1346" t="s">
        <v>2</v>
      </c>
      <c r="G1346" t="s">
        <v>38</v>
      </c>
      <c r="H1346" t="s">
        <v>39</v>
      </c>
      <c r="I1346" s="5" t="s">
        <v>294</v>
      </c>
      <c r="J1346" s="5" t="s">
        <v>2</v>
      </c>
      <c r="K1346" s="5" t="s">
        <v>2</v>
      </c>
      <c r="L1346" s="6">
        <f>IF(I1346="Cut","",IF(I1346="Your call","(decide)",IF(I1346="Rename",J1346,IF(I1346="Keep",IF(D1346="",E1346,D1346),IF(E1346="(unchanged)",D1346,E1346)))))</f>
      </c>
      <c r="M1346" s="6">
        <f>IF(AND(I1346="Cut",N1346&gt;0,K1346=""),"USED: say what replaces it (Note)",IF(AND(I1346="Rename",J1346=""),"type the new name",IF(AND(L1346&lt;&gt;"",L1346&lt;&gt;"(decide)",COUNTIF($L$2:$L$1680,L1346)&gt;1),"SAME FINAL NAME AS ANOTHER ROW","")))</f>
      </c>
      <c r="N1346" s="6">
        <v>0</v>
      </c>
      <c r="O1346" s="6" t="s">
        <v>2</v>
      </c>
    </row>
    <row r="1347" spans="1:15" x14ac:dyDescent="0.25">
      <c r="A1347">
        <v>1346</v>
      </c>
      <c r="B1347" t="s">
        <v>1769</v>
      </c>
      <c r="C1347" t="s">
        <v>1785</v>
      </c>
      <c r="D1347" t="s">
        <v>1787</v>
      </c>
      <c r="E1347" t="s">
        <v>292</v>
      </c>
      <c r="F1347" t="s">
        <v>2</v>
      </c>
      <c r="G1347" t="s">
        <v>38</v>
      </c>
      <c r="H1347" t="s">
        <v>39</v>
      </c>
      <c r="I1347" s="5" t="s">
        <v>294</v>
      </c>
      <c r="J1347" s="5" t="s">
        <v>2</v>
      </c>
      <c r="K1347" s="5" t="s">
        <v>2</v>
      </c>
      <c r="L1347" s="6">
        <f>IF(I1347="Cut","",IF(I1347="Your call","(decide)",IF(I1347="Rename",J1347,IF(I1347="Keep",IF(D1347="",E1347,D1347),IF(E1347="(unchanged)",D1347,E1347)))))</f>
      </c>
      <c r="M1347" s="6">
        <f>IF(AND(I1347="Cut",N1347&gt;0,K1347=""),"USED: say what replaces it (Note)",IF(AND(I1347="Rename",J1347=""),"type the new name",IF(AND(L1347&lt;&gt;"",L1347&lt;&gt;"(decide)",COUNTIF($L$2:$L$1680,L1347)&gt;1),"SAME FINAL NAME AS ANOTHER ROW","")))</f>
      </c>
      <c r="N1347" s="6">
        <v>0</v>
      </c>
      <c r="O1347" s="6" t="s">
        <v>2</v>
      </c>
    </row>
    <row r="1348" spans="1:15" x14ac:dyDescent="0.25">
      <c r="A1348">
        <v>1347</v>
      </c>
      <c r="B1348" t="s">
        <v>1769</v>
      </c>
      <c r="C1348" t="s">
        <v>1788</v>
      </c>
      <c r="D1348" t="s">
        <v>1789</v>
      </c>
      <c r="E1348" t="s">
        <v>292</v>
      </c>
      <c r="F1348" t="s">
        <v>2</v>
      </c>
      <c r="G1348" t="s">
        <v>38</v>
      </c>
      <c r="H1348" t="s">
        <v>39</v>
      </c>
      <c r="I1348" s="5" t="s">
        <v>294</v>
      </c>
      <c r="J1348" s="5" t="s">
        <v>2</v>
      </c>
      <c r="K1348" s="5" t="s">
        <v>2</v>
      </c>
      <c r="L1348" s="6">
        <f>IF(I1348="Cut","",IF(I1348="Your call","(decide)",IF(I1348="Rename",J1348,IF(I1348="Keep",IF(D1348="",E1348,D1348),IF(E1348="(unchanged)",D1348,E1348)))))</f>
      </c>
      <c r="M1348" s="6">
        <f>IF(AND(I1348="Cut",N1348&gt;0,K1348=""),"USED: say what replaces it (Note)",IF(AND(I1348="Rename",J1348=""),"type the new name",IF(AND(L1348&lt;&gt;"",L1348&lt;&gt;"(decide)",COUNTIF($L$2:$L$1680,L1348)&gt;1),"SAME FINAL NAME AS ANOTHER ROW","")))</f>
      </c>
      <c r="N1348" s="6">
        <v>0</v>
      </c>
      <c r="O1348" s="6" t="s">
        <v>2</v>
      </c>
    </row>
    <row r="1349" spans="1:15" x14ac:dyDescent="0.25">
      <c r="A1349">
        <v>1348</v>
      </c>
      <c r="B1349" t="s">
        <v>1769</v>
      </c>
      <c r="C1349" t="s">
        <v>1788</v>
      </c>
      <c r="D1349" t="s">
        <v>1790</v>
      </c>
      <c r="E1349" t="s">
        <v>1791</v>
      </c>
      <c r="F1349" t="s">
        <v>1792</v>
      </c>
      <c r="G1349" t="s">
        <v>38</v>
      </c>
      <c r="H1349" t="s">
        <v>39</v>
      </c>
      <c r="I1349" s="5" t="s">
        <v>40</v>
      </c>
      <c r="J1349" s="5" t="s">
        <v>2</v>
      </c>
      <c r="K1349" s="5" t="s">
        <v>2</v>
      </c>
      <c r="L1349" s="6">
        <f>IF(I1349="Cut","",IF(I1349="Your call","(decide)",IF(I1349="Rename",J1349,IF(I1349="Keep",IF(D1349="",E1349,D1349),IF(E1349="(unchanged)",D1349,E1349)))))</f>
      </c>
      <c r="M1349" s="6">
        <f>IF(AND(I1349="Cut",N1349&gt;0,K1349=""),"USED: say what replaces it (Note)",IF(AND(I1349="Rename",J1349=""),"type the new name",IF(AND(L1349&lt;&gt;"",L1349&lt;&gt;"(decide)",COUNTIF($L$2:$L$1680,L1349)&gt;1),"SAME FINAL NAME AS ANOTHER ROW","")))</f>
      </c>
      <c r="N1349" s="6">
        <v>0</v>
      </c>
      <c r="O1349" s="6" t="s">
        <v>2</v>
      </c>
    </row>
    <row r="1350" spans="1:15" x14ac:dyDescent="0.25">
      <c r="A1350">
        <v>1349</v>
      </c>
      <c r="B1350" t="s">
        <v>1769</v>
      </c>
      <c r="C1350" t="s">
        <v>2</v>
      </c>
      <c r="D1350" t="s">
        <v>1793</v>
      </c>
      <c r="E1350" t="s">
        <v>292</v>
      </c>
      <c r="F1350" t="s">
        <v>2</v>
      </c>
      <c r="G1350" t="s">
        <v>38</v>
      </c>
      <c r="H1350" t="s">
        <v>39</v>
      </c>
      <c r="I1350" s="5" t="s">
        <v>294</v>
      </c>
      <c r="J1350" s="5" t="s">
        <v>2</v>
      </c>
      <c r="K1350" s="5" t="s">
        <v>2</v>
      </c>
      <c r="L1350" s="6">
        <f>IF(I1350="Cut","",IF(I1350="Your call","(decide)",IF(I1350="Rename",J1350,IF(I1350="Keep",IF(D1350="",E1350,D1350),IF(E1350="(unchanged)",D1350,E1350)))))</f>
      </c>
      <c r="M1350" s="6">
        <f>IF(AND(I1350="Cut",N1350&gt;0,K1350=""),"USED: say what replaces it (Note)",IF(AND(I1350="Rename",J1350=""),"type the new name",IF(AND(L1350&lt;&gt;"",L1350&lt;&gt;"(decide)",COUNTIF($L$2:$L$1680,L1350)&gt;1),"SAME FINAL NAME AS ANOTHER ROW","")))</f>
      </c>
      <c r="N1350" s="6">
        <v>0</v>
      </c>
      <c r="O1350" s="6" t="s">
        <v>2</v>
      </c>
    </row>
    <row r="1351" spans="1:15" x14ac:dyDescent="0.25">
      <c r="A1351">
        <v>1350</v>
      </c>
      <c r="B1351" t="s">
        <v>1769</v>
      </c>
      <c r="C1351" t="s">
        <v>2</v>
      </c>
      <c r="D1351" t="s">
        <v>1794</v>
      </c>
      <c r="E1351" t="s">
        <v>292</v>
      </c>
      <c r="F1351" t="s">
        <v>2</v>
      </c>
      <c r="G1351" t="s">
        <v>38</v>
      </c>
      <c r="H1351" t="s">
        <v>39</v>
      </c>
      <c r="I1351" s="5" t="s">
        <v>294</v>
      </c>
      <c r="J1351" s="5" t="s">
        <v>2</v>
      </c>
      <c r="K1351" s="5" t="s">
        <v>2</v>
      </c>
      <c r="L1351" s="6">
        <f>IF(I1351="Cut","",IF(I1351="Your call","(decide)",IF(I1351="Rename",J1351,IF(I1351="Keep",IF(D1351="",E1351,D1351),IF(E1351="(unchanged)",D1351,E1351)))))</f>
      </c>
      <c r="M1351" s="6">
        <f>IF(AND(I1351="Cut",N1351&gt;0,K1351=""),"USED: say what replaces it (Note)",IF(AND(I1351="Rename",J1351=""),"type the new name",IF(AND(L1351&lt;&gt;"",L1351&lt;&gt;"(decide)",COUNTIF($L$2:$L$1680,L1351)&gt;1),"SAME FINAL NAME AS ANOTHER ROW","")))</f>
      </c>
      <c r="N1351" s="6">
        <v>0</v>
      </c>
      <c r="O1351" s="6" t="s">
        <v>2</v>
      </c>
    </row>
    <row r="1352" spans="1:15" x14ac:dyDescent="0.25">
      <c r="A1352">
        <v>1351</v>
      </c>
      <c r="B1352" t="s">
        <v>1769</v>
      </c>
      <c r="C1352" t="s">
        <v>2</v>
      </c>
      <c r="D1352" t="s">
        <v>1795</v>
      </c>
      <c r="E1352" t="s">
        <v>292</v>
      </c>
      <c r="F1352" t="s">
        <v>2</v>
      </c>
      <c r="G1352" t="s">
        <v>38</v>
      </c>
      <c r="H1352" t="s">
        <v>39</v>
      </c>
      <c r="I1352" s="5" t="s">
        <v>294</v>
      </c>
      <c r="J1352" s="5" t="s">
        <v>2</v>
      </c>
      <c r="K1352" s="5" t="s">
        <v>2</v>
      </c>
      <c r="L1352" s="6">
        <f>IF(I1352="Cut","",IF(I1352="Your call","(decide)",IF(I1352="Rename",J1352,IF(I1352="Keep",IF(D1352="",E1352,D1352),IF(E1352="(unchanged)",D1352,E1352)))))</f>
      </c>
      <c r="M1352" s="6">
        <f>IF(AND(I1352="Cut",N1352&gt;0,K1352=""),"USED: say what replaces it (Note)",IF(AND(I1352="Rename",J1352=""),"type the new name",IF(AND(L1352&lt;&gt;"",L1352&lt;&gt;"(decide)",COUNTIF($L$2:$L$1680,L1352)&gt;1),"SAME FINAL NAME AS ANOTHER ROW","")))</f>
      </c>
      <c r="N1352" s="6">
        <v>0</v>
      </c>
      <c r="O1352" s="6" t="s">
        <v>2</v>
      </c>
    </row>
    <row r="1353" spans="1:15" x14ac:dyDescent="0.25">
      <c r="A1353">
        <v>1352</v>
      </c>
      <c r="B1353" t="s">
        <v>1769</v>
      </c>
      <c r="C1353" t="s">
        <v>2</v>
      </c>
      <c r="D1353" t="s">
        <v>1796</v>
      </c>
      <c r="E1353" t="s">
        <v>292</v>
      </c>
      <c r="F1353" t="s">
        <v>2</v>
      </c>
      <c r="G1353" t="s">
        <v>38</v>
      </c>
      <c r="H1353" t="s">
        <v>39</v>
      </c>
      <c r="I1353" s="5" t="s">
        <v>294</v>
      </c>
      <c r="J1353" s="5" t="s">
        <v>2</v>
      </c>
      <c r="K1353" s="5" t="s">
        <v>2</v>
      </c>
      <c r="L1353" s="6">
        <f>IF(I1353="Cut","",IF(I1353="Your call","(decide)",IF(I1353="Rename",J1353,IF(I1353="Keep",IF(D1353="",E1353,D1353),IF(E1353="(unchanged)",D1353,E1353)))))</f>
      </c>
      <c r="M1353" s="6">
        <f>IF(AND(I1353="Cut",N1353&gt;0,K1353=""),"USED: say what replaces it (Note)",IF(AND(I1353="Rename",J1353=""),"type the new name",IF(AND(L1353&lt;&gt;"",L1353&lt;&gt;"(decide)",COUNTIF($L$2:$L$1680,L1353)&gt;1),"SAME FINAL NAME AS ANOTHER ROW","")))</f>
      </c>
      <c r="N1353" s="6">
        <v>0</v>
      </c>
      <c r="O1353" s="6" t="s">
        <v>2</v>
      </c>
    </row>
    <row r="1354" spans="1:15" x14ac:dyDescent="0.25">
      <c r="A1354">
        <v>1353</v>
      </c>
      <c r="B1354" t="s">
        <v>1769</v>
      </c>
      <c r="C1354" t="s">
        <v>2</v>
      </c>
      <c r="D1354" t="s">
        <v>1797</v>
      </c>
      <c r="E1354" t="s">
        <v>292</v>
      </c>
      <c r="F1354" t="s">
        <v>2</v>
      </c>
      <c r="G1354" t="s">
        <v>38</v>
      </c>
      <c r="H1354" t="s">
        <v>39</v>
      </c>
      <c r="I1354" s="5" t="s">
        <v>294</v>
      </c>
      <c r="J1354" s="5" t="s">
        <v>2</v>
      </c>
      <c r="K1354" s="5" t="s">
        <v>2</v>
      </c>
      <c r="L1354" s="6">
        <f>IF(I1354="Cut","",IF(I1354="Your call","(decide)",IF(I1354="Rename",J1354,IF(I1354="Keep",IF(D1354="",E1354,D1354),IF(E1354="(unchanged)",D1354,E1354)))))</f>
      </c>
      <c r="M1354" s="6">
        <f>IF(AND(I1354="Cut",N1354&gt;0,K1354=""),"USED: say what replaces it (Note)",IF(AND(I1354="Rename",J1354=""),"type the new name",IF(AND(L1354&lt;&gt;"",L1354&lt;&gt;"(decide)",COUNTIF($L$2:$L$1680,L1354)&gt;1),"SAME FINAL NAME AS ANOTHER ROW","")))</f>
      </c>
      <c r="N1354" s="6">
        <v>0</v>
      </c>
      <c r="O1354" s="6" t="s">
        <v>2</v>
      </c>
    </row>
    <row r="1355" spans="1:15" x14ac:dyDescent="0.25">
      <c r="A1355">
        <v>1354</v>
      </c>
      <c r="B1355" t="s">
        <v>1769</v>
      </c>
      <c r="C1355" t="s">
        <v>2</v>
      </c>
      <c r="D1355" t="s">
        <v>1798</v>
      </c>
      <c r="E1355" t="s">
        <v>292</v>
      </c>
      <c r="F1355" t="s">
        <v>2</v>
      </c>
      <c r="G1355" t="s">
        <v>38</v>
      </c>
      <c r="H1355" t="s">
        <v>39</v>
      </c>
      <c r="I1355" s="5" t="s">
        <v>294</v>
      </c>
      <c r="J1355" s="5" t="s">
        <v>2</v>
      </c>
      <c r="K1355" s="5" t="s">
        <v>2</v>
      </c>
      <c r="L1355" s="6">
        <f>IF(I1355="Cut","",IF(I1355="Your call","(decide)",IF(I1355="Rename",J1355,IF(I1355="Keep",IF(D1355="",E1355,D1355),IF(E1355="(unchanged)",D1355,E1355)))))</f>
      </c>
      <c r="M1355" s="6">
        <f>IF(AND(I1355="Cut",N1355&gt;0,K1355=""),"USED: say what replaces it (Note)",IF(AND(I1355="Rename",J1355=""),"type the new name",IF(AND(L1355&lt;&gt;"",L1355&lt;&gt;"(decide)",COUNTIF($L$2:$L$1680,L1355)&gt;1),"SAME FINAL NAME AS ANOTHER ROW","")))</f>
      </c>
      <c r="N1355" s="6">
        <v>0</v>
      </c>
      <c r="O1355" s="6" t="s">
        <v>2</v>
      </c>
    </row>
    <row r="1356" spans="1:15" x14ac:dyDescent="0.25">
      <c r="A1356">
        <v>1355</v>
      </c>
      <c r="B1356" t="s">
        <v>1769</v>
      </c>
      <c r="C1356" t="s">
        <v>2</v>
      </c>
      <c r="D1356" t="s">
        <v>1799</v>
      </c>
      <c r="E1356" t="s">
        <v>292</v>
      </c>
      <c r="F1356" t="s">
        <v>2</v>
      </c>
      <c r="G1356" t="s">
        <v>38</v>
      </c>
      <c r="H1356" t="s">
        <v>39</v>
      </c>
      <c r="I1356" s="5" t="s">
        <v>294</v>
      </c>
      <c r="J1356" s="5" t="s">
        <v>2</v>
      </c>
      <c r="K1356" s="5" t="s">
        <v>2</v>
      </c>
      <c r="L1356" s="6">
        <f>IF(I1356="Cut","",IF(I1356="Your call","(decide)",IF(I1356="Rename",J1356,IF(I1356="Keep",IF(D1356="",E1356,D1356),IF(E1356="(unchanged)",D1356,E1356)))))</f>
      </c>
      <c r="M1356" s="6">
        <f>IF(AND(I1356="Cut",N1356&gt;0,K1356=""),"USED: say what replaces it (Note)",IF(AND(I1356="Rename",J1356=""),"type the new name",IF(AND(L1356&lt;&gt;"",L1356&lt;&gt;"(decide)",COUNTIF($L$2:$L$1680,L1356)&gt;1),"SAME FINAL NAME AS ANOTHER ROW","")))</f>
      </c>
      <c r="N1356" s="6">
        <v>0</v>
      </c>
      <c r="O1356" s="6" t="s">
        <v>2</v>
      </c>
    </row>
    <row r="1357" spans="1:15" x14ac:dyDescent="0.25">
      <c r="A1357">
        <v>1356</v>
      </c>
      <c r="B1357" t="s">
        <v>1769</v>
      </c>
      <c r="C1357" t="s">
        <v>2</v>
      </c>
      <c r="D1357" t="s">
        <v>1800</v>
      </c>
      <c r="E1357" t="s">
        <v>292</v>
      </c>
      <c r="F1357" t="s">
        <v>2</v>
      </c>
      <c r="G1357" t="s">
        <v>1801</v>
      </c>
      <c r="H1357" t="s">
        <v>39</v>
      </c>
      <c r="I1357" s="5" t="s">
        <v>294</v>
      </c>
      <c r="J1357" s="5" t="s">
        <v>2</v>
      </c>
      <c r="K1357" s="5" t="s">
        <v>2</v>
      </c>
      <c r="L1357" s="6">
        <f>IF(I1357="Cut","",IF(I1357="Your call","(decide)",IF(I1357="Rename",J1357,IF(I1357="Keep",IF(D1357="",E1357,D1357),IF(E1357="(unchanged)",D1357,E1357)))))</f>
      </c>
      <c r="M1357" s="6">
        <f>IF(AND(I1357="Cut",N1357&gt;0,K1357=""),"USED: say what replaces it (Note)",IF(AND(I1357="Rename",J1357=""),"type the new name",IF(AND(L1357&lt;&gt;"",L1357&lt;&gt;"(decide)",COUNTIF($L$2:$L$1680,L1357)&gt;1),"SAME FINAL NAME AS ANOTHER ROW","")))</f>
      </c>
      <c r="N1357" s="6">
        <v>23</v>
      </c>
      <c r="O1357" s="6" t="s">
        <v>2</v>
      </c>
    </row>
    <row r="1358" spans="1:15" x14ac:dyDescent="0.25">
      <c r="A1358">
        <v>1357</v>
      </c>
      <c r="B1358" t="s">
        <v>1769</v>
      </c>
      <c r="C1358" t="s">
        <v>1802</v>
      </c>
      <c r="D1358" t="s">
        <v>1803</v>
      </c>
      <c r="E1358" t="s">
        <v>292</v>
      </c>
      <c r="F1358" t="s">
        <v>2</v>
      </c>
      <c r="G1358" t="s">
        <v>1801</v>
      </c>
      <c r="H1358" t="s">
        <v>39</v>
      </c>
      <c r="I1358" s="5" t="s">
        <v>294</v>
      </c>
      <c r="J1358" s="5" t="s">
        <v>2</v>
      </c>
      <c r="K1358" s="5" t="s">
        <v>2</v>
      </c>
      <c r="L1358" s="6">
        <f>IF(I1358="Cut","",IF(I1358="Your call","(decide)",IF(I1358="Rename",J1358,IF(I1358="Keep",IF(D1358="",E1358,D1358),IF(E1358="(unchanged)",D1358,E1358)))))</f>
      </c>
      <c r="M1358" s="6">
        <f>IF(AND(I1358="Cut",N1358&gt;0,K1358=""),"USED: say what replaces it (Note)",IF(AND(I1358="Rename",J1358=""),"type the new name",IF(AND(L1358&lt;&gt;"",L1358&lt;&gt;"(decide)",COUNTIF($L$2:$L$1680,L1358)&gt;1),"SAME FINAL NAME AS ANOTHER ROW","")))</f>
      </c>
      <c r="N1358" s="6">
        <v>23</v>
      </c>
      <c r="O1358" s="6" t="s">
        <v>2</v>
      </c>
    </row>
    <row r="1359" spans="1:15" x14ac:dyDescent="0.25">
      <c r="A1359">
        <v>1358</v>
      </c>
      <c r="B1359" t="s">
        <v>1769</v>
      </c>
      <c r="C1359" t="s">
        <v>1802</v>
      </c>
      <c r="D1359" t="s">
        <v>1804</v>
      </c>
      <c r="E1359" t="s">
        <v>292</v>
      </c>
      <c r="F1359" t="s">
        <v>2</v>
      </c>
      <c r="G1359" t="s">
        <v>38</v>
      </c>
      <c r="H1359" t="s">
        <v>39</v>
      </c>
      <c r="I1359" s="5" t="s">
        <v>294</v>
      </c>
      <c r="J1359" s="5" t="s">
        <v>2</v>
      </c>
      <c r="K1359" s="5" t="s">
        <v>2</v>
      </c>
      <c r="L1359" s="6">
        <f>IF(I1359="Cut","",IF(I1359="Your call","(decide)",IF(I1359="Rename",J1359,IF(I1359="Keep",IF(D1359="",E1359,D1359),IF(E1359="(unchanged)",D1359,E1359)))))</f>
      </c>
      <c r="M1359" s="6">
        <f>IF(AND(I1359="Cut",N1359&gt;0,K1359=""),"USED: say what replaces it (Note)",IF(AND(I1359="Rename",J1359=""),"type the new name",IF(AND(L1359&lt;&gt;"",L1359&lt;&gt;"(decide)",COUNTIF($L$2:$L$1680,L1359)&gt;1),"SAME FINAL NAME AS ANOTHER ROW","")))</f>
      </c>
      <c r="N1359" s="6">
        <v>0</v>
      </c>
      <c r="O1359" s="6" t="s">
        <v>2</v>
      </c>
    </row>
    <row r="1360" spans="1:15" x14ac:dyDescent="0.25">
      <c r="A1360">
        <v>1359</v>
      </c>
      <c r="B1360" t="s">
        <v>1769</v>
      </c>
      <c r="C1360" t="s">
        <v>1802</v>
      </c>
      <c r="D1360" t="s">
        <v>1805</v>
      </c>
      <c r="E1360" t="s">
        <v>292</v>
      </c>
      <c r="F1360" t="s">
        <v>2</v>
      </c>
      <c r="G1360" t="s">
        <v>38</v>
      </c>
      <c r="H1360" t="s">
        <v>39</v>
      </c>
      <c r="I1360" s="5" t="s">
        <v>294</v>
      </c>
      <c r="J1360" s="5" t="s">
        <v>2</v>
      </c>
      <c r="K1360" s="5" t="s">
        <v>2</v>
      </c>
      <c r="L1360" s="6">
        <f>IF(I1360="Cut","",IF(I1360="Your call","(decide)",IF(I1360="Rename",J1360,IF(I1360="Keep",IF(D1360="",E1360,D1360),IF(E1360="(unchanged)",D1360,E1360)))))</f>
      </c>
      <c r="M1360" s="6">
        <f>IF(AND(I1360="Cut",N1360&gt;0,K1360=""),"USED: say what replaces it (Note)",IF(AND(I1360="Rename",J1360=""),"type the new name",IF(AND(L1360&lt;&gt;"",L1360&lt;&gt;"(decide)",COUNTIF($L$2:$L$1680,L1360)&gt;1),"SAME FINAL NAME AS ANOTHER ROW","")))</f>
      </c>
      <c r="N1360" s="6">
        <v>0</v>
      </c>
      <c r="O1360" s="6" t="s">
        <v>2</v>
      </c>
    </row>
    <row r="1361" spans="1:15" x14ac:dyDescent="0.25">
      <c r="A1361">
        <v>1360</v>
      </c>
      <c r="B1361" t="s">
        <v>1769</v>
      </c>
      <c r="C1361" t="s">
        <v>1802</v>
      </c>
      <c r="D1361" t="s">
        <v>1806</v>
      </c>
      <c r="E1361" t="s">
        <v>292</v>
      </c>
      <c r="F1361" t="s">
        <v>2</v>
      </c>
      <c r="G1361" t="s">
        <v>38</v>
      </c>
      <c r="H1361" t="s">
        <v>39</v>
      </c>
      <c r="I1361" s="5" t="s">
        <v>294</v>
      </c>
      <c r="J1361" s="5" t="s">
        <v>2</v>
      </c>
      <c r="K1361" s="5" t="s">
        <v>2</v>
      </c>
      <c r="L1361" s="6">
        <f>IF(I1361="Cut","",IF(I1361="Your call","(decide)",IF(I1361="Rename",J1361,IF(I1361="Keep",IF(D1361="",E1361,D1361),IF(E1361="(unchanged)",D1361,E1361)))))</f>
      </c>
      <c r="M1361" s="6">
        <f>IF(AND(I1361="Cut",N1361&gt;0,K1361=""),"USED: say what replaces it (Note)",IF(AND(I1361="Rename",J1361=""),"type the new name",IF(AND(L1361&lt;&gt;"",L1361&lt;&gt;"(decide)",COUNTIF($L$2:$L$1680,L1361)&gt;1),"SAME FINAL NAME AS ANOTHER ROW","")))</f>
      </c>
      <c r="N1361" s="6">
        <v>0</v>
      </c>
      <c r="O1361" s="6" t="s">
        <v>2</v>
      </c>
    </row>
    <row r="1362" spans="1:15" x14ac:dyDescent="0.25">
      <c r="A1362">
        <v>1361</v>
      </c>
      <c r="B1362" t="s">
        <v>1769</v>
      </c>
      <c r="C1362" t="s">
        <v>2</v>
      </c>
      <c r="D1362" t="s">
        <v>1807</v>
      </c>
      <c r="E1362" t="s">
        <v>292</v>
      </c>
      <c r="F1362" t="s">
        <v>2</v>
      </c>
      <c r="G1362" t="s">
        <v>38</v>
      </c>
      <c r="H1362" t="s">
        <v>39</v>
      </c>
      <c r="I1362" s="5" t="s">
        <v>294</v>
      </c>
      <c r="J1362" s="5" t="s">
        <v>2</v>
      </c>
      <c r="K1362" s="5" t="s">
        <v>2</v>
      </c>
      <c r="L1362" s="6">
        <f>IF(I1362="Cut","",IF(I1362="Your call","(decide)",IF(I1362="Rename",J1362,IF(I1362="Keep",IF(D1362="",E1362,D1362),IF(E1362="(unchanged)",D1362,E1362)))))</f>
      </c>
      <c r="M1362" s="6">
        <f>IF(AND(I1362="Cut",N1362&gt;0,K1362=""),"USED: say what replaces it (Note)",IF(AND(I1362="Rename",J1362=""),"type the new name",IF(AND(L1362&lt;&gt;"",L1362&lt;&gt;"(decide)",COUNTIF($L$2:$L$1680,L1362)&gt;1),"SAME FINAL NAME AS ANOTHER ROW","")))</f>
      </c>
      <c r="N1362" s="6">
        <v>0</v>
      </c>
      <c r="O1362" s="6" t="s">
        <v>2</v>
      </c>
    </row>
    <row r="1363" spans="1:15" x14ac:dyDescent="0.25">
      <c r="A1363">
        <v>1362</v>
      </c>
      <c r="B1363" t="s">
        <v>1769</v>
      </c>
      <c r="C1363" t="s">
        <v>2</v>
      </c>
      <c r="D1363" t="s">
        <v>1808</v>
      </c>
      <c r="E1363" t="s">
        <v>292</v>
      </c>
      <c r="F1363" t="s">
        <v>2</v>
      </c>
      <c r="G1363" t="s">
        <v>38</v>
      </c>
      <c r="H1363" t="s">
        <v>39</v>
      </c>
      <c r="I1363" s="5" t="s">
        <v>294</v>
      </c>
      <c r="J1363" s="5" t="s">
        <v>2</v>
      </c>
      <c r="K1363" s="5" t="s">
        <v>2</v>
      </c>
      <c r="L1363" s="6">
        <f>IF(I1363="Cut","",IF(I1363="Your call","(decide)",IF(I1363="Rename",J1363,IF(I1363="Keep",IF(D1363="",E1363,D1363),IF(E1363="(unchanged)",D1363,E1363)))))</f>
      </c>
      <c r="M1363" s="6">
        <f>IF(AND(I1363="Cut",N1363&gt;0,K1363=""),"USED: say what replaces it (Note)",IF(AND(I1363="Rename",J1363=""),"type the new name",IF(AND(L1363&lt;&gt;"",L1363&lt;&gt;"(decide)",COUNTIF($L$2:$L$1680,L1363)&gt;1),"SAME FINAL NAME AS ANOTHER ROW","")))</f>
      </c>
      <c r="N1363" s="6">
        <v>0</v>
      </c>
      <c r="O1363" s="6" t="s">
        <v>2</v>
      </c>
    </row>
    <row r="1364" spans="1:15" x14ac:dyDescent="0.25">
      <c r="A1364">
        <v>1363</v>
      </c>
      <c r="B1364" t="s">
        <v>1769</v>
      </c>
      <c r="C1364" t="s">
        <v>1809</v>
      </c>
      <c r="D1364" t="s">
        <v>1810</v>
      </c>
      <c r="E1364" t="s">
        <v>292</v>
      </c>
      <c r="F1364" t="s">
        <v>2</v>
      </c>
      <c r="G1364" t="s">
        <v>94</v>
      </c>
      <c r="H1364" t="s">
        <v>39</v>
      </c>
      <c r="I1364" s="5" t="s">
        <v>294</v>
      </c>
      <c r="J1364" s="5" t="s">
        <v>2</v>
      </c>
      <c r="K1364" s="5" t="s">
        <v>2</v>
      </c>
      <c r="L1364" s="6">
        <f>IF(I1364="Cut","",IF(I1364="Your call","(decide)",IF(I1364="Rename",J1364,IF(I1364="Keep",IF(D1364="",E1364,D1364),IF(E1364="(unchanged)",D1364,E1364)))))</f>
      </c>
      <c r="M1364" s="6">
        <f>IF(AND(I1364="Cut",N1364&gt;0,K1364=""),"USED: say what replaces it (Note)",IF(AND(I1364="Rename",J1364=""),"type the new name",IF(AND(L1364&lt;&gt;"",L1364&lt;&gt;"(decide)",COUNTIF($L$2:$L$1680,L1364)&gt;1),"SAME FINAL NAME AS ANOTHER ROW","")))</f>
      </c>
      <c r="N1364" s="6">
        <v>1</v>
      </c>
      <c r="O1364" s="6" t="s">
        <v>2</v>
      </c>
    </row>
    <row r="1365" spans="1:15" x14ac:dyDescent="0.25">
      <c r="A1365">
        <v>1364</v>
      </c>
      <c r="B1365" t="s">
        <v>1769</v>
      </c>
      <c r="C1365" t="s">
        <v>2</v>
      </c>
      <c r="D1365" t="s">
        <v>1811</v>
      </c>
      <c r="E1365" t="s">
        <v>292</v>
      </c>
      <c r="F1365" t="s">
        <v>2</v>
      </c>
      <c r="G1365" t="s">
        <v>38</v>
      </c>
      <c r="H1365" t="s">
        <v>39</v>
      </c>
      <c r="I1365" s="5" t="s">
        <v>294</v>
      </c>
      <c r="J1365" s="5" t="s">
        <v>2</v>
      </c>
      <c r="K1365" s="5" t="s">
        <v>2</v>
      </c>
      <c r="L1365" s="6">
        <f>IF(I1365="Cut","",IF(I1365="Your call","(decide)",IF(I1365="Rename",J1365,IF(I1365="Keep",IF(D1365="",E1365,D1365),IF(E1365="(unchanged)",D1365,E1365)))))</f>
      </c>
      <c r="M1365" s="6">
        <f>IF(AND(I1365="Cut",N1365&gt;0,K1365=""),"USED: say what replaces it (Note)",IF(AND(I1365="Rename",J1365=""),"type the new name",IF(AND(L1365&lt;&gt;"",L1365&lt;&gt;"(decide)",COUNTIF($L$2:$L$1680,L1365)&gt;1),"SAME FINAL NAME AS ANOTHER ROW","")))</f>
      </c>
      <c r="N1365" s="6">
        <v>0</v>
      </c>
      <c r="O1365" s="6" t="s">
        <v>2</v>
      </c>
    </row>
    <row r="1366" spans="1:15" x14ac:dyDescent="0.25">
      <c r="A1366">
        <v>1365</v>
      </c>
      <c r="B1366" t="s">
        <v>1769</v>
      </c>
      <c r="C1366" t="s">
        <v>2</v>
      </c>
      <c r="D1366" t="s">
        <v>1812</v>
      </c>
      <c r="E1366" t="s">
        <v>292</v>
      </c>
      <c r="F1366" t="s">
        <v>2</v>
      </c>
      <c r="G1366" t="s">
        <v>38</v>
      </c>
      <c r="H1366" t="s">
        <v>39</v>
      </c>
      <c r="I1366" s="5" t="s">
        <v>294</v>
      </c>
      <c r="J1366" s="5" t="s">
        <v>2</v>
      </c>
      <c r="K1366" s="5" t="s">
        <v>2</v>
      </c>
      <c r="L1366" s="6">
        <f>IF(I1366="Cut","",IF(I1366="Your call","(decide)",IF(I1366="Rename",J1366,IF(I1366="Keep",IF(D1366="",E1366,D1366),IF(E1366="(unchanged)",D1366,E1366)))))</f>
      </c>
      <c r="M1366" s="6">
        <f>IF(AND(I1366="Cut",N1366&gt;0,K1366=""),"USED: say what replaces it (Note)",IF(AND(I1366="Rename",J1366=""),"type the new name",IF(AND(L1366&lt;&gt;"",L1366&lt;&gt;"(decide)",COUNTIF($L$2:$L$1680,L1366)&gt;1),"SAME FINAL NAME AS ANOTHER ROW","")))</f>
      </c>
      <c r="N1366" s="6">
        <v>0</v>
      </c>
      <c r="O1366" s="6" t="s">
        <v>2</v>
      </c>
    </row>
    <row r="1367" spans="1:15" x14ac:dyDescent="0.25">
      <c r="A1367">
        <v>1366</v>
      </c>
      <c r="B1367" t="s">
        <v>1769</v>
      </c>
      <c r="C1367" t="s">
        <v>2</v>
      </c>
      <c r="D1367" t="s">
        <v>1813</v>
      </c>
      <c r="E1367" t="s">
        <v>292</v>
      </c>
      <c r="F1367" t="s">
        <v>2</v>
      </c>
      <c r="G1367" t="s">
        <v>38</v>
      </c>
      <c r="H1367" t="s">
        <v>39</v>
      </c>
      <c r="I1367" s="5" t="s">
        <v>294</v>
      </c>
      <c r="J1367" s="5" t="s">
        <v>2</v>
      </c>
      <c r="K1367" s="5" t="s">
        <v>2</v>
      </c>
      <c r="L1367" s="6">
        <f>IF(I1367="Cut","",IF(I1367="Your call","(decide)",IF(I1367="Rename",J1367,IF(I1367="Keep",IF(D1367="",E1367,D1367),IF(E1367="(unchanged)",D1367,E1367)))))</f>
      </c>
      <c r="M1367" s="6">
        <f>IF(AND(I1367="Cut",N1367&gt;0,K1367=""),"USED: say what replaces it (Note)",IF(AND(I1367="Rename",J1367=""),"type the new name",IF(AND(L1367&lt;&gt;"",L1367&lt;&gt;"(decide)",COUNTIF($L$2:$L$1680,L1367)&gt;1),"SAME FINAL NAME AS ANOTHER ROW","")))</f>
      </c>
      <c r="N1367" s="6">
        <v>0</v>
      </c>
      <c r="O1367" s="6" t="s">
        <v>2</v>
      </c>
    </row>
    <row r="1368" spans="1:15" x14ac:dyDescent="0.25">
      <c r="A1368">
        <v>1367</v>
      </c>
      <c r="B1368" t="s">
        <v>1769</v>
      </c>
      <c r="C1368" t="s">
        <v>2</v>
      </c>
      <c r="D1368" t="s">
        <v>1814</v>
      </c>
      <c r="E1368" t="s">
        <v>292</v>
      </c>
      <c r="F1368" t="s">
        <v>2</v>
      </c>
      <c r="G1368" t="s">
        <v>1815</v>
      </c>
      <c r="H1368" t="s">
        <v>39</v>
      </c>
      <c r="I1368" s="5" t="s">
        <v>294</v>
      </c>
      <c r="J1368" s="5" t="s">
        <v>2</v>
      </c>
      <c r="K1368" s="5" t="s">
        <v>2</v>
      </c>
      <c r="L1368" s="6">
        <f>IF(I1368="Cut","",IF(I1368="Your call","(decide)",IF(I1368="Rename",J1368,IF(I1368="Keep",IF(D1368="",E1368,D1368),IF(E1368="(unchanged)",D1368,E1368)))))</f>
      </c>
      <c r="M1368" s="6">
        <f>IF(AND(I1368="Cut",N1368&gt;0,K1368=""),"USED: say what replaces it (Note)",IF(AND(I1368="Rename",J1368=""),"type the new name",IF(AND(L1368&lt;&gt;"",L1368&lt;&gt;"(decide)",COUNTIF($L$2:$L$1680,L1368)&gt;1),"SAME FINAL NAME AS ANOTHER ROW","")))</f>
      </c>
      <c r="N1368" s="6">
        <v>103</v>
      </c>
      <c r="O1368" s="6" t="s">
        <v>2</v>
      </c>
    </row>
    <row r="1369" spans="1:15" x14ac:dyDescent="0.25">
      <c r="A1369">
        <v>1368</v>
      </c>
      <c r="B1369" t="s">
        <v>1769</v>
      </c>
      <c r="C1369" t="s">
        <v>2</v>
      </c>
      <c r="D1369" t="s">
        <v>1816</v>
      </c>
      <c r="E1369" t="s">
        <v>292</v>
      </c>
      <c r="F1369" t="s">
        <v>2</v>
      </c>
      <c r="G1369" t="s">
        <v>38</v>
      </c>
      <c r="H1369" t="s">
        <v>39</v>
      </c>
      <c r="I1369" s="5" t="s">
        <v>294</v>
      </c>
      <c r="J1369" s="5" t="s">
        <v>2</v>
      </c>
      <c r="K1369" s="5" t="s">
        <v>2</v>
      </c>
      <c r="L1369" s="6">
        <f>IF(I1369="Cut","",IF(I1369="Your call","(decide)",IF(I1369="Rename",J1369,IF(I1369="Keep",IF(D1369="",E1369,D1369),IF(E1369="(unchanged)",D1369,E1369)))))</f>
      </c>
      <c r="M1369" s="6">
        <f>IF(AND(I1369="Cut",N1369&gt;0,K1369=""),"USED: say what replaces it (Note)",IF(AND(I1369="Rename",J1369=""),"type the new name",IF(AND(L1369&lt;&gt;"",L1369&lt;&gt;"(decide)",COUNTIF($L$2:$L$1680,L1369)&gt;1),"SAME FINAL NAME AS ANOTHER ROW","")))</f>
      </c>
      <c r="N1369" s="6">
        <v>0</v>
      </c>
      <c r="O1369" s="6" t="s">
        <v>2</v>
      </c>
    </row>
    <row r="1370" spans="1:15" x14ac:dyDescent="0.25">
      <c r="A1370">
        <v>1369</v>
      </c>
      <c r="B1370" t="s">
        <v>1769</v>
      </c>
      <c r="C1370" t="s">
        <v>2</v>
      </c>
      <c r="D1370" t="s">
        <v>1817</v>
      </c>
      <c r="E1370" t="s">
        <v>292</v>
      </c>
      <c r="F1370" t="s">
        <v>2</v>
      </c>
      <c r="G1370" t="s">
        <v>38</v>
      </c>
      <c r="H1370" t="s">
        <v>39</v>
      </c>
      <c r="I1370" s="5" t="s">
        <v>294</v>
      </c>
      <c r="J1370" s="5" t="s">
        <v>2</v>
      </c>
      <c r="K1370" s="5" t="s">
        <v>2</v>
      </c>
      <c r="L1370" s="6">
        <f>IF(I1370="Cut","",IF(I1370="Your call","(decide)",IF(I1370="Rename",J1370,IF(I1370="Keep",IF(D1370="",E1370,D1370),IF(E1370="(unchanged)",D1370,E1370)))))</f>
      </c>
      <c r="M1370" s="6">
        <f>IF(AND(I1370="Cut",N1370&gt;0,K1370=""),"USED: say what replaces it (Note)",IF(AND(I1370="Rename",J1370=""),"type the new name",IF(AND(L1370&lt;&gt;"",L1370&lt;&gt;"(decide)",COUNTIF($L$2:$L$1680,L1370)&gt;1),"SAME FINAL NAME AS ANOTHER ROW","")))</f>
      </c>
      <c r="N1370" s="6">
        <v>0</v>
      </c>
      <c r="O1370" s="6" t="s">
        <v>2</v>
      </c>
    </row>
    <row r="1371" spans="1:15" x14ac:dyDescent="0.25">
      <c r="A1371">
        <v>1370</v>
      </c>
      <c r="B1371" t="s">
        <v>1818</v>
      </c>
      <c r="C1371" t="s">
        <v>1819</v>
      </c>
      <c r="D1371" t="s">
        <v>1820</v>
      </c>
      <c r="E1371" t="s">
        <v>292</v>
      </c>
      <c r="F1371" t="s">
        <v>2</v>
      </c>
      <c r="G1371" t="s">
        <v>48</v>
      </c>
      <c r="H1371" t="s">
        <v>39</v>
      </c>
      <c r="I1371" s="5" t="s">
        <v>294</v>
      </c>
      <c r="J1371" s="5" t="s">
        <v>2</v>
      </c>
      <c r="K1371" s="5" t="s">
        <v>2</v>
      </c>
      <c r="L1371" s="6">
        <f>IF(I1371="Cut","",IF(I1371="Your call","(decide)",IF(I1371="Rename",J1371,IF(I1371="Keep",IF(D1371="",E1371,D1371),IF(E1371="(unchanged)",D1371,E1371)))))</f>
      </c>
      <c r="M1371" s="6">
        <f>IF(AND(I1371="Cut",N1371&gt;0,K1371=""),"USED: say what replaces it (Note)",IF(AND(I1371="Rename",J1371=""),"type the new name",IF(AND(L1371&lt;&gt;"",L1371&lt;&gt;"(decide)",COUNTIF($L$2:$L$1680,L1371)&gt;1),"SAME FINAL NAME AS ANOTHER ROW","")))</f>
      </c>
      <c r="N1371" s="6">
        <v>2</v>
      </c>
      <c r="O1371" s="6" t="s">
        <v>2</v>
      </c>
    </row>
    <row r="1372" spans="1:15" x14ac:dyDescent="0.25">
      <c r="A1372">
        <v>1371</v>
      </c>
      <c r="B1372" t="s">
        <v>1818</v>
      </c>
      <c r="C1372" t="s">
        <v>1819</v>
      </c>
      <c r="D1372" t="s">
        <v>1821</v>
      </c>
      <c r="E1372" t="s">
        <v>292</v>
      </c>
      <c r="F1372" t="s">
        <v>2</v>
      </c>
      <c r="G1372" t="s">
        <v>94</v>
      </c>
      <c r="H1372" t="s">
        <v>39</v>
      </c>
      <c r="I1372" s="5" t="s">
        <v>294</v>
      </c>
      <c r="J1372" s="5" t="s">
        <v>2</v>
      </c>
      <c r="K1372" s="5" t="s">
        <v>2</v>
      </c>
      <c r="L1372" s="6">
        <f>IF(I1372="Cut","",IF(I1372="Your call","(decide)",IF(I1372="Rename",J1372,IF(I1372="Keep",IF(D1372="",E1372,D1372),IF(E1372="(unchanged)",D1372,E1372)))))</f>
      </c>
      <c r="M1372" s="6">
        <f>IF(AND(I1372="Cut",N1372&gt;0,K1372=""),"USED: say what replaces it (Note)",IF(AND(I1372="Rename",J1372=""),"type the new name",IF(AND(L1372&lt;&gt;"",L1372&lt;&gt;"(decide)",COUNTIF($L$2:$L$1680,L1372)&gt;1),"SAME FINAL NAME AS ANOTHER ROW","")))</f>
      </c>
      <c r="N1372" s="6">
        <v>1</v>
      </c>
      <c r="O1372" s="6" t="s">
        <v>2</v>
      </c>
    </row>
    <row r="1373" spans="1:15" x14ac:dyDescent="0.25">
      <c r="A1373">
        <v>1372</v>
      </c>
      <c r="B1373" t="s">
        <v>1818</v>
      </c>
      <c r="C1373" t="s">
        <v>1819</v>
      </c>
      <c r="D1373" t="s">
        <v>1822</v>
      </c>
      <c r="E1373" t="s">
        <v>292</v>
      </c>
      <c r="F1373" t="s">
        <v>2</v>
      </c>
      <c r="G1373" t="s">
        <v>38</v>
      </c>
      <c r="H1373" t="s">
        <v>39</v>
      </c>
      <c r="I1373" s="5" t="s">
        <v>294</v>
      </c>
      <c r="J1373" s="5" t="s">
        <v>2</v>
      </c>
      <c r="K1373" s="5" t="s">
        <v>2</v>
      </c>
      <c r="L1373" s="6">
        <f>IF(I1373="Cut","",IF(I1373="Your call","(decide)",IF(I1373="Rename",J1373,IF(I1373="Keep",IF(D1373="",E1373,D1373),IF(E1373="(unchanged)",D1373,E1373)))))</f>
      </c>
      <c r="M1373" s="6">
        <f>IF(AND(I1373="Cut",N1373&gt;0,K1373=""),"USED: say what replaces it (Note)",IF(AND(I1373="Rename",J1373=""),"type the new name",IF(AND(L1373&lt;&gt;"",L1373&lt;&gt;"(decide)",COUNTIF($L$2:$L$1680,L1373)&gt;1),"SAME FINAL NAME AS ANOTHER ROW","")))</f>
      </c>
      <c r="N1373" s="6">
        <v>0</v>
      </c>
      <c r="O1373" s="6" t="s">
        <v>2</v>
      </c>
    </row>
    <row r="1374" spans="1:15" x14ac:dyDescent="0.25">
      <c r="A1374">
        <v>1373</v>
      </c>
      <c r="B1374" t="s">
        <v>1818</v>
      </c>
      <c r="C1374" t="s">
        <v>1819</v>
      </c>
      <c r="D1374" t="s">
        <v>1823</v>
      </c>
      <c r="E1374" t="s">
        <v>292</v>
      </c>
      <c r="F1374" t="s">
        <v>2</v>
      </c>
      <c r="G1374" t="s">
        <v>38</v>
      </c>
      <c r="H1374" t="s">
        <v>39</v>
      </c>
      <c r="I1374" s="5" t="s">
        <v>294</v>
      </c>
      <c r="J1374" s="5" t="s">
        <v>2</v>
      </c>
      <c r="K1374" s="5" t="s">
        <v>2</v>
      </c>
      <c r="L1374" s="6">
        <f>IF(I1374="Cut","",IF(I1374="Your call","(decide)",IF(I1374="Rename",J1374,IF(I1374="Keep",IF(D1374="",E1374,D1374),IF(E1374="(unchanged)",D1374,E1374)))))</f>
      </c>
      <c r="M1374" s="6">
        <f>IF(AND(I1374="Cut",N1374&gt;0,K1374=""),"USED: say what replaces it (Note)",IF(AND(I1374="Rename",J1374=""),"type the new name",IF(AND(L1374&lt;&gt;"",L1374&lt;&gt;"(decide)",COUNTIF($L$2:$L$1680,L1374)&gt;1),"SAME FINAL NAME AS ANOTHER ROW","")))</f>
      </c>
      <c r="N1374" s="6">
        <v>0</v>
      </c>
      <c r="O1374" s="6" t="s">
        <v>2</v>
      </c>
    </row>
    <row r="1375" spans="1:15" x14ac:dyDescent="0.25">
      <c r="A1375">
        <v>1374</v>
      </c>
      <c r="B1375" t="s">
        <v>1818</v>
      </c>
      <c r="C1375" t="s">
        <v>1824</v>
      </c>
      <c r="D1375" t="s">
        <v>1825</v>
      </c>
      <c r="E1375" t="s">
        <v>292</v>
      </c>
      <c r="F1375" t="s">
        <v>2</v>
      </c>
      <c r="G1375" t="s">
        <v>38</v>
      </c>
      <c r="H1375" t="s">
        <v>39</v>
      </c>
      <c r="I1375" s="5" t="s">
        <v>294</v>
      </c>
      <c r="J1375" s="5" t="s">
        <v>2</v>
      </c>
      <c r="K1375" s="5" t="s">
        <v>2</v>
      </c>
      <c r="L1375" s="6">
        <f>IF(I1375="Cut","",IF(I1375="Your call","(decide)",IF(I1375="Rename",J1375,IF(I1375="Keep",IF(D1375="",E1375,D1375),IF(E1375="(unchanged)",D1375,E1375)))))</f>
      </c>
      <c r="M1375" s="6">
        <f>IF(AND(I1375="Cut",N1375&gt;0,K1375=""),"USED: say what replaces it (Note)",IF(AND(I1375="Rename",J1375=""),"type the new name",IF(AND(L1375&lt;&gt;"",L1375&lt;&gt;"(decide)",COUNTIF($L$2:$L$1680,L1375)&gt;1),"SAME FINAL NAME AS ANOTHER ROW","")))</f>
      </c>
      <c r="N1375" s="6">
        <v>0</v>
      </c>
      <c r="O1375" s="6" t="s">
        <v>2</v>
      </c>
    </row>
    <row r="1376" spans="1:15" x14ac:dyDescent="0.25">
      <c r="A1376">
        <v>1375</v>
      </c>
      <c r="B1376" t="s">
        <v>1818</v>
      </c>
      <c r="C1376" t="s">
        <v>1824</v>
      </c>
      <c r="D1376" t="s">
        <v>1826</v>
      </c>
      <c r="E1376" t="s">
        <v>292</v>
      </c>
      <c r="F1376" t="s">
        <v>2</v>
      </c>
      <c r="G1376" t="s">
        <v>38</v>
      </c>
      <c r="H1376" t="s">
        <v>39</v>
      </c>
      <c r="I1376" s="5" t="s">
        <v>294</v>
      </c>
      <c r="J1376" s="5" t="s">
        <v>2</v>
      </c>
      <c r="K1376" s="5" t="s">
        <v>2</v>
      </c>
      <c r="L1376" s="6">
        <f>IF(I1376="Cut","",IF(I1376="Your call","(decide)",IF(I1376="Rename",J1376,IF(I1376="Keep",IF(D1376="",E1376,D1376),IF(E1376="(unchanged)",D1376,E1376)))))</f>
      </c>
      <c r="M1376" s="6">
        <f>IF(AND(I1376="Cut",N1376&gt;0,K1376=""),"USED: say what replaces it (Note)",IF(AND(I1376="Rename",J1376=""),"type the new name",IF(AND(L1376&lt;&gt;"",L1376&lt;&gt;"(decide)",COUNTIF($L$2:$L$1680,L1376)&gt;1),"SAME FINAL NAME AS ANOTHER ROW","")))</f>
      </c>
      <c r="N1376" s="6">
        <v>0</v>
      </c>
      <c r="O1376" s="6" t="s">
        <v>2</v>
      </c>
    </row>
    <row r="1377" spans="1:15" x14ac:dyDescent="0.25">
      <c r="A1377">
        <v>1376</v>
      </c>
      <c r="B1377" t="s">
        <v>1818</v>
      </c>
      <c r="C1377" t="s">
        <v>1827</v>
      </c>
      <c r="D1377" t="s">
        <v>1828</v>
      </c>
      <c r="E1377" t="s">
        <v>292</v>
      </c>
      <c r="F1377" t="s">
        <v>2</v>
      </c>
      <c r="G1377" t="s">
        <v>94</v>
      </c>
      <c r="H1377" t="s">
        <v>39</v>
      </c>
      <c r="I1377" s="5" t="s">
        <v>294</v>
      </c>
      <c r="J1377" s="5" t="s">
        <v>2</v>
      </c>
      <c r="K1377" s="5" t="s">
        <v>2</v>
      </c>
      <c r="L1377" s="6">
        <f>IF(I1377="Cut","",IF(I1377="Your call","(decide)",IF(I1377="Rename",J1377,IF(I1377="Keep",IF(D1377="",E1377,D1377),IF(E1377="(unchanged)",D1377,E1377)))))</f>
      </c>
      <c r="M1377" s="6">
        <f>IF(AND(I1377="Cut",N1377&gt;0,K1377=""),"USED: say what replaces it (Note)",IF(AND(I1377="Rename",J1377=""),"type the new name",IF(AND(L1377&lt;&gt;"",L1377&lt;&gt;"(decide)",COUNTIF($L$2:$L$1680,L1377)&gt;1),"SAME FINAL NAME AS ANOTHER ROW","")))</f>
      </c>
      <c r="N1377" s="6">
        <v>1</v>
      </c>
      <c r="O1377" s="6" t="s">
        <v>2</v>
      </c>
    </row>
    <row r="1378" spans="1:15" x14ac:dyDescent="0.25">
      <c r="A1378">
        <v>1377</v>
      </c>
      <c r="B1378" t="s">
        <v>1818</v>
      </c>
      <c r="C1378" t="s">
        <v>1827</v>
      </c>
      <c r="D1378" t="s">
        <v>1829</v>
      </c>
      <c r="E1378" t="s">
        <v>292</v>
      </c>
      <c r="F1378" t="s">
        <v>2</v>
      </c>
      <c r="G1378" t="s">
        <v>38</v>
      </c>
      <c r="H1378" t="s">
        <v>39</v>
      </c>
      <c r="I1378" s="5" t="s">
        <v>294</v>
      </c>
      <c r="J1378" s="5" t="s">
        <v>2</v>
      </c>
      <c r="K1378" s="5" t="s">
        <v>2</v>
      </c>
      <c r="L1378" s="6">
        <f>IF(I1378="Cut","",IF(I1378="Your call","(decide)",IF(I1378="Rename",J1378,IF(I1378="Keep",IF(D1378="",E1378,D1378),IF(E1378="(unchanged)",D1378,E1378)))))</f>
      </c>
      <c r="M1378" s="6">
        <f>IF(AND(I1378="Cut",N1378&gt;0,K1378=""),"USED: say what replaces it (Note)",IF(AND(I1378="Rename",J1378=""),"type the new name",IF(AND(L1378&lt;&gt;"",L1378&lt;&gt;"(decide)",COUNTIF($L$2:$L$1680,L1378)&gt;1),"SAME FINAL NAME AS ANOTHER ROW","")))</f>
      </c>
      <c r="N1378" s="6">
        <v>0</v>
      </c>
      <c r="O1378" s="6" t="s">
        <v>2</v>
      </c>
    </row>
    <row r="1379" spans="1:15" x14ac:dyDescent="0.25">
      <c r="A1379">
        <v>1378</v>
      </c>
      <c r="B1379" t="s">
        <v>1818</v>
      </c>
      <c r="C1379" t="s">
        <v>1827</v>
      </c>
      <c r="D1379" t="s">
        <v>1830</v>
      </c>
      <c r="E1379" t="s">
        <v>292</v>
      </c>
      <c r="F1379" t="s">
        <v>2</v>
      </c>
      <c r="G1379" t="s">
        <v>38</v>
      </c>
      <c r="H1379" t="s">
        <v>39</v>
      </c>
      <c r="I1379" s="5" t="s">
        <v>294</v>
      </c>
      <c r="J1379" s="5" t="s">
        <v>2</v>
      </c>
      <c r="K1379" s="5" t="s">
        <v>2</v>
      </c>
      <c r="L1379" s="6">
        <f>IF(I1379="Cut","",IF(I1379="Your call","(decide)",IF(I1379="Rename",J1379,IF(I1379="Keep",IF(D1379="",E1379,D1379),IF(E1379="(unchanged)",D1379,E1379)))))</f>
      </c>
      <c r="M1379" s="6">
        <f>IF(AND(I1379="Cut",N1379&gt;0,K1379=""),"USED: say what replaces it (Note)",IF(AND(I1379="Rename",J1379=""),"type the new name",IF(AND(L1379&lt;&gt;"",L1379&lt;&gt;"(decide)",COUNTIF($L$2:$L$1680,L1379)&gt;1),"SAME FINAL NAME AS ANOTHER ROW","")))</f>
      </c>
      <c r="N1379" s="6">
        <v>0</v>
      </c>
      <c r="O1379" s="6" t="s">
        <v>2</v>
      </c>
    </row>
    <row r="1380" spans="1:15" x14ac:dyDescent="0.25">
      <c r="A1380">
        <v>1379</v>
      </c>
      <c r="B1380" t="s">
        <v>1818</v>
      </c>
      <c r="C1380" t="s">
        <v>1827</v>
      </c>
      <c r="D1380" t="s">
        <v>1831</v>
      </c>
      <c r="E1380" t="s">
        <v>292</v>
      </c>
      <c r="F1380" t="s">
        <v>2</v>
      </c>
      <c r="G1380" t="s">
        <v>38</v>
      </c>
      <c r="H1380" t="s">
        <v>39</v>
      </c>
      <c r="I1380" s="5" t="s">
        <v>294</v>
      </c>
      <c r="J1380" s="5" t="s">
        <v>2</v>
      </c>
      <c r="K1380" s="5" t="s">
        <v>2</v>
      </c>
      <c r="L1380" s="6">
        <f>IF(I1380="Cut","",IF(I1380="Your call","(decide)",IF(I1380="Rename",J1380,IF(I1380="Keep",IF(D1380="",E1380,D1380),IF(E1380="(unchanged)",D1380,E1380)))))</f>
      </c>
      <c r="M1380" s="6">
        <f>IF(AND(I1380="Cut",N1380&gt;0,K1380=""),"USED: say what replaces it (Note)",IF(AND(I1380="Rename",J1380=""),"type the new name",IF(AND(L1380&lt;&gt;"",L1380&lt;&gt;"(decide)",COUNTIF($L$2:$L$1680,L1380)&gt;1),"SAME FINAL NAME AS ANOTHER ROW","")))</f>
      </c>
      <c r="N1380" s="6">
        <v>0</v>
      </c>
      <c r="O1380" s="6" t="s">
        <v>2</v>
      </c>
    </row>
    <row r="1381" spans="1:15" x14ac:dyDescent="0.25">
      <c r="A1381">
        <v>1380</v>
      </c>
      <c r="B1381" t="s">
        <v>1818</v>
      </c>
      <c r="C1381" t="s">
        <v>2</v>
      </c>
      <c r="D1381" t="s">
        <v>1832</v>
      </c>
      <c r="E1381" t="s">
        <v>292</v>
      </c>
      <c r="F1381" t="s">
        <v>2</v>
      </c>
      <c r="G1381" t="s">
        <v>94</v>
      </c>
      <c r="H1381" t="s">
        <v>39</v>
      </c>
      <c r="I1381" s="5" t="s">
        <v>294</v>
      </c>
      <c r="J1381" s="5" t="s">
        <v>2</v>
      </c>
      <c r="K1381" s="5" t="s">
        <v>2</v>
      </c>
      <c r="L1381" s="6">
        <f>IF(I1381="Cut","",IF(I1381="Your call","(decide)",IF(I1381="Rename",J1381,IF(I1381="Keep",IF(D1381="",E1381,D1381),IF(E1381="(unchanged)",D1381,E1381)))))</f>
      </c>
      <c r="M1381" s="6">
        <f>IF(AND(I1381="Cut",N1381&gt;0,K1381=""),"USED: say what replaces it (Note)",IF(AND(I1381="Rename",J1381=""),"type the new name",IF(AND(L1381&lt;&gt;"",L1381&lt;&gt;"(decide)",COUNTIF($L$2:$L$1680,L1381)&gt;1),"SAME FINAL NAME AS ANOTHER ROW","")))</f>
      </c>
      <c r="N1381" s="6">
        <v>1</v>
      </c>
      <c r="O1381" s="6" t="s">
        <v>2</v>
      </c>
    </row>
    <row r="1382" spans="1:15" x14ac:dyDescent="0.25">
      <c r="A1382">
        <v>1381</v>
      </c>
      <c r="B1382" t="s">
        <v>1818</v>
      </c>
      <c r="C1382" t="s">
        <v>1833</v>
      </c>
      <c r="D1382" t="s">
        <v>1834</v>
      </c>
      <c r="E1382" t="s">
        <v>292</v>
      </c>
      <c r="F1382" t="s">
        <v>2</v>
      </c>
      <c r="G1382" t="s">
        <v>94</v>
      </c>
      <c r="H1382" t="s">
        <v>39</v>
      </c>
      <c r="I1382" s="5" t="s">
        <v>294</v>
      </c>
      <c r="J1382" s="5" t="s">
        <v>2</v>
      </c>
      <c r="K1382" s="5" t="s">
        <v>2</v>
      </c>
      <c r="L1382" s="6">
        <f>IF(I1382="Cut","",IF(I1382="Your call","(decide)",IF(I1382="Rename",J1382,IF(I1382="Keep",IF(D1382="",E1382,D1382),IF(E1382="(unchanged)",D1382,E1382)))))</f>
      </c>
      <c r="M1382" s="6">
        <f>IF(AND(I1382="Cut",N1382&gt;0,K1382=""),"USED: say what replaces it (Note)",IF(AND(I1382="Rename",J1382=""),"type the new name",IF(AND(L1382&lt;&gt;"",L1382&lt;&gt;"(decide)",COUNTIF($L$2:$L$1680,L1382)&gt;1),"SAME FINAL NAME AS ANOTHER ROW","")))</f>
      </c>
      <c r="N1382" s="6">
        <v>1</v>
      </c>
      <c r="O1382" s="6" t="s">
        <v>2</v>
      </c>
    </row>
    <row r="1383" spans="1:15" x14ac:dyDescent="0.25">
      <c r="A1383">
        <v>1382</v>
      </c>
      <c r="B1383" t="s">
        <v>1818</v>
      </c>
      <c r="C1383" t="s">
        <v>1833</v>
      </c>
      <c r="D1383" t="s">
        <v>1835</v>
      </c>
      <c r="E1383" t="s">
        <v>292</v>
      </c>
      <c r="F1383" t="s">
        <v>2</v>
      </c>
      <c r="G1383" t="s">
        <v>38</v>
      </c>
      <c r="H1383" t="s">
        <v>39</v>
      </c>
      <c r="I1383" s="5" t="s">
        <v>294</v>
      </c>
      <c r="J1383" s="5" t="s">
        <v>2</v>
      </c>
      <c r="K1383" s="5" t="s">
        <v>2</v>
      </c>
      <c r="L1383" s="6">
        <f>IF(I1383="Cut","",IF(I1383="Your call","(decide)",IF(I1383="Rename",J1383,IF(I1383="Keep",IF(D1383="",E1383,D1383),IF(E1383="(unchanged)",D1383,E1383)))))</f>
      </c>
      <c r="M1383" s="6">
        <f>IF(AND(I1383="Cut",N1383&gt;0,K1383=""),"USED: say what replaces it (Note)",IF(AND(I1383="Rename",J1383=""),"type the new name",IF(AND(L1383&lt;&gt;"",L1383&lt;&gt;"(decide)",COUNTIF($L$2:$L$1680,L1383)&gt;1),"SAME FINAL NAME AS ANOTHER ROW","")))</f>
      </c>
      <c r="N1383" s="6">
        <v>0</v>
      </c>
      <c r="O1383" s="6" t="s">
        <v>2</v>
      </c>
    </row>
    <row r="1384" spans="1:15" x14ac:dyDescent="0.25">
      <c r="A1384">
        <v>1383</v>
      </c>
      <c r="B1384" t="s">
        <v>1818</v>
      </c>
      <c r="C1384" t="s">
        <v>1833</v>
      </c>
      <c r="D1384" t="s">
        <v>1836</v>
      </c>
      <c r="E1384" t="s">
        <v>292</v>
      </c>
      <c r="F1384" t="s">
        <v>2</v>
      </c>
      <c r="G1384" t="s">
        <v>38</v>
      </c>
      <c r="H1384" t="s">
        <v>39</v>
      </c>
      <c r="I1384" s="5" t="s">
        <v>294</v>
      </c>
      <c r="J1384" s="5" t="s">
        <v>2</v>
      </c>
      <c r="K1384" s="5" t="s">
        <v>2</v>
      </c>
      <c r="L1384" s="6">
        <f>IF(I1384="Cut","",IF(I1384="Your call","(decide)",IF(I1384="Rename",J1384,IF(I1384="Keep",IF(D1384="",E1384,D1384),IF(E1384="(unchanged)",D1384,E1384)))))</f>
      </c>
      <c r="M1384" s="6">
        <f>IF(AND(I1384="Cut",N1384&gt;0,K1384=""),"USED: say what replaces it (Note)",IF(AND(I1384="Rename",J1384=""),"type the new name",IF(AND(L1384&lt;&gt;"",L1384&lt;&gt;"(decide)",COUNTIF($L$2:$L$1680,L1384)&gt;1),"SAME FINAL NAME AS ANOTHER ROW","")))</f>
      </c>
      <c r="N1384" s="6">
        <v>0</v>
      </c>
      <c r="O1384" s="6" t="s">
        <v>2</v>
      </c>
    </row>
    <row r="1385" spans="1:15" x14ac:dyDescent="0.25">
      <c r="A1385">
        <v>1384</v>
      </c>
      <c r="B1385" t="s">
        <v>1818</v>
      </c>
      <c r="C1385" t="s">
        <v>1833</v>
      </c>
      <c r="D1385" t="s">
        <v>1837</v>
      </c>
      <c r="E1385" t="s">
        <v>292</v>
      </c>
      <c r="F1385" t="s">
        <v>2</v>
      </c>
      <c r="G1385" t="s">
        <v>38</v>
      </c>
      <c r="H1385" t="s">
        <v>39</v>
      </c>
      <c r="I1385" s="5" t="s">
        <v>294</v>
      </c>
      <c r="J1385" s="5" t="s">
        <v>2</v>
      </c>
      <c r="K1385" s="5" t="s">
        <v>2</v>
      </c>
      <c r="L1385" s="6">
        <f>IF(I1385="Cut","",IF(I1385="Your call","(decide)",IF(I1385="Rename",J1385,IF(I1385="Keep",IF(D1385="",E1385,D1385),IF(E1385="(unchanged)",D1385,E1385)))))</f>
      </c>
      <c r="M1385" s="6">
        <f>IF(AND(I1385="Cut",N1385&gt;0,K1385=""),"USED: say what replaces it (Note)",IF(AND(I1385="Rename",J1385=""),"type the new name",IF(AND(L1385&lt;&gt;"",L1385&lt;&gt;"(decide)",COUNTIF($L$2:$L$1680,L1385)&gt;1),"SAME FINAL NAME AS ANOTHER ROW","")))</f>
      </c>
      <c r="N1385" s="6">
        <v>0</v>
      </c>
      <c r="O1385" s="6" t="s">
        <v>2</v>
      </c>
    </row>
    <row r="1386" spans="1:15" x14ac:dyDescent="0.25">
      <c r="A1386">
        <v>1385</v>
      </c>
      <c r="B1386" t="s">
        <v>1818</v>
      </c>
      <c r="C1386" t="s">
        <v>2</v>
      </c>
      <c r="D1386" t="s">
        <v>1838</v>
      </c>
      <c r="E1386" t="s">
        <v>292</v>
      </c>
      <c r="F1386" t="s">
        <v>2</v>
      </c>
      <c r="G1386" t="s">
        <v>151</v>
      </c>
      <c r="H1386" t="s">
        <v>39</v>
      </c>
      <c r="I1386" s="5" t="s">
        <v>294</v>
      </c>
      <c r="J1386" s="5" t="s">
        <v>2</v>
      </c>
      <c r="K1386" s="5" t="s">
        <v>2</v>
      </c>
      <c r="L1386" s="6">
        <f>IF(I1386="Cut","",IF(I1386="Your call","(decide)",IF(I1386="Rename",J1386,IF(I1386="Keep",IF(D1386="",E1386,D1386),IF(E1386="(unchanged)",D1386,E1386)))))</f>
      </c>
      <c r="M1386" s="6">
        <f>IF(AND(I1386="Cut",N1386&gt;0,K1386=""),"USED: say what replaces it (Note)",IF(AND(I1386="Rename",J1386=""),"type the new name",IF(AND(L1386&lt;&gt;"",L1386&lt;&gt;"(decide)",COUNTIF($L$2:$L$1680,L1386)&gt;1),"SAME FINAL NAME AS ANOTHER ROW","")))</f>
      </c>
      <c r="N1386" s="6">
        <v>5</v>
      </c>
      <c r="O1386" s="6" t="s">
        <v>2</v>
      </c>
    </row>
    <row r="1387" spans="1:15" x14ac:dyDescent="0.25">
      <c r="A1387">
        <v>1386</v>
      </c>
      <c r="B1387" t="s">
        <v>1818</v>
      </c>
      <c r="C1387" t="s">
        <v>1839</v>
      </c>
      <c r="D1387" t="s">
        <v>1840</v>
      </c>
      <c r="E1387" t="s">
        <v>292</v>
      </c>
      <c r="F1387" t="s">
        <v>2</v>
      </c>
      <c r="G1387" t="s">
        <v>38</v>
      </c>
      <c r="H1387" t="s">
        <v>39</v>
      </c>
      <c r="I1387" s="5" t="s">
        <v>294</v>
      </c>
      <c r="J1387" s="5" t="s">
        <v>2</v>
      </c>
      <c r="K1387" s="5" t="s">
        <v>2</v>
      </c>
      <c r="L1387" s="6">
        <f>IF(I1387="Cut","",IF(I1387="Your call","(decide)",IF(I1387="Rename",J1387,IF(I1387="Keep",IF(D1387="",E1387,D1387),IF(E1387="(unchanged)",D1387,E1387)))))</f>
      </c>
      <c r="M1387" s="6">
        <f>IF(AND(I1387="Cut",N1387&gt;0,K1387=""),"USED: say what replaces it (Note)",IF(AND(I1387="Rename",J1387=""),"type the new name",IF(AND(L1387&lt;&gt;"",L1387&lt;&gt;"(decide)",COUNTIF($L$2:$L$1680,L1387)&gt;1),"SAME FINAL NAME AS ANOTHER ROW","")))</f>
      </c>
      <c r="N1387" s="6">
        <v>0</v>
      </c>
      <c r="O1387" s="6" t="s">
        <v>2</v>
      </c>
    </row>
    <row r="1388" spans="1:15" x14ac:dyDescent="0.25">
      <c r="A1388">
        <v>1387</v>
      </c>
      <c r="B1388" t="s">
        <v>1818</v>
      </c>
      <c r="C1388" t="s">
        <v>1839</v>
      </c>
      <c r="D1388" t="s">
        <v>1841</v>
      </c>
      <c r="E1388" t="s">
        <v>292</v>
      </c>
      <c r="F1388" t="s">
        <v>2</v>
      </c>
      <c r="G1388" t="s">
        <v>38</v>
      </c>
      <c r="H1388" t="s">
        <v>39</v>
      </c>
      <c r="I1388" s="5" t="s">
        <v>294</v>
      </c>
      <c r="J1388" s="5" t="s">
        <v>2</v>
      </c>
      <c r="K1388" s="5" t="s">
        <v>2</v>
      </c>
      <c r="L1388" s="6">
        <f>IF(I1388="Cut","",IF(I1388="Your call","(decide)",IF(I1388="Rename",J1388,IF(I1388="Keep",IF(D1388="",E1388,D1388),IF(E1388="(unchanged)",D1388,E1388)))))</f>
      </c>
      <c r="M1388" s="6">
        <f>IF(AND(I1388="Cut",N1388&gt;0,K1388=""),"USED: say what replaces it (Note)",IF(AND(I1388="Rename",J1388=""),"type the new name",IF(AND(L1388&lt;&gt;"",L1388&lt;&gt;"(decide)",COUNTIF($L$2:$L$1680,L1388)&gt;1),"SAME FINAL NAME AS ANOTHER ROW","")))</f>
      </c>
      <c r="N1388" s="6">
        <v>0</v>
      </c>
      <c r="O1388" s="6" t="s">
        <v>2</v>
      </c>
    </row>
    <row r="1389" spans="1:15" x14ac:dyDescent="0.25">
      <c r="A1389">
        <v>1388</v>
      </c>
      <c r="B1389" t="s">
        <v>1818</v>
      </c>
      <c r="C1389" t="s">
        <v>1839</v>
      </c>
      <c r="D1389" t="s">
        <v>1842</v>
      </c>
      <c r="E1389" t="s">
        <v>292</v>
      </c>
      <c r="F1389" t="s">
        <v>2</v>
      </c>
      <c r="G1389" t="s">
        <v>38</v>
      </c>
      <c r="H1389" t="s">
        <v>39</v>
      </c>
      <c r="I1389" s="5" t="s">
        <v>294</v>
      </c>
      <c r="J1389" s="5" t="s">
        <v>2</v>
      </c>
      <c r="K1389" s="5" t="s">
        <v>2</v>
      </c>
      <c r="L1389" s="6">
        <f>IF(I1389="Cut","",IF(I1389="Your call","(decide)",IF(I1389="Rename",J1389,IF(I1389="Keep",IF(D1389="",E1389,D1389),IF(E1389="(unchanged)",D1389,E1389)))))</f>
      </c>
      <c r="M1389" s="6">
        <f>IF(AND(I1389="Cut",N1389&gt;0,K1389=""),"USED: say what replaces it (Note)",IF(AND(I1389="Rename",J1389=""),"type the new name",IF(AND(L1389&lt;&gt;"",L1389&lt;&gt;"(decide)",COUNTIF($L$2:$L$1680,L1389)&gt;1),"SAME FINAL NAME AS ANOTHER ROW","")))</f>
      </c>
      <c r="N1389" s="6">
        <v>0</v>
      </c>
      <c r="O1389" s="6" t="s">
        <v>2</v>
      </c>
    </row>
    <row r="1390" spans="1:15" x14ac:dyDescent="0.25">
      <c r="A1390">
        <v>1389</v>
      </c>
      <c r="B1390" t="s">
        <v>1818</v>
      </c>
      <c r="C1390" t="s">
        <v>1839</v>
      </c>
      <c r="D1390" t="s">
        <v>1843</v>
      </c>
      <c r="E1390" t="s">
        <v>292</v>
      </c>
      <c r="F1390" t="s">
        <v>2</v>
      </c>
      <c r="G1390" t="s">
        <v>38</v>
      </c>
      <c r="H1390" t="s">
        <v>39</v>
      </c>
      <c r="I1390" s="5" t="s">
        <v>294</v>
      </c>
      <c r="J1390" s="5" t="s">
        <v>2</v>
      </c>
      <c r="K1390" s="5" t="s">
        <v>2</v>
      </c>
      <c r="L1390" s="6">
        <f>IF(I1390="Cut","",IF(I1390="Your call","(decide)",IF(I1390="Rename",J1390,IF(I1390="Keep",IF(D1390="",E1390,D1390),IF(E1390="(unchanged)",D1390,E1390)))))</f>
      </c>
      <c r="M1390" s="6">
        <f>IF(AND(I1390="Cut",N1390&gt;0,K1390=""),"USED: say what replaces it (Note)",IF(AND(I1390="Rename",J1390=""),"type the new name",IF(AND(L1390&lt;&gt;"",L1390&lt;&gt;"(decide)",COUNTIF($L$2:$L$1680,L1390)&gt;1),"SAME FINAL NAME AS ANOTHER ROW","")))</f>
      </c>
      <c r="N1390" s="6">
        <v>0</v>
      </c>
      <c r="O1390" s="6" t="s">
        <v>2</v>
      </c>
    </row>
    <row r="1391" spans="1:15" x14ac:dyDescent="0.25">
      <c r="A1391">
        <v>1390</v>
      </c>
      <c r="B1391" t="s">
        <v>1818</v>
      </c>
      <c r="C1391" t="s">
        <v>2</v>
      </c>
      <c r="D1391" t="s">
        <v>1844</v>
      </c>
      <c r="E1391" t="s">
        <v>292</v>
      </c>
      <c r="F1391" t="s">
        <v>2</v>
      </c>
      <c r="G1391" t="s">
        <v>38</v>
      </c>
      <c r="H1391" t="s">
        <v>39</v>
      </c>
      <c r="I1391" s="5" t="s">
        <v>294</v>
      </c>
      <c r="J1391" s="5" t="s">
        <v>2</v>
      </c>
      <c r="K1391" s="5" t="s">
        <v>2</v>
      </c>
      <c r="L1391" s="6">
        <f>IF(I1391="Cut","",IF(I1391="Your call","(decide)",IF(I1391="Rename",J1391,IF(I1391="Keep",IF(D1391="",E1391,D1391),IF(E1391="(unchanged)",D1391,E1391)))))</f>
      </c>
      <c r="M1391" s="6">
        <f>IF(AND(I1391="Cut",N1391&gt;0,K1391=""),"USED: say what replaces it (Note)",IF(AND(I1391="Rename",J1391=""),"type the new name",IF(AND(L1391&lt;&gt;"",L1391&lt;&gt;"(decide)",COUNTIF($L$2:$L$1680,L1391)&gt;1),"SAME FINAL NAME AS ANOTHER ROW","")))</f>
      </c>
      <c r="N1391" s="6">
        <v>0</v>
      </c>
      <c r="O1391" s="6" t="s">
        <v>2</v>
      </c>
    </row>
    <row r="1392" spans="1:15" x14ac:dyDescent="0.25">
      <c r="A1392">
        <v>1391</v>
      </c>
      <c r="B1392" t="s">
        <v>1818</v>
      </c>
      <c r="C1392" t="s">
        <v>2</v>
      </c>
      <c r="D1392" t="s">
        <v>1845</v>
      </c>
      <c r="E1392" t="s">
        <v>292</v>
      </c>
      <c r="F1392" t="s">
        <v>2</v>
      </c>
      <c r="G1392" t="s">
        <v>38</v>
      </c>
      <c r="H1392" t="s">
        <v>39</v>
      </c>
      <c r="I1392" s="5" t="s">
        <v>294</v>
      </c>
      <c r="J1392" s="5" t="s">
        <v>2</v>
      </c>
      <c r="K1392" s="5" t="s">
        <v>2</v>
      </c>
      <c r="L1392" s="6">
        <f>IF(I1392="Cut","",IF(I1392="Your call","(decide)",IF(I1392="Rename",J1392,IF(I1392="Keep",IF(D1392="",E1392,D1392),IF(E1392="(unchanged)",D1392,E1392)))))</f>
      </c>
      <c r="M1392" s="6">
        <f>IF(AND(I1392="Cut",N1392&gt;0,K1392=""),"USED: say what replaces it (Note)",IF(AND(I1392="Rename",J1392=""),"type the new name",IF(AND(L1392&lt;&gt;"",L1392&lt;&gt;"(decide)",COUNTIF($L$2:$L$1680,L1392)&gt;1),"SAME FINAL NAME AS ANOTHER ROW","")))</f>
      </c>
      <c r="N1392" s="6">
        <v>0</v>
      </c>
      <c r="O1392" s="6" t="s">
        <v>2</v>
      </c>
    </row>
    <row r="1393" spans="1:15" x14ac:dyDescent="0.25">
      <c r="A1393">
        <v>1392</v>
      </c>
      <c r="B1393" t="s">
        <v>1818</v>
      </c>
      <c r="C1393" t="s">
        <v>1846</v>
      </c>
      <c r="D1393" t="s">
        <v>1847</v>
      </c>
      <c r="E1393" t="s">
        <v>292</v>
      </c>
      <c r="F1393" t="s">
        <v>2</v>
      </c>
      <c r="G1393" t="s">
        <v>38</v>
      </c>
      <c r="H1393" t="s">
        <v>39</v>
      </c>
      <c r="I1393" s="5" t="s">
        <v>294</v>
      </c>
      <c r="J1393" s="5" t="s">
        <v>2</v>
      </c>
      <c r="K1393" s="5" t="s">
        <v>2</v>
      </c>
      <c r="L1393" s="6">
        <f>IF(I1393="Cut","",IF(I1393="Your call","(decide)",IF(I1393="Rename",J1393,IF(I1393="Keep",IF(D1393="",E1393,D1393),IF(E1393="(unchanged)",D1393,E1393)))))</f>
      </c>
      <c r="M1393" s="6">
        <f>IF(AND(I1393="Cut",N1393&gt;0,K1393=""),"USED: say what replaces it (Note)",IF(AND(I1393="Rename",J1393=""),"type the new name",IF(AND(L1393&lt;&gt;"",L1393&lt;&gt;"(decide)",COUNTIF($L$2:$L$1680,L1393)&gt;1),"SAME FINAL NAME AS ANOTHER ROW","")))</f>
      </c>
      <c r="N1393" s="6">
        <v>0</v>
      </c>
      <c r="O1393" s="6" t="s">
        <v>2</v>
      </c>
    </row>
    <row r="1394" spans="1:15" x14ac:dyDescent="0.25">
      <c r="A1394">
        <v>1393</v>
      </c>
      <c r="B1394" t="s">
        <v>1818</v>
      </c>
      <c r="C1394" t="s">
        <v>1846</v>
      </c>
      <c r="D1394" t="s">
        <v>1848</v>
      </c>
      <c r="E1394" t="s">
        <v>292</v>
      </c>
      <c r="F1394" t="s">
        <v>2</v>
      </c>
      <c r="G1394" t="s">
        <v>38</v>
      </c>
      <c r="H1394" t="s">
        <v>39</v>
      </c>
      <c r="I1394" s="5" t="s">
        <v>294</v>
      </c>
      <c r="J1394" s="5" t="s">
        <v>2</v>
      </c>
      <c r="K1394" s="5" t="s">
        <v>2</v>
      </c>
      <c r="L1394" s="6">
        <f>IF(I1394="Cut","",IF(I1394="Your call","(decide)",IF(I1394="Rename",J1394,IF(I1394="Keep",IF(D1394="",E1394,D1394),IF(E1394="(unchanged)",D1394,E1394)))))</f>
      </c>
      <c r="M1394" s="6">
        <f>IF(AND(I1394="Cut",N1394&gt;0,K1394=""),"USED: say what replaces it (Note)",IF(AND(I1394="Rename",J1394=""),"type the new name",IF(AND(L1394&lt;&gt;"",L1394&lt;&gt;"(decide)",COUNTIF($L$2:$L$1680,L1394)&gt;1),"SAME FINAL NAME AS ANOTHER ROW","")))</f>
      </c>
      <c r="N1394" s="6">
        <v>0</v>
      </c>
      <c r="O1394" s="6" t="s">
        <v>2</v>
      </c>
    </row>
    <row r="1395" spans="1:15" x14ac:dyDescent="0.25">
      <c r="A1395">
        <v>1394</v>
      </c>
      <c r="B1395" t="s">
        <v>1818</v>
      </c>
      <c r="C1395" t="s">
        <v>1846</v>
      </c>
      <c r="D1395" t="s">
        <v>1849</v>
      </c>
      <c r="E1395" t="s">
        <v>292</v>
      </c>
      <c r="F1395" t="s">
        <v>2</v>
      </c>
      <c r="G1395" t="s">
        <v>38</v>
      </c>
      <c r="H1395" t="s">
        <v>39</v>
      </c>
      <c r="I1395" s="5" t="s">
        <v>294</v>
      </c>
      <c r="J1395" s="5" t="s">
        <v>2</v>
      </c>
      <c r="K1395" s="5" t="s">
        <v>2</v>
      </c>
      <c r="L1395" s="6">
        <f>IF(I1395="Cut","",IF(I1395="Your call","(decide)",IF(I1395="Rename",J1395,IF(I1395="Keep",IF(D1395="",E1395,D1395),IF(E1395="(unchanged)",D1395,E1395)))))</f>
      </c>
      <c r="M1395" s="6">
        <f>IF(AND(I1395="Cut",N1395&gt;0,K1395=""),"USED: say what replaces it (Note)",IF(AND(I1395="Rename",J1395=""),"type the new name",IF(AND(L1395&lt;&gt;"",L1395&lt;&gt;"(decide)",COUNTIF($L$2:$L$1680,L1395)&gt;1),"SAME FINAL NAME AS ANOTHER ROW","")))</f>
      </c>
      <c r="N1395" s="6">
        <v>0</v>
      </c>
      <c r="O1395" s="6" t="s">
        <v>2</v>
      </c>
    </row>
    <row r="1396" spans="1:15" x14ac:dyDescent="0.25">
      <c r="A1396">
        <v>1395</v>
      </c>
      <c r="B1396" t="s">
        <v>1818</v>
      </c>
      <c r="C1396" t="s">
        <v>1846</v>
      </c>
      <c r="D1396" t="s">
        <v>1850</v>
      </c>
      <c r="E1396" t="s">
        <v>292</v>
      </c>
      <c r="F1396" t="s">
        <v>2</v>
      </c>
      <c r="G1396" t="s">
        <v>38</v>
      </c>
      <c r="H1396" t="s">
        <v>39</v>
      </c>
      <c r="I1396" s="5" t="s">
        <v>294</v>
      </c>
      <c r="J1396" s="5" t="s">
        <v>2</v>
      </c>
      <c r="K1396" s="5" t="s">
        <v>2</v>
      </c>
      <c r="L1396" s="6">
        <f>IF(I1396="Cut","",IF(I1396="Your call","(decide)",IF(I1396="Rename",J1396,IF(I1396="Keep",IF(D1396="",E1396,D1396),IF(E1396="(unchanged)",D1396,E1396)))))</f>
      </c>
      <c r="M1396" s="6">
        <f>IF(AND(I1396="Cut",N1396&gt;0,K1396=""),"USED: say what replaces it (Note)",IF(AND(I1396="Rename",J1396=""),"type the new name",IF(AND(L1396&lt;&gt;"",L1396&lt;&gt;"(decide)",COUNTIF($L$2:$L$1680,L1396)&gt;1),"SAME FINAL NAME AS ANOTHER ROW","")))</f>
      </c>
      <c r="N1396" s="6">
        <v>0</v>
      </c>
      <c r="O1396" s="6" t="s">
        <v>2</v>
      </c>
    </row>
    <row r="1397" spans="1:15" x14ac:dyDescent="0.25">
      <c r="A1397">
        <v>1396</v>
      </c>
      <c r="B1397" t="s">
        <v>1818</v>
      </c>
      <c r="C1397" t="s">
        <v>2</v>
      </c>
      <c r="D1397" t="s">
        <v>1851</v>
      </c>
      <c r="E1397" t="s">
        <v>292</v>
      </c>
      <c r="F1397" t="s">
        <v>2</v>
      </c>
      <c r="G1397" t="s">
        <v>38</v>
      </c>
      <c r="H1397" t="s">
        <v>39</v>
      </c>
      <c r="I1397" s="5" t="s">
        <v>294</v>
      </c>
      <c r="J1397" s="5" t="s">
        <v>2</v>
      </c>
      <c r="K1397" s="5" t="s">
        <v>2</v>
      </c>
      <c r="L1397" s="6">
        <f>IF(I1397="Cut","",IF(I1397="Your call","(decide)",IF(I1397="Rename",J1397,IF(I1397="Keep",IF(D1397="",E1397,D1397),IF(E1397="(unchanged)",D1397,E1397)))))</f>
      </c>
      <c r="M1397" s="6">
        <f>IF(AND(I1397="Cut",N1397&gt;0,K1397=""),"USED: say what replaces it (Note)",IF(AND(I1397="Rename",J1397=""),"type the new name",IF(AND(L1397&lt;&gt;"",L1397&lt;&gt;"(decide)",COUNTIF($L$2:$L$1680,L1397)&gt;1),"SAME FINAL NAME AS ANOTHER ROW","")))</f>
      </c>
      <c r="N1397" s="6">
        <v>0</v>
      </c>
      <c r="O1397" s="6" t="s">
        <v>2</v>
      </c>
    </row>
    <row r="1398" spans="1:15" x14ac:dyDescent="0.25">
      <c r="A1398">
        <v>1397</v>
      </c>
      <c r="B1398" t="s">
        <v>1818</v>
      </c>
      <c r="C1398" t="s">
        <v>2</v>
      </c>
      <c r="D1398" t="s">
        <v>1852</v>
      </c>
      <c r="E1398" t="s">
        <v>292</v>
      </c>
      <c r="F1398" t="s">
        <v>2</v>
      </c>
      <c r="G1398" t="s">
        <v>38</v>
      </c>
      <c r="H1398" t="s">
        <v>39</v>
      </c>
      <c r="I1398" s="5" t="s">
        <v>294</v>
      </c>
      <c r="J1398" s="5" t="s">
        <v>2</v>
      </c>
      <c r="K1398" s="5" t="s">
        <v>2</v>
      </c>
      <c r="L1398" s="6">
        <f>IF(I1398="Cut","",IF(I1398="Your call","(decide)",IF(I1398="Rename",J1398,IF(I1398="Keep",IF(D1398="",E1398,D1398),IF(E1398="(unchanged)",D1398,E1398)))))</f>
      </c>
      <c r="M1398" s="6">
        <f>IF(AND(I1398="Cut",N1398&gt;0,K1398=""),"USED: say what replaces it (Note)",IF(AND(I1398="Rename",J1398=""),"type the new name",IF(AND(L1398&lt;&gt;"",L1398&lt;&gt;"(decide)",COUNTIF($L$2:$L$1680,L1398)&gt;1),"SAME FINAL NAME AS ANOTHER ROW","")))</f>
      </c>
      <c r="N1398" s="6">
        <v>0</v>
      </c>
      <c r="O1398" s="6" t="s">
        <v>2</v>
      </c>
    </row>
    <row r="1399" spans="1:15" x14ac:dyDescent="0.25">
      <c r="A1399">
        <v>1398</v>
      </c>
      <c r="B1399" t="s">
        <v>1818</v>
      </c>
      <c r="C1399" t="s">
        <v>1853</v>
      </c>
      <c r="D1399" t="s">
        <v>1854</v>
      </c>
      <c r="E1399" t="s">
        <v>292</v>
      </c>
      <c r="F1399" t="s">
        <v>2</v>
      </c>
      <c r="G1399" t="s">
        <v>38</v>
      </c>
      <c r="H1399" t="s">
        <v>39</v>
      </c>
      <c r="I1399" s="5" t="s">
        <v>294</v>
      </c>
      <c r="J1399" s="5" t="s">
        <v>2</v>
      </c>
      <c r="K1399" s="5" t="s">
        <v>2</v>
      </c>
      <c r="L1399" s="6">
        <f>IF(I1399="Cut","",IF(I1399="Your call","(decide)",IF(I1399="Rename",J1399,IF(I1399="Keep",IF(D1399="",E1399,D1399),IF(E1399="(unchanged)",D1399,E1399)))))</f>
      </c>
      <c r="M1399" s="6">
        <f>IF(AND(I1399="Cut",N1399&gt;0,K1399=""),"USED: say what replaces it (Note)",IF(AND(I1399="Rename",J1399=""),"type the new name",IF(AND(L1399&lt;&gt;"",L1399&lt;&gt;"(decide)",COUNTIF($L$2:$L$1680,L1399)&gt;1),"SAME FINAL NAME AS ANOTHER ROW","")))</f>
      </c>
      <c r="N1399" s="6">
        <v>0</v>
      </c>
      <c r="O1399" s="6" t="s">
        <v>2</v>
      </c>
    </row>
    <row r="1400" spans="1:15" x14ac:dyDescent="0.25">
      <c r="A1400">
        <v>1399</v>
      </c>
      <c r="B1400" t="s">
        <v>1818</v>
      </c>
      <c r="C1400" t="s">
        <v>1853</v>
      </c>
      <c r="D1400" t="s">
        <v>1855</v>
      </c>
      <c r="E1400" t="s">
        <v>292</v>
      </c>
      <c r="F1400" t="s">
        <v>2</v>
      </c>
      <c r="G1400" t="s">
        <v>38</v>
      </c>
      <c r="H1400" t="s">
        <v>39</v>
      </c>
      <c r="I1400" s="5" t="s">
        <v>294</v>
      </c>
      <c r="J1400" s="5" t="s">
        <v>2</v>
      </c>
      <c r="K1400" s="5" t="s">
        <v>2</v>
      </c>
      <c r="L1400" s="6">
        <f>IF(I1400="Cut","",IF(I1400="Your call","(decide)",IF(I1400="Rename",J1400,IF(I1400="Keep",IF(D1400="",E1400,D1400),IF(E1400="(unchanged)",D1400,E1400)))))</f>
      </c>
      <c r="M1400" s="6">
        <f>IF(AND(I1400="Cut",N1400&gt;0,K1400=""),"USED: say what replaces it (Note)",IF(AND(I1400="Rename",J1400=""),"type the new name",IF(AND(L1400&lt;&gt;"",L1400&lt;&gt;"(decide)",COUNTIF($L$2:$L$1680,L1400)&gt;1),"SAME FINAL NAME AS ANOTHER ROW","")))</f>
      </c>
      <c r="N1400" s="6">
        <v>0</v>
      </c>
      <c r="O1400" s="6" t="s">
        <v>2</v>
      </c>
    </row>
    <row r="1401" spans="1:15" x14ac:dyDescent="0.25">
      <c r="A1401">
        <v>1400</v>
      </c>
      <c r="B1401" t="s">
        <v>1818</v>
      </c>
      <c r="C1401" t="s">
        <v>1853</v>
      </c>
      <c r="D1401" t="s">
        <v>1856</v>
      </c>
      <c r="E1401" t="s">
        <v>292</v>
      </c>
      <c r="F1401" t="s">
        <v>2</v>
      </c>
      <c r="G1401" t="s">
        <v>38</v>
      </c>
      <c r="H1401" t="s">
        <v>39</v>
      </c>
      <c r="I1401" s="5" t="s">
        <v>294</v>
      </c>
      <c r="J1401" s="5" t="s">
        <v>2</v>
      </c>
      <c r="K1401" s="5" t="s">
        <v>2</v>
      </c>
      <c r="L1401" s="6">
        <f>IF(I1401="Cut","",IF(I1401="Your call","(decide)",IF(I1401="Rename",J1401,IF(I1401="Keep",IF(D1401="",E1401,D1401),IF(E1401="(unchanged)",D1401,E1401)))))</f>
      </c>
      <c r="M1401" s="6">
        <f>IF(AND(I1401="Cut",N1401&gt;0,K1401=""),"USED: say what replaces it (Note)",IF(AND(I1401="Rename",J1401=""),"type the new name",IF(AND(L1401&lt;&gt;"",L1401&lt;&gt;"(decide)",COUNTIF($L$2:$L$1680,L1401)&gt;1),"SAME FINAL NAME AS ANOTHER ROW","")))</f>
      </c>
      <c r="N1401" s="6">
        <v>0</v>
      </c>
      <c r="O1401" s="6" t="s">
        <v>2</v>
      </c>
    </row>
    <row r="1402" spans="1:15" x14ac:dyDescent="0.25">
      <c r="A1402">
        <v>1401</v>
      </c>
      <c r="B1402" t="s">
        <v>1818</v>
      </c>
      <c r="C1402" t="s">
        <v>1853</v>
      </c>
      <c r="D1402" t="s">
        <v>1857</v>
      </c>
      <c r="E1402" t="s">
        <v>292</v>
      </c>
      <c r="F1402" t="s">
        <v>2</v>
      </c>
      <c r="G1402" t="s">
        <v>38</v>
      </c>
      <c r="H1402" t="s">
        <v>39</v>
      </c>
      <c r="I1402" s="5" t="s">
        <v>294</v>
      </c>
      <c r="J1402" s="5" t="s">
        <v>2</v>
      </c>
      <c r="K1402" s="5" t="s">
        <v>2</v>
      </c>
      <c r="L1402" s="6">
        <f>IF(I1402="Cut","",IF(I1402="Your call","(decide)",IF(I1402="Rename",J1402,IF(I1402="Keep",IF(D1402="",E1402,D1402),IF(E1402="(unchanged)",D1402,E1402)))))</f>
      </c>
      <c r="M1402" s="6">
        <f>IF(AND(I1402="Cut",N1402&gt;0,K1402=""),"USED: say what replaces it (Note)",IF(AND(I1402="Rename",J1402=""),"type the new name",IF(AND(L1402&lt;&gt;"",L1402&lt;&gt;"(decide)",COUNTIF($L$2:$L$1680,L1402)&gt;1),"SAME FINAL NAME AS ANOTHER ROW","")))</f>
      </c>
      <c r="N1402" s="6">
        <v>0</v>
      </c>
      <c r="O1402" s="6" t="s">
        <v>2</v>
      </c>
    </row>
    <row r="1403" spans="1:15" x14ac:dyDescent="0.25">
      <c r="A1403">
        <v>1402</v>
      </c>
      <c r="B1403" t="s">
        <v>1818</v>
      </c>
      <c r="C1403" t="s">
        <v>1853</v>
      </c>
      <c r="D1403" t="s">
        <v>1858</v>
      </c>
      <c r="E1403" t="s">
        <v>292</v>
      </c>
      <c r="F1403" t="s">
        <v>2</v>
      </c>
      <c r="G1403" t="s">
        <v>38</v>
      </c>
      <c r="H1403" t="s">
        <v>39</v>
      </c>
      <c r="I1403" s="5" t="s">
        <v>294</v>
      </c>
      <c r="J1403" s="5" t="s">
        <v>2</v>
      </c>
      <c r="K1403" s="5" t="s">
        <v>2</v>
      </c>
      <c r="L1403" s="6">
        <f>IF(I1403="Cut","",IF(I1403="Your call","(decide)",IF(I1403="Rename",J1403,IF(I1403="Keep",IF(D1403="",E1403,D1403),IF(E1403="(unchanged)",D1403,E1403)))))</f>
      </c>
      <c r="M1403" s="6">
        <f>IF(AND(I1403="Cut",N1403&gt;0,K1403=""),"USED: say what replaces it (Note)",IF(AND(I1403="Rename",J1403=""),"type the new name",IF(AND(L1403&lt;&gt;"",L1403&lt;&gt;"(decide)",COUNTIF($L$2:$L$1680,L1403)&gt;1),"SAME FINAL NAME AS ANOTHER ROW","")))</f>
      </c>
      <c r="N1403" s="6">
        <v>0</v>
      </c>
      <c r="O1403" s="6" t="s">
        <v>2</v>
      </c>
    </row>
    <row r="1404" spans="1:15" x14ac:dyDescent="0.25">
      <c r="A1404">
        <v>1403</v>
      </c>
      <c r="B1404" t="s">
        <v>1818</v>
      </c>
      <c r="C1404" t="s">
        <v>1853</v>
      </c>
      <c r="D1404" t="s">
        <v>1859</v>
      </c>
      <c r="E1404" t="s">
        <v>292</v>
      </c>
      <c r="F1404" t="s">
        <v>2</v>
      </c>
      <c r="G1404" t="s">
        <v>38</v>
      </c>
      <c r="H1404" t="s">
        <v>39</v>
      </c>
      <c r="I1404" s="5" t="s">
        <v>294</v>
      </c>
      <c r="J1404" s="5" t="s">
        <v>2</v>
      </c>
      <c r="K1404" s="5" t="s">
        <v>2</v>
      </c>
      <c r="L1404" s="6">
        <f>IF(I1404="Cut","",IF(I1404="Your call","(decide)",IF(I1404="Rename",J1404,IF(I1404="Keep",IF(D1404="",E1404,D1404),IF(E1404="(unchanged)",D1404,E1404)))))</f>
      </c>
      <c r="M1404" s="6">
        <f>IF(AND(I1404="Cut",N1404&gt;0,K1404=""),"USED: say what replaces it (Note)",IF(AND(I1404="Rename",J1404=""),"type the new name",IF(AND(L1404&lt;&gt;"",L1404&lt;&gt;"(decide)",COUNTIF($L$2:$L$1680,L1404)&gt;1),"SAME FINAL NAME AS ANOTHER ROW","")))</f>
      </c>
      <c r="N1404" s="6">
        <v>0</v>
      </c>
      <c r="O1404" s="6" t="s">
        <v>2</v>
      </c>
    </row>
    <row r="1405" spans="1:15" x14ac:dyDescent="0.25">
      <c r="A1405">
        <v>1404</v>
      </c>
      <c r="B1405" t="s">
        <v>1818</v>
      </c>
      <c r="C1405" t="s">
        <v>1853</v>
      </c>
      <c r="D1405" t="s">
        <v>1860</v>
      </c>
      <c r="E1405" t="s">
        <v>292</v>
      </c>
      <c r="F1405" t="s">
        <v>2</v>
      </c>
      <c r="G1405" t="s">
        <v>38</v>
      </c>
      <c r="H1405" t="s">
        <v>39</v>
      </c>
      <c r="I1405" s="5" t="s">
        <v>294</v>
      </c>
      <c r="J1405" s="5" t="s">
        <v>2</v>
      </c>
      <c r="K1405" s="5" t="s">
        <v>2</v>
      </c>
      <c r="L1405" s="6">
        <f>IF(I1405="Cut","",IF(I1405="Your call","(decide)",IF(I1405="Rename",J1405,IF(I1405="Keep",IF(D1405="",E1405,D1405),IF(E1405="(unchanged)",D1405,E1405)))))</f>
      </c>
      <c r="M1405" s="6">
        <f>IF(AND(I1405="Cut",N1405&gt;0,K1405=""),"USED: say what replaces it (Note)",IF(AND(I1405="Rename",J1405=""),"type the new name",IF(AND(L1405&lt;&gt;"",L1405&lt;&gt;"(decide)",COUNTIF($L$2:$L$1680,L1405)&gt;1),"SAME FINAL NAME AS ANOTHER ROW","")))</f>
      </c>
      <c r="N1405" s="6">
        <v>0</v>
      </c>
      <c r="O1405" s="6" t="s">
        <v>2</v>
      </c>
    </row>
    <row r="1406" spans="1:15" x14ac:dyDescent="0.25">
      <c r="A1406">
        <v>1405</v>
      </c>
      <c r="B1406" t="s">
        <v>1818</v>
      </c>
      <c r="C1406" t="s">
        <v>1853</v>
      </c>
      <c r="D1406" t="s">
        <v>1861</v>
      </c>
      <c r="E1406" t="s">
        <v>292</v>
      </c>
      <c r="F1406" t="s">
        <v>2</v>
      </c>
      <c r="G1406" t="s">
        <v>38</v>
      </c>
      <c r="H1406" t="s">
        <v>39</v>
      </c>
      <c r="I1406" s="5" t="s">
        <v>294</v>
      </c>
      <c r="J1406" s="5" t="s">
        <v>2</v>
      </c>
      <c r="K1406" s="5" t="s">
        <v>2</v>
      </c>
      <c r="L1406" s="6">
        <f>IF(I1406="Cut","",IF(I1406="Your call","(decide)",IF(I1406="Rename",J1406,IF(I1406="Keep",IF(D1406="",E1406,D1406),IF(E1406="(unchanged)",D1406,E1406)))))</f>
      </c>
      <c r="M1406" s="6">
        <f>IF(AND(I1406="Cut",N1406&gt;0,K1406=""),"USED: say what replaces it (Note)",IF(AND(I1406="Rename",J1406=""),"type the new name",IF(AND(L1406&lt;&gt;"",L1406&lt;&gt;"(decide)",COUNTIF($L$2:$L$1680,L1406)&gt;1),"SAME FINAL NAME AS ANOTHER ROW","")))</f>
      </c>
      <c r="N1406" s="6">
        <v>0</v>
      </c>
      <c r="O1406" s="6" t="s">
        <v>2</v>
      </c>
    </row>
    <row r="1407" spans="1:15" x14ac:dyDescent="0.25">
      <c r="A1407">
        <v>1406</v>
      </c>
      <c r="B1407" t="s">
        <v>1818</v>
      </c>
      <c r="C1407" t="s">
        <v>1853</v>
      </c>
      <c r="D1407" t="s">
        <v>1862</v>
      </c>
      <c r="E1407" t="s">
        <v>292</v>
      </c>
      <c r="F1407" t="s">
        <v>2</v>
      </c>
      <c r="G1407" t="s">
        <v>38</v>
      </c>
      <c r="H1407" t="s">
        <v>39</v>
      </c>
      <c r="I1407" s="5" t="s">
        <v>294</v>
      </c>
      <c r="J1407" s="5" t="s">
        <v>2</v>
      </c>
      <c r="K1407" s="5" t="s">
        <v>2</v>
      </c>
      <c r="L1407" s="6">
        <f>IF(I1407="Cut","",IF(I1407="Your call","(decide)",IF(I1407="Rename",J1407,IF(I1407="Keep",IF(D1407="",E1407,D1407),IF(E1407="(unchanged)",D1407,E1407)))))</f>
      </c>
      <c r="M1407" s="6">
        <f>IF(AND(I1407="Cut",N1407&gt;0,K1407=""),"USED: say what replaces it (Note)",IF(AND(I1407="Rename",J1407=""),"type the new name",IF(AND(L1407&lt;&gt;"",L1407&lt;&gt;"(decide)",COUNTIF($L$2:$L$1680,L1407)&gt;1),"SAME FINAL NAME AS ANOTHER ROW","")))</f>
      </c>
      <c r="N1407" s="6">
        <v>0</v>
      </c>
      <c r="O1407" s="6" t="s">
        <v>2</v>
      </c>
    </row>
    <row r="1408" spans="1:15" x14ac:dyDescent="0.25">
      <c r="A1408">
        <v>1407</v>
      </c>
      <c r="B1408" t="s">
        <v>1818</v>
      </c>
      <c r="C1408" t="s">
        <v>2</v>
      </c>
      <c r="D1408" t="s">
        <v>1863</v>
      </c>
      <c r="E1408" t="s">
        <v>292</v>
      </c>
      <c r="F1408" t="s">
        <v>2</v>
      </c>
      <c r="G1408" t="s">
        <v>38</v>
      </c>
      <c r="H1408" t="s">
        <v>39</v>
      </c>
      <c r="I1408" s="5" t="s">
        <v>294</v>
      </c>
      <c r="J1408" s="5" t="s">
        <v>2</v>
      </c>
      <c r="K1408" s="5" t="s">
        <v>2</v>
      </c>
      <c r="L1408" s="6">
        <f>IF(I1408="Cut","",IF(I1408="Your call","(decide)",IF(I1408="Rename",J1408,IF(I1408="Keep",IF(D1408="",E1408,D1408),IF(E1408="(unchanged)",D1408,E1408)))))</f>
      </c>
      <c r="M1408" s="6">
        <f>IF(AND(I1408="Cut",N1408&gt;0,K1408=""),"USED: say what replaces it (Note)",IF(AND(I1408="Rename",J1408=""),"type the new name",IF(AND(L1408&lt;&gt;"",L1408&lt;&gt;"(decide)",COUNTIF($L$2:$L$1680,L1408)&gt;1),"SAME FINAL NAME AS ANOTHER ROW","")))</f>
      </c>
      <c r="N1408" s="6">
        <v>0</v>
      </c>
      <c r="O1408" s="6" t="s">
        <v>2</v>
      </c>
    </row>
    <row r="1409" spans="1:15" x14ac:dyDescent="0.25">
      <c r="A1409">
        <v>1408</v>
      </c>
      <c r="B1409" t="s">
        <v>1818</v>
      </c>
      <c r="C1409" t="s">
        <v>2</v>
      </c>
      <c r="D1409" t="s">
        <v>1864</v>
      </c>
      <c r="E1409" t="s">
        <v>292</v>
      </c>
      <c r="F1409" t="s">
        <v>2</v>
      </c>
      <c r="G1409" t="s">
        <v>38</v>
      </c>
      <c r="H1409" t="s">
        <v>39</v>
      </c>
      <c r="I1409" s="5" t="s">
        <v>294</v>
      </c>
      <c r="J1409" s="5" t="s">
        <v>2</v>
      </c>
      <c r="K1409" s="5" t="s">
        <v>2</v>
      </c>
      <c r="L1409" s="6">
        <f>IF(I1409="Cut","",IF(I1409="Your call","(decide)",IF(I1409="Rename",J1409,IF(I1409="Keep",IF(D1409="",E1409,D1409),IF(E1409="(unchanged)",D1409,E1409)))))</f>
      </c>
      <c r="M1409" s="6">
        <f>IF(AND(I1409="Cut",N1409&gt;0,K1409=""),"USED: say what replaces it (Note)",IF(AND(I1409="Rename",J1409=""),"type the new name",IF(AND(L1409&lt;&gt;"",L1409&lt;&gt;"(decide)",COUNTIF($L$2:$L$1680,L1409)&gt;1),"SAME FINAL NAME AS ANOTHER ROW","")))</f>
      </c>
      <c r="N1409" s="6">
        <v>0</v>
      </c>
      <c r="O1409" s="6" t="s">
        <v>2</v>
      </c>
    </row>
    <row r="1410" spans="1:15" x14ac:dyDescent="0.25">
      <c r="A1410">
        <v>1409</v>
      </c>
      <c r="B1410" t="s">
        <v>1818</v>
      </c>
      <c r="C1410" t="s">
        <v>2</v>
      </c>
      <c r="D1410" t="s">
        <v>1865</v>
      </c>
      <c r="E1410" t="s">
        <v>292</v>
      </c>
      <c r="F1410" t="s">
        <v>2</v>
      </c>
      <c r="G1410" t="s">
        <v>38</v>
      </c>
      <c r="H1410" t="s">
        <v>39</v>
      </c>
      <c r="I1410" s="5" t="s">
        <v>294</v>
      </c>
      <c r="J1410" s="5" t="s">
        <v>2</v>
      </c>
      <c r="K1410" s="5" t="s">
        <v>2</v>
      </c>
      <c r="L1410" s="6">
        <f>IF(I1410="Cut","",IF(I1410="Your call","(decide)",IF(I1410="Rename",J1410,IF(I1410="Keep",IF(D1410="",E1410,D1410),IF(E1410="(unchanged)",D1410,E1410)))))</f>
      </c>
      <c r="M1410" s="6">
        <f>IF(AND(I1410="Cut",N1410&gt;0,K1410=""),"USED: say what replaces it (Note)",IF(AND(I1410="Rename",J1410=""),"type the new name",IF(AND(L1410&lt;&gt;"",L1410&lt;&gt;"(decide)",COUNTIF($L$2:$L$1680,L1410)&gt;1),"SAME FINAL NAME AS ANOTHER ROW","")))</f>
      </c>
      <c r="N1410" s="6">
        <v>0</v>
      </c>
      <c r="O1410" s="6" t="s">
        <v>2</v>
      </c>
    </row>
    <row r="1411" spans="1:15" x14ac:dyDescent="0.25">
      <c r="A1411">
        <v>1410</v>
      </c>
      <c r="B1411" t="s">
        <v>1818</v>
      </c>
      <c r="C1411" t="s">
        <v>2</v>
      </c>
      <c r="D1411" t="s">
        <v>1866</v>
      </c>
      <c r="E1411" t="s">
        <v>292</v>
      </c>
      <c r="F1411" t="s">
        <v>2</v>
      </c>
      <c r="G1411" t="s">
        <v>38</v>
      </c>
      <c r="H1411" t="s">
        <v>39</v>
      </c>
      <c r="I1411" s="5" t="s">
        <v>294</v>
      </c>
      <c r="J1411" s="5" t="s">
        <v>2</v>
      </c>
      <c r="K1411" s="5" t="s">
        <v>2</v>
      </c>
      <c r="L1411" s="6">
        <f>IF(I1411="Cut","",IF(I1411="Your call","(decide)",IF(I1411="Rename",J1411,IF(I1411="Keep",IF(D1411="",E1411,D1411),IF(E1411="(unchanged)",D1411,E1411)))))</f>
      </c>
      <c r="M1411" s="6">
        <f>IF(AND(I1411="Cut",N1411&gt;0,K1411=""),"USED: say what replaces it (Note)",IF(AND(I1411="Rename",J1411=""),"type the new name",IF(AND(L1411&lt;&gt;"",L1411&lt;&gt;"(decide)",COUNTIF($L$2:$L$1680,L1411)&gt;1),"SAME FINAL NAME AS ANOTHER ROW","")))</f>
      </c>
      <c r="N1411" s="6">
        <v>0</v>
      </c>
      <c r="O1411" s="6" t="s">
        <v>2</v>
      </c>
    </row>
    <row r="1412" spans="1:15" x14ac:dyDescent="0.25">
      <c r="A1412">
        <v>1411</v>
      </c>
      <c r="B1412" t="s">
        <v>1818</v>
      </c>
      <c r="C1412" t="s">
        <v>2</v>
      </c>
      <c r="D1412" t="s">
        <v>1867</v>
      </c>
      <c r="E1412" t="s">
        <v>292</v>
      </c>
      <c r="F1412" t="s">
        <v>2</v>
      </c>
      <c r="G1412" t="s">
        <v>151</v>
      </c>
      <c r="H1412" t="s">
        <v>39</v>
      </c>
      <c r="I1412" s="5" t="s">
        <v>294</v>
      </c>
      <c r="J1412" s="5" t="s">
        <v>2</v>
      </c>
      <c r="K1412" s="5" t="s">
        <v>2</v>
      </c>
      <c r="L1412" s="6">
        <f>IF(I1412="Cut","",IF(I1412="Your call","(decide)",IF(I1412="Rename",J1412,IF(I1412="Keep",IF(D1412="",E1412,D1412),IF(E1412="(unchanged)",D1412,E1412)))))</f>
      </c>
      <c r="M1412" s="6">
        <f>IF(AND(I1412="Cut",N1412&gt;0,K1412=""),"USED: say what replaces it (Note)",IF(AND(I1412="Rename",J1412=""),"type the new name",IF(AND(L1412&lt;&gt;"",L1412&lt;&gt;"(decide)",COUNTIF($L$2:$L$1680,L1412)&gt;1),"SAME FINAL NAME AS ANOTHER ROW","")))</f>
      </c>
      <c r="N1412" s="6">
        <v>5</v>
      </c>
      <c r="O1412" s="6" t="s">
        <v>2</v>
      </c>
    </row>
    <row r="1413" spans="1:15" x14ac:dyDescent="0.25">
      <c r="A1413">
        <v>1412</v>
      </c>
      <c r="B1413" t="s">
        <v>1818</v>
      </c>
      <c r="C1413" t="s">
        <v>2</v>
      </c>
      <c r="D1413" t="s">
        <v>1868</v>
      </c>
      <c r="E1413" t="s">
        <v>292</v>
      </c>
      <c r="F1413" t="s">
        <v>2</v>
      </c>
      <c r="G1413" t="s">
        <v>94</v>
      </c>
      <c r="H1413" t="s">
        <v>39</v>
      </c>
      <c r="I1413" s="5" t="s">
        <v>294</v>
      </c>
      <c r="J1413" s="5" t="s">
        <v>2</v>
      </c>
      <c r="K1413" s="5" t="s">
        <v>2</v>
      </c>
      <c r="L1413" s="6">
        <f>IF(I1413="Cut","",IF(I1413="Your call","(decide)",IF(I1413="Rename",J1413,IF(I1413="Keep",IF(D1413="",E1413,D1413),IF(E1413="(unchanged)",D1413,E1413)))))</f>
      </c>
      <c r="M1413" s="6">
        <f>IF(AND(I1413="Cut",N1413&gt;0,K1413=""),"USED: say what replaces it (Note)",IF(AND(I1413="Rename",J1413=""),"type the new name",IF(AND(L1413&lt;&gt;"",L1413&lt;&gt;"(decide)",COUNTIF($L$2:$L$1680,L1413)&gt;1),"SAME FINAL NAME AS ANOTHER ROW","")))</f>
      </c>
      <c r="N1413" s="6">
        <v>1</v>
      </c>
      <c r="O1413" s="6" t="s">
        <v>2</v>
      </c>
    </row>
    <row r="1414" spans="1:15" x14ac:dyDescent="0.25">
      <c r="A1414">
        <v>1413</v>
      </c>
      <c r="B1414" t="s">
        <v>1818</v>
      </c>
      <c r="C1414" t="s">
        <v>2</v>
      </c>
      <c r="D1414" t="s">
        <v>1869</v>
      </c>
      <c r="E1414" t="s">
        <v>292</v>
      </c>
      <c r="F1414" t="s">
        <v>2</v>
      </c>
      <c r="G1414" t="s">
        <v>38</v>
      </c>
      <c r="H1414" t="s">
        <v>39</v>
      </c>
      <c r="I1414" s="5" t="s">
        <v>294</v>
      </c>
      <c r="J1414" s="5" t="s">
        <v>2</v>
      </c>
      <c r="K1414" s="5" t="s">
        <v>2</v>
      </c>
      <c r="L1414" s="6">
        <f>IF(I1414="Cut","",IF(I1414="Your call","(decide)",IF(I1414="Rename",J1414,IF(I1414="Keep",IF(D1414="",E1414,D1414),IF(E1414="(unchanged)",D1414,E1414)))))</f>
      </c>
      <c r="M1414" s="6">
        <f>IF(AND(I1414="Cut",N1414&gt;0,K1414=""),"USED: say what replaces it (Note)",IF(AND(I1414="Rename",J1414=""),"type the new name",IF(AND(L1414&lt;&gt;"",L1414&lt;&gt;"(decide)",COUNTIF($L$2:$L$1680,L1414)&gt;1),"SAME FINAL NAME AS ANOTHER ROW","")))</f>
      </c>
      <c r="N1414" s="6">
        <v>0</v>
      </c>
      <c r="O1414" s="6" t="s">
        <v>2</v>
      </c>
    </row>
    <row r="1415" spans="1:15" x14ac:dyDescent="0.25">
      <c r="A1415">
        <v>1414</v>
      </c>
      <c r="B1415" t="s">
        <v>1818</v>
      </c>
      <c r="C1415" t="s">
        <v>2</v>
      </c>
      <c r="D1415" t="s">
        <v>1870</v>
      </c>
      <c r="E1415" t="s">
        <v>292</v>
      </c>
      <c r="F1415" t="s">
        <v>2</v>
      </c>
      <c r="G1415" t="s">
        <v>48</v>
      </c>
      <c r="H1415" t="s">
        <v>39</v>
      </c>
      <c r="I1415" s="5" t="s">
        <v>294</v>
      </c>
      <c r="J1415" s="5" t="s">
        <v>2</v>
      </c>
      <c r="K1415" s="5" t="s">
        <v>2</v>
      </c>
      <c r="L1415" s="6">
        <f>IF(I1415="Cut","",IF(I1415="Your call","(decide)",IF(I1415="Rename",J1415,IF(I1415="Keep",IF(D1415="",E1415,D1415),IF(E1415="(unchanged)",D1415,E1415)))))</f>
      </c>
      <c r="M1415" s="6">
        <f>IF(AND(I1415="Cut",N1415&gt;0,K1415=""),"USED: say what replaces it (Note)",IF(AND(I1415="Rename",J1415=""),"type the new name",IF(AND(L1415&lt;&gt;"",L1415&lt;&gt;"(decide)",COUNTIF($L$2:$L$1680,L1415)&gt;1),"SAME FINAL NAME AS ANOTHER ROW","")))</f>
      </c>
      <c r="N1415" s="6">
        <v>2</v>
      </c>
      <c r="O1415" s="6" t="s">
        <v>2</v>
      </c>
    </row>
    <row r="1416" spans="1:15" x14ac:dyDescent="0.25">
      <c r="A1416">
        <v>1415</v>
      </c>
      <c r="B1416" t="s">
        <v>1818</v>
      </c>
      <c r="C1416" t="s">
        <v>1871</v>
      </c>
      <c r="D1416" t="s">
        <v>1872</v>
      </c>
      <c r="E1416" t="s">
        <v>292</v>
      </c>
      <c r="F1416" t="s">
        <v>2</v>
      </c>
      <c r="G1416" t="s">
        <v>38</v>
      </c>
      <c r="H1416" t="s">
        <v>39</v>
      </c>
      <c r="I1416" s="5" t="s">
        <v>294</v>
      </c>
      <c r="J1416" s="5" t="s">
        <v>2</v>
      </c>
      <c r="K1416" s="5" t="s">
        <v>2</v>
      </c>
      <c r="L1416" s="6">
        <f>IF(I1416="Cut","",IF(I1416="Your call","(decide)",IF(I1416="Rename",J1416,IF(I1416="Keep",IF(D1416="",E1416,D1416),IF(E1416="(unchanged)",D1416,E1416)))))</f>
      </c>
      <c r="M1416" s="6">
        <f>IF(AND(I1416="Cut",N1416&gt;0,K1416=""),"USED: say what replaces it (Note)",IF(AND(I1416="Rename",J1416=""),"type the new name",IF(AND(L1416&lt;&gt;"",L1416&lt;&gt;"(decide)",COUNTIF($L$2:$L$1680,L1416)&gt;1),"SAME FINAL NAME AS ANOTHER ROW","")))</f>
      </c>
      <c r="N1416" s="6">
        <v>0</v>
      </c>
      <c r="O1416" s="6" t="s">
        <v>2</v>
      </c>
    </row>
    <row r="1417" spans="1:15" x14ac:dyDescent="0.25">
      <c r="A1417">
        <v>1416</v>
      </c>
      <c r="B1417" t="s">
        <v>1818</v>
      </c>
      <c r="C1417" t="s">
        <v>1871</v>
      </c>
      <c r="D1417" t="s">
        <v>1873</v>
      </c>
      <c r="E1417" t="s">
        <v>292</v>
      </c>
      <c r="F1417" t="s">
        <v>2</v>
      </c>
      <c r="G1417" t="s">
        <v>38</v>
      </c>
      <c r="H1417" t="s">
        <v>39</v>
      </c>
      <c r="I1417" s="5" t="s">
        <v>294</v>
      </c>
      <c r="J1417" s="5" t="s">
        <v>2</v>
      </c>
      <c r="K1417" s="5" t="s">
        <v>2</v>
      </c>
      <c r="L1417" s="6">
        <f>IF(I1417="Cut","",IF(I1417="Your call","(decide)",IF(I1417="Rename",J1417,IF(I1417="Keep",IF(D1417="",E1417,D1417),IF(E1417="(unchanged)",D1417,E1417)))))</f>
      </c>
      <c r="M1417" s="6">
        <f>IF(AND(I1417="Cut",N1417&gt;0,K1417=""),"USED: say what replaces it (Note)",IF(AND(I1417="Rename",J1417=""),"type the new name",IF(AND(L1417&lt;&gt;"",L1417&lt;&gt;"(decide)",COUNTIF($L$2:$L$1680,L1417)&gt;1),"SAME FINAL NAME AS ANOTHER ROW","")))</f>
      </c>
      <c r="N1417" s="6">
        <v>0</v>
      </c>
      <c r="O1417" s="6" t="s">
        <v>2</v>
      </c>
    </row>
    <row r="1418" spans="1:15" x14ac:dyDescent="0.25">
      <c r="A1418">
        <v>1417</v>
      </c>
      <c r="B1418" t="s">
        <v>1818</v>
      </c>
      <c r="C1418" t="s">
        <v>1874</v>
      </c>
      <c r="D1418" t="s">
        <v>1875</v>
      </c>
      <c r="E1418" t="s">
        <v>292</v>
      </c>
      <c r="F1418" t="s">
        <v>2</v>
      </c>
      <c r="G1418" t="s">
        <v>38</v>
      </c>
      <c r="H1418" t="s">
        <v>39</v>
      </c>
      <c r="I1418" s="5" t="s">
        <v>294</v>
      </c>
      <c r="J1418" s="5" t="s">
        <v>2</v>
      </c>
      <c r="K1418" s="5" t="s">
        <v>2</v>
      </c>
      <c r="L1418" s="6">
        <f>IF(I1418="Cut","",IF(I1418="Your call","(decide)",IF(I1418="Rename",J1418,IF(I1418="Keep",IF(D1418="",E1418,D1418),IF(E1418="(unchanged)",D1418,E1418)))))</f>
      </c>
      <c r="M1418" s="6">
        <f>IF(AND(I1418="Cut",N1418&gt;0,K1418=""),"USED: say what replaces it (Note)",IF(AND(I1418="Rename",J1418=""),"type the new name",IF(AND(L1418&lt;&gt;"",L1418&lt;&gt;"(decide)",COUNTIF($L$2:$L$1680,L1418)&gt;1),"SAME FINAL NAME AS ANOTHER ROW","")))</f>
      </c>
      <c r="N1418" s="6">
        <v>0</v>
      </c>
      <c r="O1418" s="6" t="s">
        <v>2</v>
      </c>
    </row>
    <row r="1419" spans="1:15" x14ac:dyDescent="0.25">
      <c r="A1419">
        <v>1418</v>
      </c>
      <c r="B1419" t="s">
        <v>1818</v>
      </c>
      <c r="C1419" t="s">
        <v>1876</v>
      </c>
      <c r="D1419" t="s">
        <v>1877</v>
      </c>
      <c r="E1419" t="s">
        <v>292</v>
      </c>
      <c r="F1419" t="s">
        <v>2</v>
      </c>
      <c r="G1419" t="s">
        <v>38</v>
      </c>
      <c r="H1419" t="s">
        <v>39</v>
      </c>
      <c r="I1419" s="5" t="s">
        <v>294</v>
      </c>
      <c r="J1419" s="5" t="s">
        <v>2</v>
      </c>
      <c r="K1419" s="5" t="s">
        <v>2</v>
      </c>
      <c r="L1419" s="6">
        <f>IF(I1419="Cut","",IF(I1419="Your call","(decide)",IF(I1419="Rename",J1419,IF(I1419="Keep",IF(D1419="",E1419,D1419),IF(E1419="(unchanged)",D1419,E1419)))))</f>
      </c>
      <c r="M1419" s="6">
        <f>IF(AND(I1419="Cut",N1419&gt;0,K1419=""),"USED: say what replaces it (Note)",IF(AND(I1419="Rename",J1419=""),"type the new name",IF(AND(L1419&lt;&gt;"",L1419&lt;&gt;"(decide)",COUNTIF($L$2:$L$1680,L1419)&gt;1),"SAME FINAL NAME AS ANOTHER ROW","")))</f>
      </c>
      <c r="N1419" s="6">
        <v>0</v>
      </c>
      <c r="O1419" s="6" t="s">
        <v>2</v>
      </c>
    </row>
    <row r="1420" spans="1:15" x14ac:dyDescent="0.25">
      <c r="A1420">
        <v>1419</v>
      </c>
      <c r="B1420" t="s">
        <v>1818</v>
      </c>
      <c r="C1420" t="s">
        <v>1878</v>
      </c>
      <c r="D1420" t="s">
        <v>1879</v>
      </c>
      <c r="E1420" t="s">
        <v>292</v>
      </c>
      <c r="F1420" t="s">
        <v>2</v>
      </c>
      <c r="G1420" t="s">
        <v>38</v>
      </c>
      <c r="H1420" t="s">
        <v>39</v>
      </c>
      <c r="I1420" s="5" t="s">
        <v>294</v>
      </c>
      <c r="J1420" s="5" t="s">
        <v>2</v>
      </c>
      <c r="K1420" s="5" t="s">
        <v>2</v>
      </c>
      <c r="L1420" s="6">
        <f>IF(I1420="Cut","",IF(I1420="Your call","(decide)",IF(I1420="Rename",J1420,IF(I1420="Keep",IF(D1420="",E1420,D1420),IF(E1420="(unchanged)",D1420,E1420)))))</f>
      </c>
      <c r="M1420" s="6">
        <f>IF(AND(I1420="Cut",N1420&gt;0,K1420=""),"USED: say what replaces it (Note)",IF(AND(I1420="Rename",J1420=""),"type the new name",IF(AND(L1420&lt;&gt;"",L1420&lt;&gt;"(decide)",COUNTIF($L$2:$L$1680,L1420)&gt;1),"SAME FINAL NAME AS ANOTHER ROW","")))</f>
      </c>
      <c r="N1420" s="6">
        <v>0</v>
      </c>
      <c r="O1420" s="6" t="s">
        <v>2</v>
      </c>
    </row>
    <row r="1421" spans="1:15" x14ac:dyDescent="0.25">
      <c r="A1421">
        <v>1420</v>
      </c>
      <c r="B1421" t="s">
        <v>1880</v>
      </c>
      <c r="C1421" t="s">
        <v>2</v>
      </c>
      <c r="D1421" t="s">
        <v>1881</v>
      </c>
      <c r="E1421" t="s">
        <v>292</v>
      </c>
      <c r="F1421" t="s">
        <v>2</v>
      </c>
      <c r="G1421" t="s">
        <v>58</v>
      </c>
      <c r="H1421" t="s">
        <v>39</v>
      </c>
      <c r="I1421" s="5" t="s">
        <v>294</v>
      </c>
      <c r="J1421" s="5" t="s">
        <v>2</v>
      </c>
      <c r="K1421" s="5" t="s">
        <v>2</v>
      </c>
      <c r="L1421" s="6">
        <f>IF(I1421="Cut","",IF(I1421="Your call","(decide)",IF(I1421="Rename",J1421,IF(I1421="Keep",IF(D1421="",E1421,D1421),IF(E1421="(unchanged)",D1421,E1421)))))</f>
      </c>
      <c r="M1421" s="6">
        <f>IF(AND(I1421="Cut",N1421&gt;0,K1421=""),"USED: say what replaces it (Note)",IF(AND(I1421="Rename",J1421=""),"type the new name",IF(AND(L1421&lt;&gt;"",L1421&lt;&gt;"(decide)",COUNTIF($L$2:$L$1680,L1421)&gt;1),"SAME FINAL NAME AS ANOTHER ROW","")))</f>
      </c>
      <c r="N1421" s="6">
        <v>3</v>
      </c>
      <c r="O1421" s="6" t="s">
        <v>2</v>
      </c>
    </row>
    <row r="1422" spans="1:15" x14ac:dyDescent="0.25">
      <c r="A1422">
        <v>1421</v>
      </c>
      <c r="B1422" t="s">
        <v>1880</v>
      </c>
      <c r="C1422" t="s">
        <v>2</v>
      </c>
      <c r="D1422" t="s">
        <v>1882</v>
      </c>
      <c r="E1422" t="s">
        <v>292</v>
      </c>
      <c r="F1422" t="s">
        <v>2</v>
      </c>
      <c r="G1422" t="s">
        <v>1564</v>
      </c>
      <c r="H1422" t="s">
        <v>39</v>
      </c>
      <c r="I1422" s="5" t="s">
        <v>294</v>
      </c>
      <c r="J1422" s="5" t="s">
        <v>2</v>
      </c>
      <c r="K1422" s="5" t="s">
        <v>2</v>
      </c>
      <c r="L1422" s="6">
        <f>IF(I1422="Cut","",IF(I1422="Your call","(decide)",IF(I1422="Rename",J1422,IF(I1422="Keep",IF(D1422="",E1422,D1422),IF(E1422="(unchanged)",D1422,E1422)))))</f>
      </c>
      <c r="M1422" s="6">
        <f>IF(AND(I1422="Cut",N1422&gt;0,K1422=""),"USED: say what replaces it (Note)",IF(AND(I1422="Rename",J1422=""),"type the new name",IF(AND(L1422&lt;&gt;"",L1422&lt;&gt;"(decide)",COUNTIF($L$2:$L$1680,L1422)&gt;1),"SAME FINAL NAME AS ANOTHER ROW","")))</f>
      </c>
      <c r="N1422" s="6">
        <v>6</v>
      </c>
      <c r="O1422" s="6" t="s">
        <v>2</v>
      </c>
    </row>
    <row r="1423" spans="1:15" x14ac:dyDescent="0.25">
      <c r="A1423">
        <v>1422</v>
      </c>
      <c r="B1423" t="s">
        <v>1880</v>
      </c>
      <c r="C1423" t="s">
        <v>2</v>
      </c>
      <c r="D1423" t="s">
        <v>1883</v>
      </c>
      <c r="E1423" t="s">
        <v>292</v>
      </c>
      <c r="F1423" t="s">
        <v>2</v>
      </c>
      <c r="G1423" t="s">
        <v>1564</v>
      </c>
      <c r="H1423" t="s">
        <v>39</v>
      </c>
      <c r="I1423" s="5" t="s">
        <v>294</v>
      </c>
      <c r="J1423" s="5" t="s">
        <v>2</v>
      </c>
      <c r="K1423" s="5" t="s">
        <v>2</v>
      </c>
      <c r="L1423" s="6">
        <f>IF(I1423="Cut","",IF(I1423="Your call","(decide)",IF(I1423="Rename",J1423,IF(I1423="Keep",IF(D1423="",E1423,D1423),IF(E1423="(unchanged)",D1423,E1423)))))</f>
      </c>
      <c r="M1423" s="6">
        <f>IF(AND(I1423="Cut",N1423&gt;0,K1423=""),"USED: say what replaces it (Note)",IF(AND(I1423="Rename",J1423=""),"type the new name",IF(AND(L1423&lt;&gt;"",L1423&lt;&gt;"(decide)",COUNTIF($L$2:$L$1680,L1423)&gt;1),"SAME FINAL NAME AS ANOTHER ROW","")))</f>
      </c>
      <c r="N1423" s="6">
        <v>6</v>
      </c>
      <c r="O1423" s="6" t="s">
        <v>2</v>
      </c>
    </row>
    <row r="1424" spans="1:15" x14ac:dyDescent="0.25">
      <c r="A1424">
        <v>1423</v>
      </c>
      <c r="B1424" t="s">
        <v>1880</v>
      </c>
      <c r="C1424" t="s">
        <v>2</v>
      </c>
      <c r="D1424" t="s">
        <v>1884</v>
      </c>
      <c r="E1424" t="s">
        <v>292</v>
      </c>
      <c r="F1424" t="s">
        <v>2</v>
      </c>
      <c r="G1424" t="s">
        <v>38</v>
      </c>
      <c r="H1424" t="s">
        <v>39</v>
      </c>
      <c r="I1424" s="5" t="s">
        <v>294</v>
      </c>
      <c r="J1424" s="5" t="s">
        <v>2</v>
      </c>
      <c r="K1424" s="5" t="s">
        <v>2</v>
      </c>
      <c r="L1424" s="6">
        <f>IF(I1424="Cut","",IF(I1424="Your call","(decide)",IF(I1424="Rename",J1424,IF(I1424="Keep",IF(D1424="",E1424,D1424),IF(E1424="(unchanged)",D1424,E1424)))))</f>
      </c>
      <c r="M1424" s="6">
        <f>IF(AND(I1424="Cut",N1424&gt;0,K1424=""),"USED: say what replaces it (Note)",IF(AND(I1424="Rename",J1424=""),"type the new name",IF(AND(L1424&lt;&gt;"",L1424&lt;&gt;"(decide)",COUNTIF($L$2:$L$1680,L1424)&gt;1),"SAME FINAL NAME AS ANOTHER ROW","")))</f>
      </c>
      <c r="N1424" s="6">
        <v>0</v>
      </c>
      <c r="O1424" s="6" t="s">
        <v>2</v>
      </c>
    </row>
    <row r="1425" spans="1:15" x14ac:dyDescent="0.25">
      <c r="A1425">
        <v>1424</v>
      </c>
      <c r="B1425" t="s">
        <v>1880</v>
      </c>
      <c r="C1425" t="s">
        <v>2</v>
      </c>
      <c r="D1425" t="s">
        <v>1885</v>
      </c>
      <c r="E1425" t="s">
        <v>292</v>
      </c>
      <c r="F1425" t="s">
        <v>2</v>
      </c>
      <c r="G1425" t="s">
        <v>38</v>
      </c>
      <c r="H1425" t="s">
        <v>39</v>
      </c>
      <c r="I1425" s="5" t="s">
        <v>294</v>
      </c>
      <c r="J1425" s="5" t="s">
        <v>2</v>
      </c>
      <c r="K1425" s="5" t="s">
        <v>2</v>
      </c>
      <c r="L1425" s="6">
        <f>IF(I1425="Cut","",IF(I1425="Your call","(decide)",IF(I1425="Rename",J1425,IF(I1425="Keep",IF(D1425="",E1425,D1425),IF(E1425="(unchanged)",D1425,E1425)))))</f>
      </c>
      <c r="M1425" s="6">
        <f>IF(AND(I1425="Cut",N1425&gt;0,K1425=""),"USED: say what replaces it (Note)",IF(AND(I1425="Rename",J1425=""),"type the new name",IF(AND(L1425&lt;&gt;"",L1425&lt;&gt;"(decide)",COUNTIF($L$2:$L$1680,L1425)&gt;1),"SAME FINAL NAME AS ANOTHER ROW","")))</f>
      </c>
      <c r="N1425" s="6">
        <v>0</v>
      </c>
      <c r="O1425" s="6" t="s">
        <v>2</v>
      </c>
    </row>
    <row r="1426" spans="1:15" x14ac:dyDescent="0.25">
      <c r="A1426">
        <v>1425</v>
      </c>
      <c r="B1426" t="s">
        <v>1880</v>
      </c>
      <c r="C1426" t="s">
        <v>2</v>
      </c>
      <c r="D1426" t="s">
        <v>1886</v>
      </c>
      <c r="E1426" t="s">
        <v>292</v>
      </c>
      <c r="F1426" t="s">
        <v>2</v>
      </c>
      <c r="G1426" t="s">
        <v>38</v>
      </c>
      <c r="H1426" t="s">
        <v>39</v>
      </c>
      <c r="I1426" s="5" t="s">
        <v>294</v>
      </c>
      <c r="J1426" s="5" t="s">
        <v>2</v>
      </c>
      <c r="K1426" s="5" t="s">
        <v>2</v>
      </c>
      <c r="L1426" s="6">
        <f>IF(I1426="Cut","",IF(I1426="Your call","(decide)",IF(I1426="Rename",J1426,IF(I1426="Keep",IF(D1426="",E1426,D1426),IF(E1426="(unchanged)",D1426,E1426)))))</f>
      </c>
      <c r="M1426" s="6">
        <f>IF(AND(I1426="Cut",N1426&gt;0,K1426=""),"USED: say what replaces it (Note)",IF(AND(I1426="Rename",J1426=""),"type the new name",IF(AND(L1426&lt;&gt;"",L1426&lt;&gt;"(decide)",COUNTIF($L$2:$L$1680,L1426)&gt;1),"SAME FINAL NAME AS ANOTHER ROW","")))</f>
      </c>
      <c r="N1426" s="6">
        <v>0</v>
      </c>
      <c r="O1426" s="6" t="s">
        <v>2</v>
      </c>
    </row>
    <row r="1427" spans="1:15" x14ac:dyDescent="0.25">
      <c r="A1427">
        <v>1426</v>
      </c>
      <c r="B1427" t="s">
        <v>1880</v>
      </c>
      <c r="C1427" t="s">
        <v>2</v>
      </c>
      <c r="D1427" t="s">
        <v>1887</v>
      </c>
      <c r="E1427" t="s">
        <v>292</v>
      </c>
      <c r="F1427" t="s">
        <v>2</v>
      </c>
      <c r="G1427" t="s">
        <v>94</v>
      </c>
      <c r="H1427" t="s">
        <v>39</v>
      </c>
      <c r="I1427" s="5" t="s">
        <v>294</v>
      </c>
      <c r="J1427" s="5" t="s">
        <v>2</v>
      </c>
      <c r="K1427" s="5" t="s">
        <v>2</v>
      </c>
      <c r="L1427" s="6">
        <f>IF(I1427="Cut","",IF(I1427="Your call","(decide)",IF(I1427="Rename",J1427,IF(I1427="Keep",IF(D1427="",E1427,D1427),IF(E1427="(unchanged)",D1427,E1427)))))</f>
      </c>
      <c r="M1427" s="6">
        <f>IF(AND(I1427="Cut",N1427&gt;0,K1427=""),"USED: say what replaces it (Note)",IF(AND(I1427="Rename",J1427=""),"type the new name",IF(AND(L1427&lt;&gt;"",L1427&lt;&gt;"(decide)",COUNTIF($L$2:$L$1680,L1427)&gt;1),"SAME FINAL NAME AS ANOTHER ROW","")))</f>
      </c>
      <c r="N1427" s="6">
        <v>1</v>
      </c>
      <c r="O1427" s="6" t="s">
        <v>2</v>
      </c>
    </row>
    <row r="1428" spans="1:15" x14ac:dyDescent="0.25">
      <c r="A1428">
        <v>1427</v>
      </c>
      <c r="B1428" t="s">
        <v>1880</v>
      </c>
      <c r="C1428" t="s">
        <v>2</v>
      </c>
      <c r="D1428" t="s">
        <v>1888</v>
      </c>
      <c r="E1428" t="s">
        <v>292</v>
      </c>
      <c r="F1428" t="s">
        <v>2</v>
      </c>
      <c r="G1428" t="s">
        <v>38</v>
      </c>
      <c r="H1428" t="s">
        <v>39</v>
      </c>
      <c r="I1428" s="5" t="s">
        <v>294</v>
      </c>
      <c r="J1428" s="5" t="s">
        <v>2</v>
      </c>
      <c r="K1428" s="5" t="s">
        <v>2</v>
      </c>
      <c r="L1428" s="6">
        <f>IF(I1428="Cut","",IF(I1428="Your call","(decide)",IF(I1428="Rename",J1428,IF(I1428="Keep",IF(D1428="",E1428,D1428),IF(E1428="(unchanged)",D1428,E1428)))))</f>
      </c>
      <c r="M1428" s="6">
        <f>IF(AND(I1428="Cut",N1428&gt;0,K1428=""),"USED: say what replaces it (Note)",IF(AND(I1428="Rename",J1428=""),"type the new name",IF(AND(L1428&lt;&gt;"",L1428&lt;&gt;"(decide)",COUNTIF($L$2:$L$1680,L1428)&gt;1),"SAME FINAL NAME AS ANOTHER ROW","")))</f>
      </c>
      <c r="N1428" s="6">
        <v>0</v>
      </c>
      <c r="O1428" s="6" t="s">
        <v>2</v>
      </c>
    </row>
    <row r="1429" spans="1:15" x14ac:dyDescent="0.25">
      <c r="A1429">
        <v>1428</v>
      </c>
      <c r="B1429" t="s">
        <v>1880</v>
      </c>
      <c r="C1429" t="s">
        <v>2</v>
      </c>
      <c r="D1429" t="s">
        <v>1889</v>
      </c>
      <c r="E1429" t="s">
        <v>292</v>
      </c>
      <c r="F1429" t="s">
        <v>2</v>
      </c>
      <c r="G1429" t="s">
        <v>38</v>
      </c>
      <c r="H1429" t="s">
        <v>39</v>
      </c>
      <c r="I1429" s="5" t="s">
        <v>294</v>
      </c>
      <c r="J1429" s="5" t="s">
        <v>2</v>
      </c>
      <c r="K1429" s="5" t="s">
        <v>2</v>
      </c>
      <c r="L1429" s="6">
        <f>IF(I1429="Cut","",IF(I1429="Your call","(decide)",IF(I1429="Rename",J1429,IF(I1429="Keep",IF(D1429="",E1429,D1429),IF(E1429="(unchanged)",D1429,E1429)))))</f>
      </c>
      <c r="M1429" s="6">
        <f>IF(AND(I1429="Cut",N1429&gt;0,K1429=""),"USED: say what replaces it (Note)",IF(AND(I1429="Rename",J1429=""),"type the new name",IF(AND(L1429&lt;&gt;"",L1429&lt;&gt;"(decide)",COUNTIF($L$2:$L$1680,L1429)&gt;1),"SAME FINAL NAME AS ANOTHER ROW","")))</f>
      </c>
      <c r="N1429" s="6">
        <v>0</v>
      </c>
      <c r="O1429" s="6" t="s">
        <v>2</v>
      </c>
    </row>
    <row r="1430" spans="1:15" x14ac:dyDescent="0.25">
      <c r="A1430">
        <v>1429</v>
      </c>
      <c r="B1430" t="s">
        <v>1880</v>
      </c>
      <c r="C1430" t="s">
        <v>2</v>
      </c>
      <c r="D1430" t="s">
        <v>1890</v>
      </c>
      <c r="E1430" t="s">
        <v>292</v>
      </c>
      <c r="F1430" t="s">
        <v>2</v>
      </c>
      <c r="G1430" t="s">
        <v>38</v>
      </c>
      <c r="H1430" t="s">
        <v>39</v>
      </c>
      <c r="I1430" s="5" t="s">
        <v>294</v>
      </c>
      <c r="J1430" s="5" t="s">
        <v>2</v>
      </c>
      <c r="K1430" s="5" t="s">
        <v>2</v>
      </c>
      <c r="L1430" s="6">
        <f>IF(I1430="Cut","",IF(I1430="Your call","(decide)",IF(I1430="Rename",J1430,IF(I1430="Keep",IF(D1430="",E1430,D1430),IF(E1430="(unchanged)",D1430,E1430)))))</f>
      </c>
      <c r="M1430" s="6">
        <f>IF(AND(I1430="Cut",N1430&gt;0,K1430=""),"USED: say what replaces it (Note)",IF(AND(I1430="Rename",J1430=""),"type the new name",IF(AND(L1430&lt;&gt;"",L1430&lt;&gt;"(decide)",COUNTIF($L$2:$L$1680,L1430)&gt;1),"SAME FINAL NAME AS ANOTHER ROW","")))</f>
      </c>
      <c r="N1430" s="6">
        <v>0</v>
      </c>
      <c r="O1430" s="6" t="s">
        <v>2</v>
      </c>
    </row>
    <row r="1431" spans="1:15" x14ac:dyDescent="0.25">
      <c r="A1431">
        <v>1430</v>
      </c>
      <c r="B1431" t="s">
        <v>1880</v>
      </c>
      <c r="C1431" t="s">
        <v>2</v>
      </c>
      <c r="D1431" t="s">
        <v>1891</v>
      </c>
      <c r="E1431" t="s">
        <v>292</v>
      </c>
      <c r="F1431" t="s">
        <v>2</v>
      </c>
      <c r="G1431" t="s">
        <v>38</v>
      </c>
      <c r="H1431" t="s">
        <v>39</v>
      </c>
      <c r="I1431" s="5" t="s">
        <v>294</v>
      </c>
      <c r="J1431" s="5" t="s">
        <v>2</v>
      </c>
      <c r="K1431" s="5" t="s">
        <v>2</v>
      </c>
      <c r="L1431" s="6">
        <f>IF(I1431="Cut","",IF(I1431="Your call","(decide)",IF(I1431="Rename",J1431,IF(I1431="Keep",IF(D1431="",E1431,D1431),IF(E1431="(unchanged)",D1431,E1431)))))</f>
      </c>
      <c r="M1431" s="6">
        <f>IF(AND(I1431="Cut",N1431&gt;0,K1431=""),"USED: say what replaces it (Note)",IF(AND(I1431="Rename",J1431=""),"type the new name",IF(AND(L1431&lt;&gt;"",L1431&lt;&gt;"(decide)",COUNTIF($L$2:$L$1680,L1431)&gt;1),"SAME FINAL NAME AS ANOTHER ROW","")))</f>
      </c>
      <c r="N1431" s="6">
        <v>0</v>
      </c>
      <c r="O1431" s="6" t="s">
        <v>2</v>
      </c>
    </row>
    <row r="1432" spans="1:15" x14ac:dyDescent="0.25">
      <c r="A1432">
        <v>1431</v>
      </c>
      <c r="B1432" t="s">
        <v>1880</v>
      </c>
      <c r="C1432" t="s">
        <v>2</v>
      </c>
      <c r="D1432" t="s">
        <v>1892</v>
      </c>
      <c r="E1432" t="s">
        <v>292</v>
      </c>
      <c r="F1432" t="s">
        <v>2</v>
      </c>
      <c r="G1432" t="s">
        <v>38</v>
      </c>
      <c r="H1432" t="s">
        <v>39</v>
      </c>
      <c r="I1432" s="5" t="s">
        <v>294</v>
      </c>
      <c r="J1432" s="5" t="s">
        <v>2</v>
      </c>
      <c r="K1432" s="5" t="s">
        <v>2</v>
      </c>
      <c r="L1432" s="6">
        <f>IF(I1432="Cut","",IF(I1432="Your call","(decide)",IF(I1432="Rename",J1432,IF(I1432="Keep",IF(D1432="",E1432,D1432),IF(E1432="(unchanged)",D1432,E1432)))))</f>
      </c>
      <c r="M1432" s="6">
        <f>IF(AND(I1432="Cut",N1432&gt;0,K1432=""),"USED: say what replaces it (Note)",IF(AND(I1432="Rename",J1432=""),"type the new name",IF(AND(L1432&lt;&gt;"",L1432&lt;&gt;"(decide)",COUNTIF($L$2:$L$1680,L1432)&gt;1),"SAME FINAL NAME AS ANOTHER ROW","")))</f>
      </c>
      <c r="N1432" s="6">
        <v>0</v>
      </c>
      <c r="O1432" s="6" t="s">
        <v>2</v>
      </c>
    </row>
    <row r="1433" spans="1:15" x14ac:dyDescent="0.25">
      <c r="A1433">
        <v>1432</v>
      </c>
      <c r="B1433" t="s">
        <v>1880</v>
      </c>
      <c r="C1433" t="s">
        <v>2</v>
      </c>
      <c r="D1433" t="s">
        <v>1893</v>
      </c>
      <c r="E1433" t="s">
        <v>292</v>
      </c>
      <c r="F1433" t="s">
        <v>2</v>
      </c>
      <c r="G1433" t="s">
        <v>38</v>
      </c>
      <c r="H1433" t="s">
        <v>39</v>
      </c>
      <c r="I1433" s="5" t="s">
        <v>294</v>
      </c>
      <c r="J1433" s="5" t="s">
        <v>2</v>
      </c>
      <c r="K1433" s="5" t="s">
        <v>2</v>
      </c>
      <c r="L1433" s="6">
        <f>IF(I1433="Cut","",IF(I1433="Your call","(decide)",IF(I1433="Rename",J1433,IF(I1433="Keep",IF(D1433="",E1433,D1433),IF(E1433="(unchanged)",D1433,E1433)))))</f>
      </c>
      <c r="M1433" s="6">
        <f>IF(AND(I1433="Cut",N1433&gt;0,K1433=""),"USED: say what replaces it (Note)",IF(AND(I1433="Rename",J1433=""),"type the new name",IF(AND(L1433&lt;&gt;"",L1433&lt;&gt;"(decide)",COUNTIF($L$2:$L$1680,L1433)&gt;1),"SAME FINAL NAME AS ANOTHER ROW","")))</f>
      </c>
      <c r="N1433" s="6">
        <v>0</v>
      </c>
      <c r="O1433" s="6" t="s">
        <v>2</v>
      </c>
    </row>
    <row r="1434" spans="1:15" x14ac:dyDescent="0.25">
      <c r="A1434">
        <v>1433</v>
      </c>
      <c r="B1434" t="s">
        <v>1880</v>
      </c>
      <c r="C1434" t="s">
        <v>2</v>
      </c>
      <c r="D1434" t="s">
        <v>1894</v>
      </c>
      <c r="E1434" t="s">
        <v>292</v>
      </c>
      <c r="F1434" t="s">
        <v>2</v>
      </c>
      <c r="G1434" t="s">
        <v>38</v>
      </c>
      <c r="H1434" t="s">
        <v>39</v>
      </c>
      <c r="I1434" s="5" t="s">
        <v>294</v>
      </c>
      <c r="J1434" s="5" t="s">
        <v>2</v>
      </c>
      <c r="K1434" s="5" t="s">
        <v>2</v>
      </c>
      <c r="L1434" s="6">
        <f>IF(I1434="Cut","",IF(I1434="Your call","(decide)",IF(I1434="Rename",J1434,IF(I1434="Keep",IF(D1434="",E1434,D1434),IF(E1434="(unchanged)",D1434,E1434)))))</f>
      </c>
      <c r="M1434" s="6">
        <f>IF(AND(I1434="Cut",N1434&gt;0,K1434=""),"USED: say what replaces it (Note)",IF(AND(I1434="Rename",J1434=""),"type the new name",IF(AND(L1434&lt;&gt;"",L1434&lt;&gt;"(decide)",COUNTIF($L$2:$L$1680,L1434)&gt;1),"SAME FINAL NAME AS ANOTHER ROW","")))</f>
      </c>
      <c r="N1434" s="6">
        <v>0</v>
      </c>
      <c r="O1434" s="6" t="s">
        <v>2</v>
      </c>
    </row>
    <row r="1435" spans="1:15" x14ac:dyDescent="0.25">
      <c r="A1435">
        <v>1434</v>
      </c>
      <c r="B1435" t="s">
        <v>1895</v>
      </c>
      <c r="C1435" t="s">
        <v>2</v>
      </c>
      <c r="D1435" t="s">
        <v>1896</v>
      </c>
      <c r="E1435" t="s">
        <v>292</v>
      </c>
      <c r="F1435" t="s">
        <v>2</v>
      </c>
      <c r="G1435" t="s">
        <v>48</v>
      </c>
      <c r="H1435" t="s">
        <v>39</v>
      </c>
      <c r="I1435" s="5" t="s">
        <v>294</v>
      </c>
      <c r="J1435" s="5" t="s">
        <v>2</v>
      </c>
      <c r="K1435" s="5" t="s">
        <v>2</v>
      </c>
      <c r="L1435" s="6">
        <f>IF(I1435="Cut","",IF(I1435="Your call","(decide)",IF(I1435="Rename",J1435,IF(I1435="Keep",IF(D1435="",E1435,D1435),IF(E1435="(unchanged)",D1435,E1435)))))</f>
      </c>
      <c r="M1435" s="6">
        <f>IF(AND(I1435="Cut",N1435&gt;0,K1435=""),"USED: say what replaces it (Note)",IF(AND(I1435="Rename",J1435=""),"type the new name",IF(AND(L1435&lt;&gt;"",L1435&lt;&gt;"(decide)",COUNTIF($L$2:$L$1680,L1435)&gt;1),"SAME FINAL NAME AS ANOTHER ROW","")))</f>
      </c>
      <c r="N1435" s="6">
        <v>2</v>
      </c>
      <c r="O1435" s="6" t="s">
        <v>2</v>
      </c>
    </row>
    <row r="1436" spans="1:15" x14ac:dyDescent="0.25">
      <c r="A1436">
        <v>1435</v>
      </c>
      <c r="B1436" t="s">
        <v>1895</v>
      </c>
      <c r="C1436" t="s">
        <v>2</v>
      </c>
      <c r="D1436" t="s">
        <v>1897</v>
      </c>
      <c r="E1436" t="s">
        <v>292</v>
      </c>
      <c r="F1436" t="s">
        <v>2</v>
      </c>
      <c r="G1436" t="s">
        <v>94</v>
      </c>
      <c r="H1436" t="s">
        <v>39</v>
      </c>
      <c r="I1436" s="5" t="s">
        <v>294</v>
      </c>
      <c r="J1436" s="5" t="s">
        <v>2</v>
      </c>
      <c r="K1436" s="5" t="s">
        <v>2</v>
      </c>
      <c r="L1436" s="6">
        <f>IF(I1436="Cut","",IF(I1436="Your call","(decide)",IF(I1436="Rename",J1436,IF(I1436="Keep",IF(D1436="",E1436,D1436),IF(E1436="(unchanged)",D1436,E1436)))))</f>
      </c>
      <c r="M1436" s="6">
        <f>IF(AND(I1436="Cut",N1436&gt;0,K1436=""),"USED: say what replaces it (Note)",IF(AND(I1436="Rename",J1436=""),"type the new name",IF(AND(L1436&lt;&gt;"",L1436&lt;&gt;"(decide)",COUNTIF($L$2:$L$1680,L1436)&gt;1),"SAME FINAL NAME AS ANOTHER ROW","")))</f>
      </c>
      <c r="N1436" s="6">
        <v>1</v>
      </c>
      <c r="O1436" s="6" t="s">
        <v>2</v>
      </c>
    </row>
    <row r="1437" spans="1:15" x14ac:dyDescent="0.25">
      <c r="A1437">
        <v>1436</v>
      </c>
      <c r="B1437" t="s">
        <v>1895</v>
      </c>
      <c r="C1437" t="s">
        <v>2</v>
      </c>
      <c r="D1437" t="s">
        <v>1898</v>
      </c>
      <c r="E1437" t="s">
        <v>292</v>
      </c>
      <c r="F1437" t="s">
        <v>2</v>
      </c>
      <c r="G1437" t="s">
        <v>94</v>
      </c>
      <c r="H1437" t="s">
        <v>39</v>
      </c>
      <c r="I1437" s="5" t="s">
        <v>294</v>
      </c>
      <c r="J1437" s="5" t="s">
        <v>2</v>
      </c>
      <c r="K1437" s="5" t="s">
        <v>2</v>
      </c>
      <c r="L1437" s="6">
        <f>IF(I1437="Cut","",IF(I1437="Your call","(decide)",IF(I1437="Rename",J1437,IF(I1437="Keep",IF(D1437="",E1437,D1437),IF(E1437="(unchanged)",D1437,E1437)))))</f>
      </c>
      <c r="M1437" s="6">
        <f>IF(AND(I1437="Cut",N1437&gt;0,K1437=""),"USED: say what replaces it (Note)",IF(AND(I1437="Rename",J1437=""),"type the new name",IF(AND(L1437&lt;&gt;"",L1437&lt;&gt;"(decide)",COUNTIF($L$2:$L$1680,L1437)&gt;1),"SAME FINAL NAME AS ANOTHER ROW","")))</f>
      </c>
      <c r="N1437" s="6">
        <v>1</v>
      </c>
      <c r="O1437" s="6" t="s">
        <v>2</v>
      </c>
    </row>
    <row r="1438" spans="1:15" x14ac:dyDescent="0.25">
      <c r="A1438">
        <v>1437</v>
      </c>
      <c r="B1438" t="s">
        <v>1895</v>
      </c>
      <c r="C1438" t="s">
        <v>1899</v>
      </c>
      <c r="D1438" t="s">
        <v>1900</v>
      </c>
      <c r="E1438" t="s">
        <v>292</v>
      </c>
      <c r="F1438" t="s">
        <v>2</v>
      </c>
      <c r="G1438" t="s">
        <v>38</v>
      </c>
      <c r="H1438" t="s">
        <v>39</v>
      </c>
      <c r="I1438" s="5" t="s">
        <v>294</v>
      </c>
      <c r="J1438" s="5" t="s">
        <v>2</v>
      </c>
      <c r="K1438" s="5" t="s">
        <v>2</v>
      </c>
      <c r="L1438" s="6">
        <f>IF(I1438="Cut","",IF(I1438="Your call","(decide)",IF(I1438="Rename",J1438,IF(I1438="Keep",IF(D1438="",E1438,D1438),IF(E1438="(unchanged)",D1438,E1438)))))</f>
      </c>
      <c r="M1438" s="6">
        <f>IF(AND(I1438="Cut",N1438&gt;0,K1438=""),"USED: say what replaces it (Note)",IF(AND(I1438="Rename",J1438=""),"type the new name",IF(AND(L1438&lt;&gt;"",L1438&lt;&gt;"(decide)",COUNTIF($L$2:$L$1680,L1438)&gt;1),"SAME FINAL NAME AS ANOTHER ROW","")))</f>
      </c>
      <c r="N1438" s="6">
        <v>0</v>
      </c>
      <c r="O1438" s="6" t="s">
        <v>2</v>
      </c>
    </row>
    <row r="1439" spans="1:15" x14ac:dyDescent="0.25">
      <c r="A1439">
        <v>1438</v>
      </c>
      <c r="B1439" t="s">
        <v>1895</v>
      </c>
      <c r="C1439" t="s">
        <v>1899</v>
      </c>
      <c r="D1439" t="s">
        <v>1901</v>
      </c>
      <c r="E1439" t="s">
        <v>292</v>
      </c>
      <c r="F1439" t="s">
        <v>2</v>
      </c>
      <c r="G1439" t="s">
        <v>38</v>
      </c>
      <c r="H1439" t="s">
        <v>39</v>
      </c>
      <c r="I1439" s="5" t="s">
        <v>294</v>
      </c>
      <c r="J1439" s="5" t="s">
        <v>2</v>
      </c>
      <c r="K1439" s="5" t="s">
        <v>2</v>
      </c>
      <c r="L1439" s="6">
        <f>IF(I1439="Cut","",IF(I1439="Your call","(decide)",IF(I1439="Rename",J1439,IF(I1439="Keep",IF(D1439="",E1439,D1439),IF(E1439="(unchanged)",D1439,E1439)))))</f>
      </c>
      <c r="M1439" s="6">
        <f>IF(AND(I1439="Cut",N1439&gt;0,K1439=""),"USED: say what replaces it (Note)",IF(AND(I1439="Rename",J1439=""),"type the new name",IF(AND(L1439&lt;&gt;"",L1439&lt;&gt;"(decide)",COUNTIF($L$2:$L$1680,L1439)&gt;1),"SAME FINAL NAME AS ANOTHER ROW","")))</f>
      </c>
      <c r="N1439" s="6">
        <v>0</v>
      </c>
      <c r="O1439" s="6" t="s">
        <v>2</v>
      </c>
    </row>
    <row r="1440" spans="1:15" x14ac:dyDescent="0.25">
      <c r="A1440">
        <v>1439</v>
      </c>
      <c r="B1440" t="s">
        <v>1895</v>
      </c>
      <c r="C1440" t="s">
        <v>2</v>
      </c>
      <c r="D1440" t="s">
        <v>1902</v>
      </c>
      <c r="E1440" t="s">
        <v>292</v>
      </c>
      <c r="F1440" t="s">
        <v>2</v>
      </c>
      <c r="G1440" t="s">
        <v>94</v>
      </c>
      <c r="H1440" t="s">
        <v>39</v>
      </c>
      <c r="I1440" s="5" t="s">
        <v>294</v>
      </c>
      <c r="J1440" s="5" t="s">
        <v>2</v>
      </c>
      <c r="K1440" s="5" t="s">
        <v>2</v>
      </c>
      <c r="L1440" s="6">
        <f>IF(I1440="Cut","",IF(I1440="Your call","(decide)",IF(I1440="Rename",J1440,IF(I1440="Keep",IF(D1440="",E1440,D1440),IF(E1440="(unchanged)",D1440,E1440)))))</f>
      </c>
      <c r="M1440" s="6">
        <f>IF(AND(I1440="Cut",N1440&gt;0,K1440=""),"USED: say what replaces it (Note)",IF(AND(I1440="Rename",J1440=""),"type the new name",IF(AND(L1440&lt;&gt;"",L1440&lt;&gt;"(decide)",COUNTIF($L$2:$L$1680,L1440)&gt;1),"SAME FINAL NAME AS ANOTHER ROW","")))</f>
      </c>
      <c r="N1440" s="6">
        <v>1</v>
      </c>
      <c r="O1440" s="6" t="s">
        <v>2</v>
      </c>
    </row>
    <row r="1441" spans="1:15" x14ac:dyDescent="0.25">
      <c r="A1441">
        <v>1440</v>
      </c>
      <c r="B1441" t="s">
        <v>1895</v>
      </c>
      <c r="C1441" t="s">
        <v>2</v>
      </c>
      <c r="D1441" t="s">
        <v>1903</v>
      </c>
      <c r="E1441" t="s">
        <v>292</v>
      </c>
      <c r="F1441" t="s">
        <v>2</v>
      </c>
      <c r="G1441" t="s">
        <v>94</v>
      </c>
      <c r="H1441" t="s">
        <v>39</v>
      </c>
      <c r="I1441" s="5" t="s">
        <v>294</v>
      </c>
      <c r="J1441" s="5" t="s">
        <v>2</v>
      </c>
      <c r="K1441" s="5" t="s">
        <v>2</v>
      </c>
      <c r="L1441" s="6">
        <f>IF(I1441="Cut","",IF(I1441="Your call","(decide)",IF(I1441="Rename",J1441,IF(I1441="Keep",IF(D1441="",E1441,D1441),IF(E1441="(unchanged)",D1441,E1441)))))</f>
      </c>
      <c r="M1441" s="6">
        <f>IF(AND(I1441="Cut",N1441&gt;0,K1441=""),"USED: say what replaces it (Note)",IF(AND(I1441="Rename",J1441=""),"type the new name",IF(AND(L1441&lt;&gt;"",L1441&lt;&gt;"(decide)",COUNTIF($L$2:$L$1680,L1441)&gt;1),"SAME FINAL NAME AS ANOTHER ROW","")))</f>
      </c>
      <c r="N1441" s="6">
        <v>1</v>
      </c>
      <c r="O1441" s="6" t="s">
        <v>2</v>
      </c>
    </row>
    <row r="1442" spans="1:15" x14ac:dyDescent="0.25">
      <c r="A1442">
        <v>1441</v>
      </c>
      <c r="B1442" t="s">
        <v>1895</v>
      </c>
      <c r="C1442" t="s">
        <v>1904</v>
      </c>
      <c r="D1442" t="s">
        <v>1905</v>
      </c>
      <c r="E1442" t="s">
        <v>292</v>
      </c>
      <c r="F1442" t="s">
        <v>2</v>
      </c>
      <c r="G1442" t="s">
        <v>38</v>
      </c>
      <c r="H1442" t="s">
        <v>39</v>
      </c>
      <c r="I1442" s="5" t="s">
        <v>294</v>
      </c>
      <c r="J1442" s="5" t="s">
        <v>2</v>
      </c>
      <c r="K1442" s="5" t="s">
        <v>2</v>
      </c>
      <c r="L1442" s="6">
        <f>IF(I1442="Cut","",IF(I1442="Your call","(decide)",IF(I1442="Rename",J1442,IF(I1442="Keep",IF(D1442="",E1442,D1442),IF(E1442="(unchanged)",D1442,E1442)))))</f>
      </c>
      <c r="M1442" s="6">
        <f>IF(AND(I1442="Cut",N1442&gt;0,K1442=""),"USED: say what replaces it (Note)",IF(AND(I1442="Rename",J1442=""),"type the new name",IF(AND(L1442&lt;&gt;"",L1442&lt;&gt;"(decide)",COUNTIF($L$2:$L$1680,L1442)&gt;1),"SAME FINAL NAME AS ANOTHER ROW","")))</f>
      </c>
      <c r="N1442" s="6">
        <v>0</v>
      </c>
      <c r="O1442" s="6" t="s">
        <v>2</v>
      </c>
    </row>
    <row r="1443" spans="1:15" x14ac:dyDescent="0.25">
      <c r="A1443">
        <v>1442</v>
      </c>
      <c r="B1443" t="s">
        <v>1895</v>
      </c>
      <c r="C1443" t="s">
        <v>1904</v>
      </c>
      <c r="D1443" t="s">
        <v>1906</v>
      </c>
      <c r="E1443" t="s">
        <v>292</v>
      </c>
      <c r="F1443" t="s">
        <v>2</v>
      </c>
      <c r="G1443" t="s">
        <v>94</v>
      </c>
      <c r="H1443" t="s">
        <v>39</v>
      </c>
      <c r="I1443" s="5" t="s">
        <v>294</v>
      </c>
      <c r="J1443" s="5" t="s">
        <v>2</v>
      </c>
      <c r="K1443" s="5" t="s">
        <v>2</v>
      </c>
      <c r="L1443" s="6">
        <f>IF(I1443="Cut","",IF(I1443="Your call","(decide)",IF(I1443="Rename",J1443,IF(I1443="Keep",IF(D1443="",E1443,D1443),IF(E1443="(unchanged)",D1443,E1443)))))</f>
      </c>
      <c r="M1443" s="6">
        <f>IF(AND(I1443="Cut",N1443&gt;0,K1443=""),"USED: say what replaces it (Note)",IF(AND(I1443="Rename",J1443=""),"type the new name",IF(AND(L1443&lt;&gt;"",L1443&lt;&gt;"(decide)",COUNTIF($L$2:$L$1680,L1443)&gt;1),"SAME FINAL NAME AS ANOTHER ROW","")))</f>
      </c>
      <c r="N1443" s="6">
        <v>1</v>
      </c>
      <c r="O1443" s="6" t="s">
        <v>2</v>
      </c>
    </row>
    <row r="1444" spans="1:15" x14ac:dyDescent="0.25">
      <c r="A1444">
        <v>1443</v>
      </c>
      <c r="B1444" t="s">
        <v>1895</v>
      </c>
      <c r="C1444" t="s">
        <v>1904</v>
      </c>
      <c r="D1444" t="s">
        <v>1907</v>
      </c>
      <c r="E1444" t="s">
        <v>292</v>
      </c>
      <c r="F1444" t="s">
        <v>2</v>
      </c>
      <c r="G1444" t="s">
        <v>38</v>
      </c>
      <c r="H1444" t="s">
        <v>39</v>
      </c>
      <c r="I1444" s="5" t="s">
        <v>294</v>
      </c>
      <c r="J1444" s="5" t="s">
        <v>2</v>
      </c>
      <c r="K1444" s="5" t="s">
        <v>2</v>
      </c>
      <c r="L1444" s="6">
        <f>IF(I1444="Cut","",IF(I1444="Your call","(decide)",IF(I1444="Rename",J1444,IF(I1444="Keep",IF(D1444="",E1444,D1444),IF(E1444="(unchanged)",D1444,E1444)))))</f>
      </c>
      <c r="M1444" s="6">
        <f>IF(AND(I1444="Cut",N1444&gt;0,K1444=""),"USED: say what replaces it (Note)",IF(AND(I1444="Rename",J1444=""),"type the new name",IF(AND(L1444&lt;&gt;"",L1444&lt;&gt;"(decide)",COUNTIF($L$2:$L$1680,L1444)&gt;1),"SAME FINAL NAME AS ANOTHER ROW","")))</f>
      </c>
      <c r="N1444" s="6">
        <v>0</v>
      </c>
      <c r="O1444" s="6" t="s">
        <v>2</v>
      </c>
    </row>
    <row r="1445" spans="1:15" x14ac:dyDescent="0.25">
      <c r="A1445">
        <v>1444</v>
      </c>
      <c r="B1445" t="s">
        <v>1895</v>
      </c>
      <c r="C1445" t="s">
        <v>1904</v>
      </c>
      <c r="D1445" t="s">
        <v>1908</v>
      </c>
      <c r="E1445" t="s">
        <v>292</v>
      </c>
      <c r="F1445" t="s">
        <v>2</v>
      </c>
      <c r="G1445" t="s">
        <v>38</v>
      </c>
      <c r="H1445" t="s">
        <v>39</v>
      </c>
      <c r="I1445" s="5" t="s">
        <v>294</v>
      </c>
      <c r="J1445" s="5" t="s">
        <v>2</v>
      </c>
      <c r="K1445" s="5" t="s">
        <v>2</v>
      </c>
      <c r="L1445" s="6">
        <f>IF(I1445="Cut","",IF(I1445="Your call","(decide)",IF(I1445="Rename",J1445,IF(I1445="Keep",IF(D1445="",E1445,D1445),IF(E1445="(unchanged)",D1445,E1445)))))</f>
      </c>
      <c r="M1445" s="6">
        <f>IF(AND(I1445="Cut",N1445&gt;0,K1445=""),"USED: say what replaces it (Note)",IF(AND(I1445="Rename",J1445=""),"type the new name",IF(AND(L1445&lt;&gt;"",L1445&lt;&gt;"(decide)",COUNTIF($L$2:$L$1680,L1445)&gt;1),"SAME FINAL NAME AS ANOTHER ROW","")))</f>
      </c>
      <c r="N1445" s="6">
        <v>0</v>
      </c>
      <c r="O1445" s="6" t="s">
        <v>2</v>
      </c>
    </row>
    <row r="1446" spans="1:15" x14ac:dyDescent="0.25">
      <c r="A1446">
        <v>1445</v>
      </c>
      <c r="B1446" t="s">
        <v>1895</v>
      </c>
      <c r="C1446" t="s">
        <v>2</v>
      </c>
      <c r="D1446" t="s">
        <v>1904</v>
      </c>
      <c r="E1446" t="s">
        <v>292</v>
      </c>
      <c r="F1446" t="s">
        <v>2</v>
      </c>
      <c r="G1446" t="s">
        <v>38</v>
      </c>
      <c r="H1446" t="s">
        <v>39</v>
      </c>
      <c r="I1446" s="5" t="s">
        <v>294</v>
      </c>
      <c r="J1446" s="5" t="s">
        <v>2</v>
      </c>
      <c r="K1446" s="5" t="s">
        <v>2</v>
      </c>
      <c r="L1446" s="6">
        <f>IF(I1446="Cut","",IF(I1446="Your call","(decide)",IF(I1446="Rename",J1446,IF(I1446="Keep",IF(D1446="",E1446,D1446),IF(E1446="(unchanged)",D1446,E1446)))))</f>
      </c>
      <c r="M1446" s="6">
        <f>IF(AND(I1446="Cut",N1446&gt;0,K1446=""),"USED: say what replaces it (Note)",IF(AND(I1446="Rename",J1446=""),"type the new name",IF(AND(L1446&lt;&gt;"",L1446&lt;&gt;"(decide)",COUNTIF($L$2:$L$1680,L1446)&gt;1),"SAME FINAL NAME AS ANOTHER ROW","")))</f>
      </c>
      <c r="N1446" s="6">
        <v>0</v>
      </c>
      <c r="O1446" s="6" t="s">
        <v>2</v>
      </c>
    </row>
    <row r="1447" spans="1:15" x14ac:dyDescent="0.25">
      <c r="A1447">
        <v>1446</v>
      </c>
      <c r="B1447" t="s">
        <v>1895</v>
      </c>
      <c r="C1447" t="s">
        <v>2</v>
      </c>
      <c r="D1447" t="s">
        <v>1909</v>
      </c>
      <c r="E1447" t="s">
        <v>292</v>
      </c>
      <c r="F1447" t="s">
        <v>2</v>
      </c>
      <c r="G1447" t="s">
        <v>38</v>
      </c>
      <c r="H1447" t="s">
        <v>39</v>
      </c>
      <c r="I1447" s="5" t="s">
        <v>294</v>
      </c>
      <c r="J1447" s="5" t="s">
        <v>2</v>
      </c>
      <c r="K1447" s="5" t="s">
        <v>2</v>
      </c>
      <c r="L1447" s="6">
        <f>IF(I1447="Cut","",IF(I1447="Your call","(decide)",IF(I1447="Rename",J1447,IF(I1447="Keep",IF(D1447="",E1447,D1447),IF(E1447="(unchanged)",D1447,E1447)))))</f>
      </c>
      <c r="M1447" s="6">
        <f>IF(AND(I1447="Cut",N1447&gt;0,K1447=""),"USED: say what replaces it (Note)",IF(AND(I1447="Rename",J1447=""),"type the new name",IF(AND(L1447&lt;&gt;"",L1447&lt;&gt;"(decide)",COUNTIF($L$2:$L$1680,L1447)&gt;1),"SAME FINAL NAME AS ANOTHER ROW","")))</f>
      </c>
      <c r="N1447" s="6">
        <v>0</v>
      </c>
      <c r="O1447" s="6" t="s">
        <v>2</v>
      </c>
    </row>
    <row r="1448" spans="1:15" x14ac:dyDescent="0.25">
      <c r="A1448">
        <v>1447</v>
      </c>
      <c r="B1448" t="s">
        <v>1895</v>
      </c>
      <c r="C1448" t="s">
        <v>2</v>
      </c>
      <c r="D1448" t="s">
        <v>1910</v>
      </c>
      <c r="E1448" t="s">
        <v>292</v>
      </c>
      <c r="F1448" t="s">
        <v>2</v>
      </c>
      <c r="G1448" t="s">
        <v>94</v>
      </c>
      <c r="H1448" t="s">
        <v>39</v>
      </c>
      <c r="I1448" s="5" t="s">
        <v>294</v>
      </c>
      <c r="J1448" s="5" t="s">
        <v>2</v>
      </c>
      <c r="K1448" s="5" t="s">
        <v>2</v>
      </c>
      <c r="L1448" s="6">
        <f>IF(I1448="Cut","",IF(I1448="Your call","(decide)",IF(I1448="Rename",J1448,IF(I1448="Keep",IF(D1448="",E1448,D1448),IF(E1448="(unchanged)",D1448,E1448)))))</f>
      </c>
      <c r="M1448" s="6">
        <f>IF(AND(I1448="Cut",N1448&gt;0,K1448=""),"USED: say what replaces it (Note)",IF(AND(I1448="Rename",J1448=""),"type the new name",IF(AND(L1448&lt;&gt;"",L1448&lt;&gt;"(decide)",COUNTIF($L$2:$L$1680,L1448)&gt;1),"SAME FINAL NAME AS ANOTHER ROW","")))</f>
      </c>
      <c r="N1448" s="6">
        <v>1</v>
      </c>
      <c r="O1448" s="6" t="s">
        <v>2</v>
      </c>
    </row>
    <row r="1449" spans="1:15" x14ac:dyDescent="0.25">
      <c r="A1449">
        <v>1448</v>
      </c>
      <c r="B1449" t="s">
        <v>1895</v>
      </c>
      <c r="C1449" t="s">
        <v>2</v>
      </c>
      <c r="D1449" t="s">
        <v>1911</v>
      </c>
      <c r="E1449" t="s">
        <v>292</v>
      </c>
      <c r="F1449" t="s">
        <v>2</v>
      </c>
      <c r="G1449" t="s">
        <v>38</v>
      </c>
      <c r="H1449" t="s">
        <v>39</v>
      </c>
      <c r="I1449" s="5" t="s">
        <v>294</v>
      </c>
      <c r="J1449" s="5" t="s">
        <v>2</v>
      </c>
      <c r="K1449" s="5" t="s">
        <v>2</v>
      </c>
      <c r="L1449" s="6">
        <f>IF(I1449="Cut","",IF(I1449="Your call","(decide)",IF(I1449="Rename",J1449,IF(I1449="Keep",IF(D1449="",E1449,D1449),IF(E1449="(unchanged)",D1449,E1449)))))</f>
      </c>
      <c r="M1449" s="6">
        <f>IF(AND(I1449="Cut",N1449&gt;0,K1449=""),"USED: say what replaces it (Note)",IF(AND(I1449="Rename",J1449=""),"type the new name",IF(AND(L1449&lt;&gt;"",L1449&lt;&gt;"(decide)",COUNTIF($L$2:$L$1680,L1449)&gt;1),"SAME FINAL NAME AS ANOTHER ROW","")))</f>
      </c>
      <c r="N1449" s="6">
        <v>0</v>
      </c>
      <c r="O1449" s="6" t="s">
        <v>2</v>
      </c>
    </row>
    <row r="1450" spans="1:15" x14ac:dyDescent="0.25">
      <c r="A1450">
        <v>1449</v>
      </c>
      <c r="B1450" t="s">
        <v>1895</v>
      </c>
      <c r="C1450" t="s">
        <v>2</v>
      </c>
      <c r="D1450" t="s">
        <v>1912</v>
      </c>
      <c r="E1450" t="s">
        <v>292</v>
      </c>
      <c r="F1450" t="s">
        <v>2</v>
      </c>
      <c r="G1450" t="s">
        <v>94</v>
      </c>
      <c r="H1450" t="s">
        <v>39</v>
      </c>
      <c r="I1450" s="5" t="s">
        <v>294</v>
      </c>
      <c r="J1450" s="5" t="s">
        <v>2</v>
      </c>
      <c r="K1450" s="5" t="s">
        <v>2</v>
      </c>
      <c r="L1450" s="6">
        <f>IF(I1450="Cut","",IF(I1450="Your call","(decide)",IF(I1450="Rename",J1450,IF(I1450="Keep",IF(D1450="",E1450,D1450),IF(E1450="(unchanged)",D1450,E1450)))))</f>
      </c>
      <c r="M1450" s="6">
        <f>IF(AND(I1450="Cut",N1450&gt;0,K1450=""),"USED: say what replaces it (Note)",IF(AND(I1450="Rename",J1450=""),"type the new name",IF(AND(L1450&lt;&gt;"",L1450&lt;&gt;"(decide)",COUNTIF($L$2:$L$1680,L1450)&gt;1),"SAME FINAL NAME AS ANOTHER ROW","")))</f>
      </c>
      <c r="N1450" s="6">
        <v>1</v>
      </c>
      <c r="O1450" s="6" t="s">
        <v>2</v>
      </c>
    </row>
    <row r="1451" spans="1:15" x14ac:dyDescent="0.25">
      <c r="A1451">
        <v>1450</v>
      </c>
      <c r="B1451" t="s">
        <v>1895</v>
      </c>
      <c r="C1451" t="s">
        <v>2</v>
      </c>
      <c r="D1451" t="s">
        <v>1913</v>
      </c>
      <c r="E1451" t="s">
        <v>292</v>
      </c>
      <c r="F1451" t="s">
        <v>2</v>
      </c>
      <c r="G1451" t="s">
        <v>48</v>
      </c>
      <c r="H1451" t="s">
        <v>39</v>
      </c>
      <c r="I1451" s="5" t="s">
        <v>294</v>
      </c>
      <c r="J1451" s="5" t="s">
        <v>2</v>
      </c>
      <c r="K1451" s="5" t="s">
        <v>2</v>
      </c>
      <c r="L1451" s="6">
        <f>IF(I1451="Cut","",IF(I1451="Your call","(decide)",IF(I1451="Rename",J1451,IF(I1451="Keep",IF(D1451="",E1451,D1451),IF(E1451="(unchanged)",D1451,E1451)))))</f>
      </c>
      <c r="M1451" s="6">
        <f>IF(AND(I1451="Cut",N1451&gt;0,K1451=""),"USED: say what replaces it (Note)",IF(AND(I1451="Rename",J1451=""),"type the new name",IF(AND(L1451&lt;&gt;"",L1451&lt;&gt;"(decide)",COUNTIF($L$2:$L$1680,L1451)&gt;1),"SAME FINAL NAME AS ANOTHER ROW","")))</f>
      </c>
      <c r="N1451" s="6">
        <v>2</v>
      </c>
      <c r="O1451" s="6" t="s">
        <v>2</v>
      </c>
    </row>
    <row r="1452" spans="1:15" x14ac:dyDescent="0.25">
      <c r="A1452">
        <v>1451</v>
      </c>
      <c r="B1452" t="s">
        <v>1895</v>
      </c>
      <c r="C1452" t="s">
        <v>2</v>
      </c>
      <c r="D1452" t="s">
        <v>1914</v>
      </c>
      <c r="E1452" t="s">
        <v>292</v>
      </c>
      <c r="F1452" t="s">
        <v>2</v>
      </c>
      <c r="G1452" t="s">
        <v>38</v>
      </c>
      <c r="H1452" t="s">
        <v>39</v>
      </c>
      <c r="I1452" s="5" t="s">
        <v>294</v>
      </c>
      <c r="J1452" s="5" t="s">
        <v>2</v>
      </c>
      <c r="K1452" s="5" t="s">
        <v>2</v>
      </c>
      <c r="L1452" s="6">
        <f>IF(I1452="Cut","",IF(I1452="Your call","(decide)",IF(I1452="Rename",J1452,IF(I1452="Keep",IF(D1452="",E1452,D1452),IF(E1452="(unchanged)",D1452,E1452)))))</f>
      </c>
      <c r="M1452" s="6">
        <f>IF(AND(I1452="Cut",N1452&gt;0,K1452=""),"USED: say what replaces it (Note)",IF(AND(I1452="Rename",J1452=""),"type the new name",IF(AND(L1452&lt;&gt;"",L1452&lt;&gt;"(decide)",COUNTIF($L$2:$L$1680,L1452)&gt;1),"SAME FINAL NAME AS ANOTHER ROW","")))</f>
      </c>
      <c r="N1452" s="6">
        <v>0</v>
      </c>
      <c r="O1452" s="6" t="s">
        <v>2</v>
      </c>
    </row>
    <row r="1453" spans="1:15" x14ac:dyDescent="0.25">
      <c r="A1453">
        <v>1452</v>
      </c>
      <c r="B1453" t="s">
        <v>1895</v>
      </c>
      <c r="C1453" t="s">
        <v>2</v>
      </c>
      <c r="D1453" t="s">
        <v>1915</v>
      </c>
      <c r="E1453" t="s">
        <v>292</v>
      </c>
      <c r="F1453" t="s">
        <v>2</v>
      </c>
      <c r="G1453" t="s">
        <v>94</v>
      </c>
      <c r="H1453" t="s">
        <v>39</v>
      </c>
      <c r="I1453" s="5" t="s">
        <v>294</v>
      </c>
      <c r="J1453" s="5" t="s">
        <v>2</v>
      </c>
      <c r="K1453" s="5" t="s">
        <v>2</v>
      </c>
      <c r="L1453" s="6">
        <f>IF(I1453="Cut","",IF(I1453="Your call","(decide)",IF(I1453="Rename",J1453,IF(I1453="Keep",IF(D1453="",E1453,D1453),IF(E1453="(unchanged)",D1453,E1453)))))</f>
      </c>
      <c r="M1453" s="6">
        <f>IF(AND(I1453="Cut",N1453&gt;0,K1453=""),"USED: say what replaces it (Note)",IF(AND(I1453="Rename",J1453=""),"type the new name",IF(AND(L1453&lt;&gt;"",L1453&lt;&gt;"(decide)",COUNTIF($L$2:$L$1680,L1453)&gt;1),"SAME FINAL NAME AS ANOTHER ROW","")))</f>
      </c>
      <c r="N1453" s="6">
        <v>1</v>
      </c>
      <c r="O1453" s="6" t="s">
        <v>2</v>
      </c>
    </row>
    <row r="1454" spans="1:15" x14ac:dyDescent="0.25">
      <c r="A1454">
        <v>1453</v>
      </c>
      <c r="B1454" t="s">
        <v>1895</v>
      </c>
      <c r="C1454" t="s">
        <v>2</v>
      </c>
      <c r="D1454" t="s">
        <v>1916</v>
      </c>
      <c r="E1454" t="s">
        <v>292</v>
      </c>
      <c r="F1454" t="s">
        <v>2</v>
      </c>
      <c r="G1454" t="s">
        <v>48</v>
      </c>
      <c r="H1454" t="s">
        <v>39</v>
      </c>
      <c r="I1454" s="5" t="s">
        <v>294</v>
      </c>
      <c r="J1454" s="5" t="s">
        <v>2</v>
      </c>
      <c r="K1454" s="5" t="s">
        <v>2</v>
      </c>
      <c r="L1454" s="6">
        <f>IF(I1454="Cut","",IF(I1454="Your call","(decide)",IF(I1454="Rename",J1454,IF(I1454="Keep",IF(D1454="",E1454,D1454),IF(E1454="(unchanged)",D1454,E1454)))))</f>
      </c>
      <c r="M1454" s="6">
        <f>IF(AND(I1454="Cut",N1454&gt;0,K1454=""),"USED: say what replaces it (Note)",IF(AND(I1454="Rename",J1454=""),"type the new name",IF(AND(L1454&lt;&gt;"",L1454&lt;&gt;"(decide)",COUNTIF($L$2:$L$1680,L1454)&gt;1),"SAME FINAL NAME AS ANOTHER ROW","")))</f>
      </c>
      <c r="N1454" s="6">
        <v>2</v>
      </c>
      <c r="O1454" s="6" t="s">
        <v>2</v>
      </c>
    </row>
    <row r="1455" spans="1:15" x14ac:dyDescent="0.25">
      <c r="A1455">
        <v>1454</v>
      </c>
      <c r="B1455" t="s">
        <v>1895</v>
      </c>
      <c r="C1455" t="s">
        <v>1917</v>
      </c>
      <c r="D1455" t="s">
        <v>1918</v>
      </c>
      <c r="E1455" t="s">
        <v>292</v>
      </c>
      <c r="F1455" t="s">
        <v>2</v>
      </c>
      <c r="G1455" t="s">
        <v>38</v>
      </c>
      <c r="H1455" t="s">
        <v>39</v>
      </c>
      <c r="I1455" s="5" t="s">
        <v>294</v>
      </c>
      <c r="J1455" s="5" t="s">
        <v>2</v>
      </c>
      <c r="K1455" s="5" t="s">
        <v>2</v>
      </c>
      <c r="L1455" s="6">
        <f>IF(I1455="Cut","",IF(I1455="Your call","(decide)",IF(I1455="Rename",J1455,IF(I1455="Keep",IF(D1455="",E1455,D1455),IF(E1455="(unchanged)",D1455,E1455)))))</f>
      </c>
      <c r="M1455" s="6">
        <f>IF(AND(I1455="Cut",N1455&gt;0,K1455=""),"USED: say what replaces it (Note)",IF(AND(I1455="Rename",J1455=""),"type the new name",IF(AND(L1455&lt;&gt;"",L1455&lt;&gt;"(decide)",COUNTIF($L$2:$L$1680,L1455)&gt;1),"SAME FINAL NAME AS ANOTHER ROW","")))</f>
      </c>
      <c r="N1455" s="6">
        <v>0</v>
      </c>
      <c r="O1455" s="6" t="s">
        <v>2</v>
      </c>
    </row>
    <row r="1456" spans="1:15" x14ac:dyDescent="0.25">
      <c r="A1456">
        <v>1455</v>
      </c>
      <c r="B1456" t="s">
        <v>1895</v>
      </c>
      <c r="C1456" t="s">
        <v>1917</v>
      </c>
      <c r="D1456" t="s">
        <v>1919</v>
      </c>
      <c r="E1456" t="s">
        <v>292</v>
      </c>
      <c r="F1456" t="s">
        <v>2</v>
      </c>
      <c r="G1456" t="s">
        <v>38</v>
      </c>
      <c r="H1456" t="s">
        <v>39</v>
      </c>
      <c r="I1456" s="5" t="s">
        <v>294</v>
      </c>
      <c r="J1456" s="5" t="s">
        <v>2</v>
      </c>
      <c r="K1456" s="5" t="s">
        <v>2</v>
      </c>
      <c r="L1456" s="6">
        <f>IF(I1456="Cut","",IF(I1456="Your call","(decide)",IF(I1456="Rename",J1456,IF(I1456="Keep",IF(D1456="",E1456,D1456),IF(E1456="(unchanged)",D1456,E1456)))))</f>
      </c>
      <c r="M1456" s="6">
        <f>IF(AND(I1456="Cut",N1456&gt;0,K1456=""),"USED: say what replaces it (Note)",IF(AND(I1456="Rename",J1456=""),"type the new name",IF(AND(L1456&lt;&gt;"",L1456&lt;&gt;"(decide)",COUNTIF($L$2:$L$1680,L1456)&gt;1),"SAME FINAL NAME AS ANOTHER ROW","")))</f>
      </c>
      <c r="N1456" s="6">
        <v>0</v>
      </c>
      <c r="O1456" s="6" t="s">
        <v>2</v>
      </c>
    </row>
    <row r="1457" spans="1:15" x14ac:dyDescent="0.25">
      <c r="A1457">
        <v>1456</v>
      </c>
      <c r="B1457" t="s">
        <v>1895</v>
      </c>
      <c r="C1457" t="s">
        <v>1917</v>
      </c>
      <c r="D1457" t="s">
        <v>1920</v>
      </c>
      <c r="E1457" t="s">
        <v>292</v>
      </c>
      <c r="F1457" t="s">
        <v>2</v>
      </c>
      <c r="G1457" t="s">
        <v>94</v>
      </c>
      <c r="H1457" t="s">
        <v>39</v>
      </c>
      <c r="I1457" s="5" t="s">
        <v>294</v>
      </c>
      <c r="J1457" s="5" t="s">
        <v>2</v>
      </c>
      <c r="K1457" s="5" t="s">
        <v>2</v>
      </c>
      <c r="L1457" s="6">
        <f>IF(I1457="Cut","",IF(I1457="Your call","(decide)",IF(I1457="Rename",J1457,IF(I1457="Keep",IF(D1457="",E1457,D1457),IF(E1457="(unchanged)",D1457,E1457)))))</f>
      </c>
      <c r="M1457" s="6">
        <f>IF(AND(I1457="Cut",N1457&gt;0,K1457=""),"USED: say what replaces it (Note)",IF(AND(I1457="Rename",J1457=""),"type the new name",IF(AND(L1457&lt;&gt;"",L1457&lt;&gt;"(decide)",COUNTIF($L$2:$L$1680,L1457)&gt;1),"SAME FINAL NAME AS ANOTHER ROW","")))</f>
      </c>
      <c r="N1457" s="6">
        <v>1</v>
      </c>
      <c r="O1457" s="6" t="s">
        <v>2</v>
      </c>
    </row>
    <row r="1458" spans="1:15" x14ac:dyDescent="0.25">
      <c r="A1458">
        <v>1457</v>
      </c>
      <c r="B1458" t="s">
        <v>1895</v>
      </c>
      <c r="C1458" t="s">
        <v>2</v>
      </c>
      <c r="D1458" t="s">
        <v>1917</v>
      </c>
      <c r="E1458" t="s">
        <v>292</v>
      </c>
      <c r="F1458" t="s">
        <v>2</v>
      </c>
      <c r="G1458" t="s">
        <v>38</v>
      </c>
      <c r="H1458" t="s">
        <v>39</v>
      </c>
      <c r="I1458" s="5" t="s">
        <v>294</v>
      </c>
      <c r="J1458" s="5" t="s">
        <v>2</v>
      </c>
      <c r="K1458" s="5" t="s">
        <v>2</v>
      </c>
      <c r="L1458" s="6">
        <f>IF(I1458="Cut","",IF(I1458="Your call","(decide)",IF(I1458="Rename",J1458,IF(I1458="Keep",IF(D1458="",E1458,D1458),IF(E1458="(unchanged)",D1458,E1458)))))</f>
      </c>
      <c r="M1458" s="6">
        <f>IF(AND(I1458="Cut",N1458&gt;0,K1458=""),"USED: say what replaces it (Note)",IF(AND(I1458="Rename",J1458=""),"type the new name",IF(AND(L1458&lt;&gt;"",L1458&lt;&gt;"(decide)",COUNTIF($L$2:$L$1680,L1458)&gt;1),"SAME FINAL NAME AS ANOTHER ROW","")))</f>
      </c>
      <c r="N1458" s="6">
        <v>0</v>
      </c>
      <c r="O1458" s="6" t="s">
        <v>2</v>
      </c>
    </row>
    <row r="1459" spans="1:15" x14ac:dyDescent="0.25">
      <c r="A1459">
        <v>1458</v>
      </c>
      <c r="B1459" t="s">
        <v>1895</v>
      </c>
      <c r="C1459" t="s">
        <v>2</v>
      </c>
      <c r="D1459" t="s">
        <v>1921</v>
      </c>
      <c r="E1459" t="s">
        <v>292</v>
      </c>
      <c r="F1459" t="s">
        <v>2</v>
      </c>
      <c r="G1459" t="s">
        <v>38</v>
      </c>
      <c r="H1459" t="s">
        <v>39</v>
      </c>
      <c r="I1459" s="5" t="s">
        <v>294</v>
      </c>
      <c r="J1459" s="5" t="s">
        <v>2</v>
      </c>
      <c r="K1459" s="5" t="s">
        <v>2</v>
      </c>
      <c r="L1459" s="6">
        <f>IF(I1459="Cut","",IF(I1459="Your call","(decide)",IF(I1459="Rename",J1459,IF(I1459="Keep",IF(D1459="",E1459,D1459),IF(E1459="(unchanged)",D1459,E1459)))))</f>
      </c>
      <c r="M1459" s="6">
        <f>IF(AND(I1459="Cut",N1459&gt;0,K1459=""),"USED: say what replaces it (Note)",IF(AND(I1459="Rename",J1459=""),"type the new name",IF(AND(L1459&lt;&gt;"",L1459&lt;&gt;"(decide)",COUNTIF($L$2:$L$1680,L1459)&gt;1),"SAME FINAL NAME AS ANOTHER ROW","")))</f>
      </c>
      <c r="N1459" s="6">
        <v>0</v>
      </c>
      <c r="O1459" s="6" t="s">
        <v>2</v>
      </c>
    </row>
    <row r="1460" spans="1:15" x14ac:dyDescent="0.25">
      <c r="A1460">
        <v>1459</v>
      </c>
      <c r="B1460" t="s">
        <v>1895</v>
      </c>
      <c r="C1460" t="s">
        <v>2</v>
      </c>
      <c r="D1460" t="s">
        <v>1922</v>
      </c>
      <c r="E1460" t="s">
        <v>292</v>
      </c>
      <c r="F1460" t="s">
        <v>2</v>
      </c>
      <c r="G1460" t="s">
        <v>38</v>
      </c>
      <c r="H1460" t="s">
        <v>39</v>
      </c>
      <c r="I1460" s="5" t="s">
        <v>294</v>
      </c>
      <c r="J1460" s="5" t="s">
        <v>2</v>
      </c>
      <c r="K1460" s="5" t="s">
        <v>2</v>
      </c>
      <c r="L1460" s="6">
        <f>IF(I1460="Cut","",IF(I1460="Your call","(decide)",IF(I1460="Rename",J1460,IF(I1460="Keep",IF(D1460="",E1460,D1460),IF(E1460="(unchanged)",D1460,E1460)))))</f>
      </c>
      <c r="M1460" s="6">
        <f>IF(AND(I1460="Cut",N1460&gt;0,K1460=""),"USED: say what replaces it (Note)",IF(AND(I1460="Rename",J1460=""),"type the new name",IF(AND(L1460&lt;&gt;"",L1460&lt;&gt;"(decide)",COUNTIF($L$2:$L$1680,L1460)&gt;1),"SAME FINAL NAME AS ANOTHER ROW","")))</f>
      </c>
      <c r="N1460" s="6">
        <v>0</v>
      </c>
      <c r="O1460" s="6" t="s">
        <v>2</v>
      </c>
    </row>
    <row r="1461" spans="1:15" x14ac:dyDescent="0.25">
      <c r="A1461">
        <v>1460</v>
      </c>
      <c r="B1461" t="s">
        <v>1895</v>
      </c>
      <c r="C1461" t="s">
        <v>1923</v>
      </c>
      <c r="D1461" t="s">
        <v>1924</v>
      </c>
      <c r="E1461" t="s">
        <v>292</v>
      </c>
      <c r="F1461" t="s">
        <v>2</v>
      </c>
      <c r="G1461" t="s">
        <v>38</v>
      </c>
      <c r="H1461" t="s">
        <v>39</v>
      </c>
      <c r="I1461" s="5" t="s">
        <v>294</v>
      </c>
      <c r="J1461" s="5" t="s">
        <v>2</v>
      </c>
      <c r="K1461" s="5" t="s">
        <v>2</v>
      </c>
      <c r="L1461" s="6">
        <f>IF(I1461="Cut","",IF(I1461="Your call","(decide)",IF(I1461="Rename",J1461,IF(I1461="Keep",IF(D1461="",E1461,D1461),IF(E1461="(unchanged)",D1461,E1461)))))</f>
      </c>
      <c r="M1461" s="6">
        <f>IF(AND(I1461="Cut",N1461&gt;0,K1461=""),"USED: say what replaces it (Note)",IF(AND(I1461="Rename",J1461=""),"type the new name",IF(AND(L1461&lt;&gt;"",L1461&lt;&gt;"(decide)",COUNTIF($L$2:$L$1680,L1461)&gt;1),"SAME FINAL NAME AS ANOTHER ROW","")))</f>
      </c>
      <c r="N1461" s="6">
        <v>0</v>
      </c>
      <c r="O1461" s="6" t="s">
        <v>2</v>
      </c>
    </row>
    <row r="1462" spans="1:15" x14ac:dyDescent="0.25">
      <c r="A1462">
        <v>1461</v>
      </c>
      <c r="B1462" t="s">
        <v>1895</v>
      </c>
      <c r="C1462" t="s">
        <v>1923</v>
      </c>
      <c r="D1462" t="s">
        <v>1925</v>
      </c>
      <c r="E1462" t="s">
        <v>292</v>
      </c>
      <c r="F1462" t="s">
        <v>2</v>
      </c>
      <c r="G1462" t="s">
        <v>38</v>
      </c>
      <c r="H1462" t="s">
        <v>39</v>
      </c>
      <c r="I1462" s="5" t="s">
        <v>294</v>
      </c>
      <c r="J1462" s="5" t="s">
        <v>2</v>
      </c>
      <c r="K1462" s="5" t="s">
        <v>2</v>
      </c>
      <c r="L1462" s="6">
        <f>IF(I1462="Cut","",IF(I1462="Your call","(decide)",IF(I1462="Rename",J1462,IF(I1462="Keep",IF(D1462="",E1462,D1462),IF(E1462="(unchanged)",D1462,E1462)))))</f>
      </c>
      <c r="M1462" s="6">
        <f>IF(AND(I1462="Cut",N1462&gt;0,K1462=""),"USED: say what replaces it (Note)",IF(AND(I1462="Rename",J1462=""),"type the new name",IF(AND(L1462&lt;&gt;"",L1462&lt;&gt;"(decide)",COUNTIF($L$2:$L$1680,L1462)&gt;1),"SAME FINAL NAME AS ANOTHER ROW","")))</f>
      </c>
      <c r="N1462" s="6">
        <v>0</v>
      </c>
      <c r="O1462" s="6" t="s">
        <v>2</v>
      </c>
    </row>
    <row r="1463" spans="1:15" x14ac:dyDescent="0.25">
      <c r="A1463">
        <v>1462</v>
      </c>
      <c r="B1463" t="s">
        <v>1895</v>
      </c>
      <c r="C1463" t="s">
        <v>1923</v>
      </c>
      <c r="D1463" t="s">
        <v>1926</v>
      </c>
      <c r="E1463" t="s">
        <v>292</v>
      </c>
      <c r="F1463" t="s">
        <v>2</v>
      </c>
      <c r="G1463" t="s">
        <v>38</v>
      </c>
      <c r="H1463" t="s">
        <v>39</v>
      </c>
      <c r="I1463" s="5" t="s">
        <v>294</v>
      </c>
      <c r="J1463" s="5" t="s">
        <v>2</v>
      </c>
      <c r="K1463" s="5" t="s">
        <v>2</v>
      </c>
      <c r="L1463" s="6">
        <f>IF(I1463="Cut","",IF(I1463="Your call","(decide)",IF(I1463="Rename",J1463,IF(I1463="Keep",IF(D1463="",E1463,D1463),IF(E1463="(unchanged)",D1463,E1463)))))</f>
      </c>
      <c r="M1463" s="6">
        <f>IF(AND(I1463="Cut",N1463&gt;0,K1463=""),"USED: say what replaces it (Note)",IF(AND(I1463="Rename",J1463=""),"type the new name",IF(AND(L1463&lt;&gt;"",L1463&lt;&gt;"(decide)",COUNTIF($L$2:$L$1680,L1463)&gt;1),"SAME FINAL NAME AS ANOTHER ROW","")))</f>
      </c>
      <c r="N1463" s="6">
        <v>0</v>
      </c>
      <c r="O1463" s="6" t="s">
        <v>2</v>
      </c>
    </row>
    <row r="1464" spans="1:15" x14ac:dyDescent="0.25">
      <c r="A1464">
        <v>1463</v>
      </c>
      <c r="B1464" t="s">
        <v>1895</v>
      </c>
      <c r="C1464" t="s">
        <v>2</v>
      </c>
      <c r="D1464" t="s">
        <v>1927</v>
      </c>
      <c r="E1464" t="s">
        <v>292</v>
      </c>
      <c r="F1464" t="s">
        <v>2</v>
      </c>
      <c r="G1464" t="s">
        <v>38</v>
      </c>
      <c r="H1464" t="s">
        <v>39</v>
      </c>
      <c r="I1464" s="5" t="s">
        <v>294</v>
      </c>
      <c r="J1464" s="5" t="s">
        <v>2</v>
      </c>
      <c r="K1464" s="5" t="s">
        <v>2</v>
      </c>
      <c r="L1464" s="6">
        <f>IF(I1464="Cut","",IF(I1464="Your call","(decide)",IF(I1464="Rename",J1464,IF(I1464="Keep",IF(D1464="",E1464,D1464),IF(E1464="(unchanged)",D1464,E1464)))))</f>
      </c>
      <c r="M1464" s="6">
        <f>IF(AND(I1464="Cut",N1464&gt;0,K1464=""),"USED: say what replaces it (Note)",IF(AND(I1464="Rename",J1464=""),"type the new name",IF(AND(L1464&lt;&gt;"",L1464&lt;&gt;"(decide)",COUNTIF($L$2:$L$1680,L1464)&gt;1),"SAME FINAL NAME AS ANOTHER ROW","")))</f>
      </c>
      <c r="N1464" s="6">
        <v>0</v>
      </c>
      <c r="O1464" s="6" t="s">
        <v>2</v>
      </c>
    </row>
    <row r="1465" spans="1:15" x14ac:dyDescent="0.25">
      <c r="A1465">
        <v>1464</v>
      </c>
      <c r="B1465" t="s">
        <v>1895</v>
      </c>
      <c r="C1465" t="s">
        <v>2</v>
      </c>
      <c r="D1465" t="s">
        <v>1928</v>
      </c>
      <c r="E1465" t="s">
        <v>292</v>
      </c>
      <c r="F1465" t="s">
        <v>2</v>
      </c>
      <c r="G1465" t="s">
        <v>94</v>
      </c>
      <c r="H1465" t="s">
        <v>39</v>
      </c>
      <c r="I1465" s="5" t="s">
        <v>294</v>
      </c>
      <c r="J1465" s="5" t="s">
        <v>2</v>
      </c>
      <c r="K1465" s="5" t="s">
        <v>2</v>
      </c>
      <c r="L1465" s="6">
        <f>IF(I1465="Cut","",IF(I1465="Your call","(decide)",IF(I1465="Rename",J1465,IF(I1465="Keep",IF(D1465="",E1465,D1465),IF(E1465="(unchanged)",D1465,E1465)))))</f>
      </c>
      <c r="M1465" s="6">
        <f>IF(AND(I1465="Cut",N1465&gt;0,K1465=""),"USED: say what replaces it (Note)",IF(AND(I1465="Rename",J1465=""),"type the new name",IF(AND(L1465&lt;&gt;"",L1465&lt;&gt;"(decide)",COUNTIF($L$2:$L$1680,L1465)&gt;1),"SAME FINAL NAME AS ANOTHER ROW","")))</f>
      </c>
      <c r="N1465" s="6">
        <v>1</v>
      </c>
      <c r="O1465" s="6" t="s">
        <v>2</v>
      </c>
    </row>
    <row r="1466" spans="1:15" x14ac:dyDescent="0.25">
      <c r="A1466">
        <v>1465</v>
      </c>
      <c r="B1466" t="s">
        <v>1895</v>
      </c>
      <c r="C1466" t="s">
        <v>2</v>
      </c>
      <c r="D1466" t="s">
        <v>1929</v>
      </c>
      <c r="E1466" t="s">
        <v>292</v>
      </c>
      <c r="F1466" t="s">
        <v>2</v>
      </c>
      <c r="G1466" t="s">
        <v>94</v>
      </c>
      <c r="H1466" t="s">
        <v>39</v>
      </c>
      <c r="I1466" s="5" t="s">
        <v>294</v>
      </c>
      <c r="J1466" s="5" t="s">
        <v>2</v>
      </c>
      <c r="K1466" s="5" t="s">
        <v>2</v>
      </c>
      <c r="L1466" s="6">
        <f>IF(I1466="Cut","",IF(I1466="Your call","(decide)",IF(I1466="Rename",J1466,IF(I1466="Keep",IF(D1466="",E1466,D1466),IF(E1466="(unchanged)",D1466,E1466)))))</f>
      </c>
      <c r="M1466" s="6">
        <f>IF(AND(I1466="Cut",N1466&gt;0,K1466=""),"USED: say what replaces it (Note)",IF(AND(I1466="Rename",J1466=""),"type the new name",IF(AND(L1466&lt;&gt;"",L1466&lt;&gt;"(decide)",COUNTIF($L$2:$L$1680,L1466)&gt;1),"SAME FINAL NAME AS ANOTHER ROW","")))</f>
      </c>
      <c r="N1466" s="6">
        <v>1</v>
      </c>
      <c r="O1466" s="6" t="s">
        <v>2</v>
      </c>
    </row>
    <row r="1467" spans="1:15" x14ac:dyDescent="0.25">
      <c r="A1467">
        <v>1466</v>
      </c>
      <c r="B1467" t="s">
        <v>1895</v>
      </c>
      <c r="C1467" t="s">
        <v>1930</v>
      </c>
      <c r="D1467" t="s">
        <v>1931</v>
      </c>
      <c r="E1467" t="s">
        <v>292</v>
      </c>
      <c r="F1467" t="s">
        <v>2</v>
      </c>
      <c r="G1467" t="s">
        <v>94</v>
      </c>
      <c r="H1467" t="s">
        <v>39</v>
      </c>
      <c r="I1467" s="5" t="s">
        <v>294</v>
      </c>
      <c r="J1467" s="5" t="s">
        <v>2</v>
      </c>
      <c r="K1467" s="5" t="s">
        <v>2</v>
      </c>
      <c r="L1467" s="6">
        <f>IF(I1467="Cut","",IF(I1467="Your call","(decide)",IF(I1467="Rename",J1467,IF(I1467="Keep",IF(D1467="",E1467,D1467),IF(E1467="(unchanged)",D1467,E1467)))))</f>
      </c>
      <c r="M1467" s="6">
        <f>IF(AND(I1467="Cut",N1467&gt;0,K1467=""),"USED: say what replaces it (Note)",IF(AND(I1467="Rename",J1467=""),"type the new name",IF(AND(L1467&lt;&gt;"",L1467&lt;&gt;"(decide)",COUNTIF($L$2:$L$1680,L1467)&gt;1),"SAME FINAL NAME AS ANOTHER ROW","")))</f>
      </c>
      <c r="N1467" s="6">
        <v>1</v>
      </c>
      <c r="O1467" s="6" t="s">
        <v>2</v>
      </c>
    </row>
    <row r="1468" spans="1:15" x14ac:dyDescent="0.25">
      <c r="A1468">
        <v>1467</v>
      </c>
      <c r="B1468" t="s">
        <v>1895</v>
      </c>
      <c r="C1468" t="s">
        <v>1930</v>
      </c>
      <c r="D1468" t="s">
        <v>1932</v>
      </c>
      <c r="E1468" t="s">
        <v>292</v>
      </c>
      <c r="F1468" t="s">
        <v>2</v>
      </c>
      <c r="G1468" t="s">
        <v>38</v>
      </c>
      <c r="H1468" t="s">
        <v>39</v>
      </c>
      <c r="I1468" s="5" t="s">
        <v>294</v>
      </c>
      <c r="J1468" s="5" t="s">
        <v>2</v>
      </c>
      <c r="K1468" s="5" t="s">
        <v>2</v>
      </c>
      <c r="L1468" s="6">
        <f>IF(I1468="Cut","",IF(I1468="Your call","(decide)",IF(I1468="Rename",J1468,IF(I1468="Keep",IF(D1468="",E1468,D1468),IF(E1468="(unchanged)",D1468,E1468)))))</f>
      </c>
      <c r="M1468" s="6">
        <f>IF(AND(I1468="Cut",N1468&gt;0,K1468=""),"USED: say what replaces it (Note)",IF(AND(I1468="Rename",J1468=""),"type the new name",IF(AND(L1468&lt;&gt;"",L1468&lt;&gt;"(decide)",COUNTIF($L$2:$L$1680,L1468)&gt;1),"SAME FINAL NAME AS ANOTHER ROW","")))</f>
      </c>
      <c r="N1468" s="6">
        <v>0</v>
      </c>
      <c r="O1468" s="6" t="s">
        <v>2</v>
      </c>
    </row>
    <row r="1469" spans="1:15" x14ac:dyDescent="0.25">
      <c r="A1469">
        <v>1468</v>
      </c>
      <c r="B1469" t="s">
        <v>1895</v>
      </c>
      <c r="C1469" t="s">
        <v>2</v>
      </c>
      <c r="D1469" t="s">
        <v>1933</v>
      </c>
      <c r="E1469" t="s">
        <v>292</v>
      </c>
      <c r="F1469" t="s">
        <v>2</v>
      </c>
      <c r="G1469" t="s">
        <v>38</v>
      </c>
      <c r="H1469" t="s">
        <v>39</v>
      </c>
      <c r="I1469" s="5" t="s">
        <v>294</v>
      </c>
      <c r="J1469" s="5" t="s">
        <v>2</v>
      </c>
      <c r="K1469" s="5" t="s">
        <v>2</v>
      </c>
      <c r="L1469" s="6">
        <f>IF(I1469="Cut","",IF(I1469="Your call","(decide)",IF(I1469="Rename",J1469,IF(I1469="Keep",IF(D1469="",E1469,D1469),IF(E1469="(unchanged)",D1469,E1469)))))</f>
      </c>
      <c r="M1469" s="6">
        <f>IF(AND(I1469="Cut",N1469&gt;0,K1469=""),"USED: say what replaces it (Note)",IF(AND(I1469="Rename",J1469=""),"type the new name",IF(AND(L1469&lt;&gt;"",L1469&lt;&gt;"(decide)",COUNTIF($L$2:$L$1680,L1469)&gt;1),"SAME FINAL NAME AS ANOTHER ROW","")))</f>
      </c>
      <c r="N1469" s="6">
        <v>0</v>
      </c>
      <c r="O1469" s="6" t="s">
        <v>2</v>
      </c>
    </row>
    <row r="1470" spans="1:15" x14ac:dyDescent="0.25">
      <c r="A1470">
        <v>1469</v>
      </c>
      <c r="B1470" t="s">
        <v>1895</v>
      </c>
      <c r="C1470" t="s">
        <v>2</v>
      </c>
      <c r="D1470" t="s">
        <v>1934</v>
      </c>
      <c r="E1470" t="s">
        <v>292</v>
      </c>
      <c r="F1470" t="s">
        <v>2</v>
      </c>
      <c r="G1470" t="s">
        <v>38</v>
      </c>
      <c r="H1470" t="s">
        <v>39</v>
      </c>
      <c r="I1470" s="5" t="s">
        <v>294</v>
      </c>
      <c r="J1470" s="5" t="s">
        <v>2</v>
      </c>
      <c r="K1470" s="5" t="s">
        <v>2</v>
      </c>
      <c r="L1470" s="6">
        <f>IF(I1470="Cut","",IF(I1470="Your call","(decide)",IF(I1470="Rename",J1470,IF(I1470="Keep",IF(D1470="",E1470,D1470),IF(E1470="(unchanged)",D1470,E1470)))))</f>
      </c>
      <c r="M1470" s="6">
        <f>IF(AND(I1470="Cut",N1470&gt;0,K1470=""),"USED: say what replaces it (Note)",IF(AND(I1470="Rename",J1470=""),"type the new name",IF(AND(L1470&lt;&gt;"",L1470&lt;&gt;"(decide)",COUNTIF($L$2:$L$1680,L1470)&gt;1),"SAME FINAL NAME AS ANOTHER ROW","")))</f>
      </c>
      <c r="N1470" s="6">
        <v>0</v>
      </c>
      <c r="O1470" s="6" t="s">
        <v>2</v>
      </c>
    </row>
    <row r="1471" spans="1:15" x14ac:dyDescent="0.25">
      <c r="A1471">
        <v>1470</v>
      </c>
      <c r="B1471" t="s">
        <v>1895</v>
      </c>
      <c r="C1471" t="s">
        <v>2</v>
      </c>
      <c r="D1471" t="s">
        <v>1935</v>
      </c>
      <c r="E1471" t="s">
        <v>292</v>
      </c>
      <c r="F1471" t="s">
        <v>2</v>
      </c>
      <c r="G1471" t="s">
        <v>94</v>
      </c>
      <c r="H1471" t="s">
        <v>39</v>
      </c>
      <c r="I1471" s="5" t="s">
        <v>294</v>
      </c>
      <c r="J1471" s="5" t="s">
        <v>2</v>
      </c>
      <c r="K1471" s="5" t="s">
        <v>2</v>
      </c>
      <c r="L1471" s="6">
        <f>IF(I1471="Cut","",IF(I1471="Your call","(decide)",IF(I1471="Rename",J1471,IF(I1471="Keep",IF(D1471="",E1471,D1471),IF(E1471="(unchanged)",D1471,E1471)))))</f>
      </c>
      <c r="M1471" s="6">
        <f>IF(AND(I1471="Cut",N1471&gt;0,K1471=""),"USED: say what replaces it (Note)",IF(AND(I1471="Rename",J1471=""),"type the new name",IF(AND(L1471&lt;&gt;"",L1471&lt;&gt;"(decide)",COUNTIF($L$2:$L$1680,L1471)&gt;1),"SAME FINAL NAME AS ANOTHER ROW","")))</f>
      </c>
      <c r="N1471" s="6">
        <v>1</v>
      </c>
      <c r="O1471" s="6" t="s">
        <v>2</v>
      </c>
    </row>
    <row r="1472" spans="1:15" x14ac:dyDescent="0.25">
      <c r="A1472">
        <v>1471</v>
      </c>
      <c r="B1472" t="s">
        <v>1895</v>
      </c>
      <c r="C1472" t="s">
        <v>2</v>
      </c>
      <c r="D1472" t="s">
        <v>1936</v>
      </c>
      <c r="E1472" t="s">
        <v>292</v>
      </c>
      <c r="F1472" t="s">
        <v>2</v>
      </c>
      <c r="G1472" t="s">
        <v>94</v>
      </c>
      <c r="H1472" t="s">
        <v>39</v>
      </c>
      <c r="I1472" s="5" t="s">
        <v>294</v>
      </c>
      <c r="J1472" s="5" t="s">
        <v>2</v>
      </c>
      <c r="K1472" s="5" t="s">
        <v>2</v>
      </c>
      <c r="L1472" s="6">
        <f>IF(I1472="Cut","",IF(I1472="Your call","(decide)",IF(I1472="Rename",J1472,IF(I1472="Keep",IF(D1472="",E1472,D1472),IF(E1472="(unchanged)",D1472,E1472)))))</f>
      </c>
      <c r="M1472" s="6">
        <f>IF(AND(I1472="Cut",N1472&gt;0,K1472=""),"USED: say what replaces it (Note)",IF(AND(I1472="Rename",J1472=""),"type the new name",IF(AND(L1472&lt;&gt;"",L1472&lt;&gt;"(decide)",COUNTIF($L$2:$L$1680,L1472)&gt;1),"SAME FINAL NAME AS ANOTHER ROW","")))</f>
      </c>
      <c r="N1472" s="6">
        <v>1</v>
      </c>
      <c r="O1472" s="6" t="s">
        <v>2</v>
      </c>
    </row>
    <row r="1473" spans="1:15" x14ac:dyDescent="0.25">
      <c r="A1473">
        <v>1472</v>
      </c>
      <c r="B1473" t="s">
        <v>1895</v>
      </c>
      <c r="C1473" t="s">
        <v>2</v>
      </c>
      <c r="D1473" t="s">
        <v>1937</v>
      </c>
      <c r="E1473" t="s">
        <v>292</v>
      </c>
      <c r="F1473" t="s">
        <v>2</v>
      </c>
      <c r="G1473" t="s">
        <v>94</v>
      </c>
      <c r="H1473" t="s">
        <v>39</v>
      </c>
      <c r="I1473" s="5" t="s">
        <v>294</v>
      </c>
      <c r="J1473" s="5" t="s">
        <v>2</v>
      </c>
      <c r="K1473" s="5" t="s">
        <v>2</v>
      </c>
      <c r="L1473" s="6">
        <f>IF(I1473="Cut","",IF(I1473="Your call","(decide)",IF(I1473="Rename",J1473,IF(I1473="Keep",IF(D1473="",E1473,D1473),IF(E1473="(unchanged)",D1473,E1473)))))</f>
      </c>
      <c r="M1473" s="6">
        <f>IF(AND(I1473="Cut",N1473&gt;0,K1473=""),"USED: say what replaces it (Note)",IF(AND(I1473="Rename",J1473=""),"type the new name",IF(AND(L1473&lt;&gt;"",L1473&lt;&gt;"(decide)",COUNTIF($L$2:$L$1680,L1473)&gt;1),"SAME FINAL NAME AS ANOTHER ROW","")))</f>
      </c>
      <c r="N1473" s="6">
        <v>1</v>
      </c>
      <c r="O1473" s="6" t="s">
        <v>2</v>
      </c>
    </row>
    <row r="1474" spans="1:15" x14ac:dyDescent="0.25">
      <c r="A1474">
        <v>1473</v>
      </c>
      <c r="B1474" t="s">
        <v>1895</v>
      </c>
      <c r="C1474" t="s">
        <v>2</v>
      </c>
      <c r="D1474" t="s">
        <v>1938</v>
      </c>
      <c r="E1474" t="s">
        <v>292</v>
      </c>
      <c r="F1474" t="s">
        <v>2</v>
      </c>
      <c r="G1474" t="s">
        <v>38</v>
      </c>
      <c r="H1474" t="s">
        <v>39</v>
      </c>
      <c r="I1474" s="5" t="s">
        <v>294</v>
      </c>
      <c r="J1474" s="5" t="s">
        <v>2</v>
      </c>
      <c r="K1474" s="5" t="s">
        <v>2</v>
      </c>
      <c r="L1474" s="6">
        <f>IF(I1474="Cut","",IF(I1474="Your call","(decide)",IF(I1474="Rename",J1474,IF(I1474="Keep",IF(D1474="",E1474,D1474),IF(E1474="(unchanged)",D1474,E1474)))))</f>
      </c>
      <c r="M1474" s="6">
        <f>IF(AND(I1474="Cut",N1474&gt;0,K1474=""),"USED: say what replaces it (Note)",IF(AND(I1474="Rename",J1474=""),"type the new name",IF(AND(L1474&lt;&gt;"",L1474&lt;&gt;"(decide)",COUNTIF($L$2:$L$1680,L1474)&gt;1),"SAME FINAL NAME AS ANOTHER ROW","")))</f>
      </c>
      <c r="N1474" s="6">
        <v>0</v>
      </c>
      <c r="O1474" s="6" t="s">
        <v>2</v>
      </c>
    </row>
    <row r="1475" spans="1:15" x14ac:dyDescent="0.25">
      <c r="A1475">
        <v>1474</v>
      </c>
      <c r="B1475" t="s">
        <v>1895</v>
      </c>
      <c r="C1475" t="s">
        <v>1939</v>
      </c>
      <c r="D1475" t="s">
        <v>1940</v>
      </c>
      <c r="E1475" t="s">
        <v>292</v>
      </c>
      <c r="F1475" t="s">
        <v>2</v>
      </c>
      <c r="G1475" t="s">
        <v>48</v>
      </c>
      <c r="H1475" t="s">
        <v>39</v>
      </c>
      <c r="I1475" s="5" t="s">
        <v>294</v>
      </c>
      <c r="J1475" s="5" t="s">
        <v>2</v>
      </c>
      <c r="K1475" s="5" t="s">
        <v>2</v>
      </c>
      <c r="L1475" s="6">
        <f>IF(I1475="Cut","",IF(I1475="Your call","(decide)",IF(I1475="Rename",J1475,IF(I1475="Keep",IF(D1475="",E1475,D1475),IF(E1475="(unchanged)",D1475,E1475)))))</f>
      </c>
      <c r="M1475" s="6">
        <f>IF(AND(I1475="Cut",N1475&gt;0,K1475=""),"USED: say what replaces it (Note)",IF(AND(I1475="Rename",J1475=""),"type the new name",IF(AND(L1475&lt;&gt;"",L1475&lt;&gt;"(decide)",COUNTIF($L$2:$L$1680,L1475)&gt;1),"SAME FINAL NAME AS ANOTHER ROW","")))</f>
      </c>
      <c r="N1475" s="6">
        <v>2</v>
      </c>
      <c r="O1475" s="6" t="s">
        <v>2</v>
      </c>
    </row>
    <row r="1476" spans="1:15" x14ac:dyDescent="0.25">
      <c r="A1476">
        <v>1475</v>
      </c>
      <c r="B1476" t="s">
        <v>1895</v>
      </c>
      <c r="C1476" t="s">
        <v>1939</v>
      </c>
      <c r="D1476" t="s">
        <v>1941</v>
      </c>
      <c r="E1476" t="s">
        <v>292</v>
      </c>
      <c r="F1476" t="s">
        <v>2</v>
      </c>
      <c r="G1476" t="s">
        <v>38</v>
      </c>
      <c r="H1476" t="s">
        <v>39</v>
      </c>
      <c r="I1476" s="5" t="s">
        <v>294</v>
      </c>
      <c r="J1476" s="5" t="s">
        <v>2</v>
      </c>
      <c r="K1476" s="5" t="s">
        <v>2</v>
      </c>
      <c r="L1476" s="6">
        <f>IF(I1476="Cut","",IF(I1476="Your call","(decide)",IF(I1476="Rename",J1476,IF(I1476="Keep",IF(D1476="",E1476,D1476),IF(E1476="(unchanged)",D1476,E1476)))))</f>
      </c>
      <c r="M1476" s="6">
        <f>IF(AND(I1476="Cut",N1476&gt;0,K1476=""),"USED: say what replaces it (Note)",IF(AND(I1476="Rename",J1476=""),"type the new name",IF(AND(L1476&lt;&gt;"",L1476&lt;&gt;"(decide)",COUNTIF($L$2:$L$1680,L1476)&gt;1),"SAME FINAL NAME AS ANOTHER ROW","")))</f>
      </c>
      <c r="N1476" s="6">
        <v>0</v>
      </c>
      <c r="O1476" s="6" t="s">
        <v>2</v>
      </c>
    </row>
    <row r="1477" spans="1:15" x14ac:dyDescent="0.25">
      <c r="A1477">
        <v>1476</v>
      </c>
      <c r="B1477" t="s">
        <v>1895</v>
      </c>
      <c r="C1477" t="s">
        <v>2</v>
      </c>
      <c r="D1477" t="s">
        <v>1942</v>
      </c>
      <c r="E1477" t="s">
        <v>292</v>
      </c>
      <c r="F1477" t="s">
        <v>2</v>
      </c>
      <c r="G1477" t="s">
        <v>38</v>
      </c>
      <c r="H1477" t="s">
        <v>39</v>
      </c>
      <c r="I1477" s="5" t="s">
        <v>294</v>
      </c>
      <c r="J1477" s="5" t="s">
        <v>2</v>
      </c>
      <c r="K1477" s="5" t="s">
        <v>2</v>
      </c>
      <c r="L1477" s="6">
        <f>IF(I1477="Cut","",IF(I1477="Your call","(decide)",IF(I1477="Rename",J1477,IF(I1477="Keep",IF(D1477="",E1477,D1477),IF(E1477="(unchanged)",D1477,E1477)))))</f>
      </c>
      <c r="M1477" s="6">
        <f>IF(AND(I1477="Cut",N1477&gt;0,K1477=""),"USED: say what replaces it (Note)",IF(AND(I1477="Rename",J1477=""),"type the new name",IF(AND(L1477&lt;&gt;"",L1477&lt;&gt;"(decide)",COUNTIF($L$2:$L$1680,L1477)&gt;1),"SAME FINAL NAME AS ANOTHER ROW","")))</f>
      </c>
      <c r="N1477" s="6">
        <v>0</v>
      </c>
      <c r="O1477" s="6" t="s">
        <v>2</v>
      </c>
    </row>
    <row r="1478" spans="1:15" x14ac:dyDescent="0.25">
      <c r="A1478">
        <v>1477</v>
      </c>
      <c r="B1478" t="s">
        <v>1895</v>
      </c>
      <c r="C1478" t="s">
        <v>1943</v>
      </c>
      <c r="D1478" t="s">
        <v>1944</v>
      </c>
      <c r="E1478" t="s">
        <v>292</v>
      </c>
      <c r="F1478" t="s">
        <v>2</v>
      </c>
      <c r="G1478" t="s">
        <v>94</v>
      </c>
      <c r="H1478" t="s">
        <v>39</v>
      </c>
      <c r="I1478" s="5" t="s">
        <v>294</v>
      </c>
      <c r="J1478" s="5" t="s">
        <v>2</v>
      </c>
      <c r="K1478" s="5" t="s">
        <v>2</v>
      </c>
      <c r="L1478" s="6">
        <f>IF(I1478="Cut","",IF(I1478="Your call","(decide)",IF(I1478="Rename",J1478,IF(I1478="Keep",IF(D1478="",E1478,D1478),IF(E1478="(unchanged)",D1478,E1478)))))</f>
      </c>
      <c r="M1478" s="6">
        <f>IF(AND(I1478="Cut",N1478&gt;0,K1478=""),"USED: say what replaces it (Note)",IF(AND(I1478="Rename",J1478=""),"type the new name",IF(AND(L1478&lt;&gt;"",L1478&lt;&gt;"(decide)",COUNTIF($L$2:$L$1680,L1478)&gt;1),"SAME FINAL NAME AS ANOTHER ROW","")))</f>
      </c>
      <c r="N1478" s="6">
        <v>1</v>
      </c>
      <c r="O1478" s="6" t="s">
        <v>2</v>
      </c>
    </row>
    <row r="1479" spans="1:15" x14ac:dyDescent="0.25">
      <c r="A1479">
        <v>1478</v>
      </c>
      <c r="B1479" t="s">
        <v>1895</v>
      </c>
      <c r="C1479" t="s">
        <v>1943</v>
      </c>
      <c r="D1479" t="s">
        <v>1945</v>
      </c>
      <c r="E1479" t="s">
        <v>292</v>
      </c>
      <c r="F1479" t="s">
        <v>2</v>
      </c>
      <c r="G1479" t="s">
        <v>38</v>
      </c>
      <c r="H1479" t="s">
        <v>39</v>
      </c>
      <c r="I1479" s="5" t="s">
        <v>294</v>
      </c>
      <c r="J1479" s="5" t="s">
        <v>2</v>
      </c>
      <c r="K1479" s="5" t="s">
        <v>2</v>
      </c>
      <c r="L1479" s="6">
        <f>IF(I1479="Cut","",IF(I1479="Your call","(decide)",IF(I1479="Rename",J1479,IF(I1479="Keep",IF(D1479="",E1479,D1479),IF(E1479="(unchanged)",D1479,E1479)))))</f>
      </c>
      <c r="M1479" s="6">
        <f>IF(AND(I1479="Cut",N1479&gt;0,K1479=""),"USED: say what replaces it (Note)",IF(AND(I1479="Rename",J1479=""),"type the new name",IF(AND(L1479&lt;&gt;"",L1479&lt;&gt;"(decide)",COUNTIF($L$2:$L$1680,L1479)&gt;1),"SAME FINAL NAME AS ANOTHER ROW","")))</f>
      </c>
      <c r="N1479" s="6">
        <v>0</v>
      </c>
      <c r="O1479" s="6" t="s">
        <v>2</v>
      </c>
    </row>
    <row r="1480" spans="1:15" x14ac:dyDescent="0.25">
      <c r="A1480">
        <v>1479</v>
      </c>
      <c r="B1480" t="s">
        <v>1895</v>
      </c>
      <c r="C1480" t="s">
        <v>2</v>
      </c>
      <c r="D1480" t="s">
        <v>1946</v>
      </c>
      <c r="E1480" t="s">
        <v>292</v>
      </c>
      <c r="F1480" t="s">
        <v>2</v>
      </c>
      <c r="G1480" t="s">
        <v>38</v>
      </c>
      <c r="H1480" t="s">
        <v>39</v>
      </c>
      <c r="I1480" s="5" t="s">
        <v>294</v>
      </c>
      <c r="J1480" s="5" t="s">
        <v>2</v>
      </c>
      <c r="K1480" s="5" t="s">
        <v>2</v>
      </c>
      <c r="L1480" s="6">
        <f>IF(I1480="Cut","",IF(I1480="Your call","(decide)",IF(I1480="Rename",J1480,IF(I1480="Keep",IF(D1480="",E1480,D1480),IF(E1480="(unchanged)",D1480,E1480)))))</f>
      </c>
      <c r="M1480" s="6">
        <f>IF(AND(I1480="Cut",N1480&gt;0,K1480=""),"USED: say what replaces it (Note)",IF(AND(I1480="Rename",J1480=""),"type the new name",IF(AND(L1480&lt;&gt;"",L1480&lt;&gt;"(decide)",COUNTIF($L$2:$L$1680,L1480)&gt;1),"SAME FINAL NAME AS ANOTHER ROW","")))</f>
      </c>
      <c r="N1480" s="6">
        <v>0</v>
      </c>
      <c r="O1480" s="6" t="s">
        <v>2</v>
      </c>
    </row>
    <row r="1481" spans="1:15" x14ac:dyDescent="0.25">
      <c r="A1481">
        <v>1480</v>
      </c>
      <c r="B1481" t="s">
        <v>1895</v>
      </c>
      <c r="C1481" t="s">
        <v>2</v>
      </c>
      <c r="D1481" t="s">
        <v>1947</v>
      </c>
      <c r="E1481" t="s">
        <v>292</v>
      </c>
      <c r="F1481" t="s">
        <v>2</v>
      </c>
      <c r="G1481" t="s">
        <v>38</v>
      </c>
      <c r="H1481" t="s">
        <v>39</v>
      </c>
      <c r="I1481" s="5" t="s">
        <v>294</v>
      </c>
      <c r="J1481" s="5" t="s">
        <v>2</v>
      </c>
      <c r="K1481" s="5" t="s">
        <v>2</v>
      </c>
      <c r="L1481" s="6">
        <f>IF(I1481="Cut","",IF(I1481="Your call","(decide)",IF(I1481="Rename",J1481,IF(I1481="Keep",IF(D1481="",E1481,D1481),IF(E1481="(unchanged)",D1481,E1481)))))</f>
      </c>
      <c r="M1481" s="6">
        <f>IF(AND(I1481="Cut",N1481&gt;0,K1481=""),"USED: say what replaces it (Note)",IF(AND(I1481="Rename",J1481=""),"type the new name",IF(AND(L1481&lt;&gt;"",L1481&lt;&gt;"(decide)",COUNTIF($L$2:$L$1680,L1481)&gt;1),"SAME FINAL NAME AS ANOTHER ROW","")))</f>
      </c>
      <c r="N1481" s="6">
        <v>0</v>
      </c>
      <c r="O1481" s="6" t="s">
        <v>2</v>
      </c>
    </row>
    <row r="1482" spans="1:15" x14ac:dyDescent="0.25">
      <c r="A1482">
        <v>1481</v>
      </c>
      <c r="B1482" t="s">
        <v>1895</v>
      </c>
      <c r="C1482" t="s">
        <v>2</v>
      </c>
      <c r="D1482" t="s">
        <v>1948</v>
      </c>
      <c r="E1482" t="s">
        <v>292</v>
      </c>
      <c r="F1482" t="s">
        <v>2</v>
      </c>
      <c r="G1482" t="s">
        <v>94</v>
      </c>
      <c r="H1482" t="s">
        <v>39</v>
      </c>
      <c r="I1482" s="5" t="s">
        <v>294</v>
      </c>
      <c r="J1482" s="5" t="s">
        <v>2</v>
      </c>
      <c r="K1482" s="5" t="s">
        <v>2</v>
      </c>
      <c r="L1482" s="6">
        <f>IF(I1482="Cut","",IF(I1482="Your call","(decide)",IF(I1482="Rename",J1482,IF(I1482="Keep",IF(D1482="",E1482,D1482),IF(E1482="(unchanged)",D1482,E1482)))))</f>
      </c>
      <c r="M1482" s="6">
        <f>IF(AND(I1482="Cut",N1482&gt;0,K1482=""),"USED: say what replaces it (Note)",IF(AND(I1482="Rename",J1482=""),"type the new name",IF(AND(L1482&lt;&gt;"",L1482&lt;&gt;"(decide)",COUNTIF($L$2:$L$1680,L1482)&gt;1),"SAME FINAL NAME AS ANOTHER ROW","")))</f>
      </c>
      <c r="N1482" s="6">
        <v>1</v>
      </c>
      <c r="O1482" s="6" t="s">
        <v>2</v>
      </c>
    </row>
    <row r="1483" spans="1:15" x14ac:dyDescent="0.25">
      <c r="A1483">
        <v>1482</v>
      </c>
      <c r="B1483" t="s">
        <v>1895</v>
      </c>
      <c r="C1483" t="s">
        <v>2</v>
      </c>
      <c r="D1483" t="s">
        <v>1949</v>
      </c>
      <c r="E1483" t="s">
        <v>292</v>
      </c>
      <c r="F1483" t="s">
        <v>2</v>
      </c>
      <c r="G1483" t="s">
        <v>94</v>
      </c>
      <c r="H1483" t="s">
        <v>39</v>
      </c>
      <c r="I1483" s="5" t="s">
        <v>294</v>
      </c>
      <c r="J1483" s="5" t="s">
        <v>2</v>
      </c>
      <c r="K1483" s="5" t="s">
        <v>2</v>
      </c>
      <c r="L1483" s="6">
        <f>IF(I1483="Cut","",IF(I1483="Your call","(decide)",IF(I1483="Rename",J1483,IF(I1483="Keep",IF(D1483="",E1483,D1483),IF(E1483="(unchanged)",D1483,E1483)))))</f>
      </c>
      <c r="M1483" s="6">
        <f>IF(AND(I1483="Cut",N1483&gt;0,K1483=""),"USED: say what replaces it (Note)",IF(AND(I1483="Rename",J1483=""),"type the new name",IF(AND(L1483&lt;&gt;"",L1483&lt;&gt;"(decide)",COUNTIF($L$2:$L$1680,L1483)&gt;1),"SAME FINAL NAME AS ANOTHER ROW","")))</f>
      </c>
      <c r="N1483" s="6">
        <v>1</v>
      </c>
      <c r="O1483" s="6" t="s">
        <v>2</v>
      </c>
    </row>
    <row r="1484" spans="1:15" x14ac:dyDescent="0.25">
      <c r="A1484">
        <v>1483</v>
      </c>
      <c r="B1484" t="s">
        <v>1895</v>
      </c>
      <c r="C1484" t="s">
        <v>2</v>
      </c>
      <c r="D1484" t="s">
        <v>1950</v>
      </c>
      <c r="E1484" t="s">
        <v>292</v>
      </c>
      <c r="F1484" t="s">
        <v>2</v>
      </c>
      <c r="G1484" t="s">
        <v>38</v>
      </c>
      <c r="H1484" t="s">
        <v>39</v>
      </c>
      <c r="I1484" s="5" t="s">
        <v>294</v>
      </c>
      <c r="J1484" s="5" t="s">
        <v>2</v>
      </c>
      <c r="K1484" s="5" t="s">
        <v>2</v>
      </c>
      <c r="L1484" s="6">
        <f>IF(I1484="Cut","",IF(I1484="Your call","(decide)",IF(I1484="Rename",J1484,IF(I1484="Keep",IF(D1484="",E1484,D1484),IF(E1484="(unchanged)",D1484,E1484)))))</f>
      </c>
      <c r="M1484" s="6">
        <f>IF(AND(I1484="Cut",N1484&gt;0,K1484=""),"USED: say what replaces it (Note)",IF(AND(I1484="Rename",J1484=""),"type the new name",IF(AND(L1484&lt;&gt;"",L1484&lt;&gt;"(decide)",COUNTIF($L$2:$L$1680,L1484)&gt;1),"SAME FINAL NAME AS ANOTHER ROW","")))</f>
      </c>
      <c r="N1484" s="6">
        <v>0</v>
      </c>
      <c r="O1484" s="6" t="s">
        <v>2</v>
      </c>
    </row>
    <row r="1485" spans="1:15" x14ac:dyDescent="0.25">
      <c r="A1485">
        <v>1484</v>
      </c>
      <c r="B1485" t="s">
        <v>1895</v>
      </c>
      <c r="C1485" t="s">
        <v>1951</v>
      </c>
      <c r="D1485" t="s">
        <v>1952</v>
      </c>
      <c r="E1485" t="s">
        <v>292</v>
      </c>
      <c r="F1485" t="s">
        <v>2</v>
      </c>
      <c r="G1485" t="s">
        <v>94</v>
      </c>
      <c r="H1485" t="s">
        <v>39</v>
      </c>
      <c r="I1485" s="5" t="s">
        <v>294</v>
      </c>
      <c r="J1485" s="5" t="s">
        <v>2</v>
      </c>
      <c r="K1485" s="5" t="s">
        <v>2</v>
      </c>
      <c r="L1485" s="6">
        <f>IF(I1485="Cut","",IF(I1485="Your call","(decide)",IF(I1485="Rename",J1485,IF(I1485="Keep",IF(D1485="",E1485,D1485),IF(E1485="(unchanged)",D1485,E1485)))))</f>
      </c>
      <c r="M1485" s="6">
        <f>IF(AND(I1485="Cut",N1485&gt;0,K1485=""),"USED: say what replaces it (Note)",IF(AND(I1485="Rename",J1485=""),"type the new name",IF(AND(L1485&lt;&gt;"",L1485&lt;&gt;"(decide)",COUNTIF($L$2:$L$1680,L1485)&gt;1),"SAME FINAL NAME AS ANOTHER ROW","")))</f>
      </c>
      <c r="N1485" s="6">
        <v>1</v>
      </c>
      <c r="O1485" s="6" t="s">
        <v>2</v>
      </c>
    </row>
    <row r="1486" spans="1:15" x14ac:dyDescent="0.25">
      <c r="A1486">
        <v>1485</v>
      </c>
      <c r="B1486" t="s">
        <v>1895</v>
      </c>
      <c r="C1486" t="s">
        <v>2</v>
      </c>
      <c r="D1486" t="s">
        <v>1953</v>
      </c>
      <c r="E1486" t="s">
        <v>292</v>
      </c>
      <c r="F1486" t="s">
        <v>2</v>
      </c>
      <c r="G1486" t="s">
        <v>38</v>
      </c>
      <c r="H1486" t="s">
        <v>39</v>
      </c>
      <c r="I1486" s="5" t="s">
        <v>294</v>
      </c>
      <c r="J1486" s="5" t="s">
        <v>2</v>
      </c>
      <c r="K1486" s="5" t="s">
        <v>2</v>
      </c>
      <c r="L1486" s="6">
        <f>IF(I1486="Cut","",IF(I1486="Your call","(decide)",IF(I1486="Rename",J1486,IF(I1486="Keep",IF(D1486="",E1486,D1486),IF(E1486="(unchanged)",D1486,E1486)))))</f>
      </c>
      <c r="M1486" s="6">
        <f>IF(AND(I1486="Cut",N1486&gt;0,K1486=""),"USED: say what replaces it (Note)",IF(AND(I1486="Rename",J1486=""),"type the new name",IF(AND(L1486&lt;&gt;"",L1486&lt;&gt;"(decide)",COUNTIF($L$2:$L$1680,L1486)&gt;1),"SAME FINAL NAME AS ANOTHER ROW","")))</f>
      </c>
      <c r="N1486" s="6">
        <v>0</v>
      </c>
      <c r="O1486" s="6" t="s">
        <v>2</v>
      </c>
    </row>
    <row r="1487" spans="1:15" x14ac:dyDescent="0.25">
      <c r="A1487">
        <v>1486</v>
      </c>
      <c r="B1487" t="s">
        <v>1895</v>
      </c>
      <c r="C1487" t="s">
        <v>2</v>
      </c>
      <c r="D1487" t="s">
        <v>1954</v>
      </c>
      <c r="E1487" t="s">
        <v>292</v>
      </c>
      <c r="F1487" t="s">
        <v>2</v>
      </c>
      <c r="G1487" t="s">
        <v>38</v>
      </c>
      <c r="H1487" t="s">
        <v>39</v>
      </c>
      <c r="I1487" s="5" t="s">
        <v>294</v>
      </c>
      <c r="J1487" s="5" t="s">
        <v>2</v>
      </c>
      <c r="K1487" s="5" t="s">
        <v>2</v>
      </c>
      <c r="L1487" s="6">
        <f>IF(I1487="Cut","",IF(I1487="Your call","(decide)",IF(I1487="Rename",J1487,IF(I1487="Keep",IF(D1487="",E1487,D1487),IF(E1487="(unchanged)",D1487,E1487)))))</f>
      </c>
      <c r="M1487" s="6">
        <f>IF(AND(I1487="Cut",N1487&gt;0,K1487=""),"USED: say what replaces it (Note)",IF(AND(I1487="Rename",J1487=""),"type the new name",IF(AND(L1487&lt;&gt;"",L1487&lt;&gt;"(decide)",COUNTIF($L$2:$L$1680,L1487)&gt;1),"SAME FINAL NAME AS ANOTHER ROW","")))</f>
      </c>
      <c r="N1487" s="6">
        <v>0</v>
      </c>
      <c r="O1487" s="6" t="s">
        <v>2</v>
      </c>
    </row>
    <row r="1488" spans="1:15" x14ac:dyDescent="0.25">
      <c r="A1488">
        <v>1487</v>
      </c>
      <c r="B1488" t="s">
        <v>1895</v>
      </c>
      <c r="C1488" t="s">
        <v>2</v>
      </c>
      <c r="D1488" t="s">
        <v>1955</v>
      </c>
      <c r="E1488" t="s">
        <v>292</v>
      </c>
      <c r="F1488" t="s">
        <v>2</v>
      </c>
      <c r="G1488" t="s">
        <v>48</v>
      </c>
      <c r="H1488" t="s">
        <v>39</v>
      </c>
      <c r="I1488" s="5" t="s">
        <v>294</v>
      </c>
      <c r="J1488" s="5" t="s">
        <v>2</v>
      </c>
      <c r="K1488" s="5" t="s">
        <v>2</v>
      </c>
      <c r="L1488" s="6">
        <f>IF(I1488="Cut","",IF(I1488="Your call","(decide)",IF(I1488="Rename",J1488,IF(I1488="Keep",IF(D1488="",E1488,D1488),IF(E1488="(unchanged)",D1488,E1488)))))</f>
      </c>
      <c r="M1488" s="6">
        <f>IF(AND(I1488="Cut",N1488&gt;0,K1488=""),"USED: say what replaces it (Note)",IF(AND(I1488="Rename",J1488=""),"type the new name",IF(AND(L1488&lt;&gt;"",L1488&lt;&gt;"(decide)",COUNTIF($L$2:$L$1680,L1488)&gt;1),"SAME FINAL NAME AS ANOTHER ROW","")))</f>
      </c>
      <c r="N1488" s="6">
        <v>2</v>
      </c>
      <c r="O1488" s="6" t="s">
        <v>2</v>
      </c>
    </row>
    <row r="1489" spans="1:15" x14ac:dyDescent="0.25">
      <c r="A1489">
        <v>1488</v>
      </c>
      <c r="B1489" t="s">
        <v>1895</v>
      </c>
      <c r="C1489" t="s">
        <v>2</v>
      </c>
      <c r="D1489" t="s">
        <v>1956</v>
      </c>
      <c r="E1489" t="s">
        <v>292</v>
      </c>
      <c r="F1489" t="s">
        <v>2</v>
      </c>
      <c r="G1489" t="s">
        <v>94</v>
      </c>
      <c r="H1489" t="s">
        <v>39</v>
      </c>
      <c r="I1489" s="5" t="s">
        <v>294</v>
      </c>
      <c r="J1489" s="5" t="s">
        <v>2</v>
      </c>
      <c r="K1489" s="5" t="s">
        <v>2</v>
      </c>
      <c r="L1489" s="6">
        <f>IF(I1489="Cut","",IF(I1489="Your call","(decide)",IF(I1489="Rename",J1489,IF(I1489="Keep",IF(D1489="",E1489,D1489),IF(E1489="(unchanged)",D1489,E1489)))))</f>
      </c>
      <c r="M1489" s="6">
        <f>IF(AND(I1489="Cut",N1489&gt;0,K1489=""),"USED: say what replaces it (Note)",IF(AND(I1489="Rename",J1489=""),"type the new name",IF(AND(L1489&lt;&gt;"",L1489&lt;&gt;"(decide)",COUNTIF($L$2:$L$1680,L1489)&gt;1),"SAME FINAL NAME AS ANOTHER ROW","")))</f>
      </c>
      <c r="N1489" s="6">
        <v>1</v>
      </c>
      <c r="O1489" s="6" t="s">
        <v>2</v>
      </c>
    </row>
    <row r="1490" spans="1:15" x14ac:dyDescent="0.25">
      <c r="A1490">
        <v>1489</v>
      </c>
      <c r="B1490" t="s">
        <v>1895</v>
      </c>
      <c r="C1490" t="s">
        <v>2</v>
      </c>
      <c r="D1490" t="s">
        <v>1957</v>
      </c>
      <c r="E1490" t="s">
        <v>292</v>
      </c>
      <c r="F1490" t="s">
        <v>2</v>
      </c>
      <c r="G1490" t="s">
        <v>38</v>
      </c>
      <c r="H1490" t="s">
        <v>39</v>
      </c>
      <c r="I1490" s="5" t="s">
        <v>294</v>
      </c>
      <c r="J1490" s="5" t="s">
        <v>2</v>
      </c>
      <c r="K1490" s="5" t="s">
        <v>2</v>
      </c>
      <c r="L1490" s="6">
        <f>IF(I1490="Cut","",IF(I1490="Your call","(decide)",IF(I1490="Rename",J1490,IF(I1490="Keep",IF(D1490="",E1490,D1490),IF(E1490="(unchanged)",D1490,E1490)))))</f>
      </c>
      <c r="M1490" s="6">
        <f>IF(AND(I1490="Cut",N1490&gt;0,K1490=""),"USED: say what replaces it (Note)",IF(AND(I1490="Rename",J1490=""),"type the new name",IF(AND(L1490&lt;&gt;"",L1490&lt;&gt;"(decide)",COUNTIF($L$2:$L$1680,L1490)&gt;1),"SAME FINAL NAME AS ANOTHER ROW","")))</f>
      </c>
      <c r="N1490" s="6">
        <v>0</v>
      </c>
      <c r="O1490" s="6" t="s">
        <v>2</v>
      </c>
    </row>
    <row r="1491" spans="1:15" x14ac:dyDescent="0.25">
      <c r="A1491">
        <v>1490</v>
      </c>
      <c r="B1491" t="s">
        <v>1895</v>
      </c>
      <c r="C1491" t="s">
        <v>2</v>
      </c>
      <c r="D1491" t="s">
        <v>1958</v>
      </c>
      <c r="E1491" t="s">
        <v>292</v>
      </c>
      <c r="F1491" t="s">
        <v>2</v>
      </c>
      <c r="G1491" t="s">
        <v>94</v>
      </c>
      <c r="H1491" t="s">
        <v>39</v>
      </c>
      <c r="I1491" s="5" t="s">
        <v>294</v>
      </c>
      <c r="J1491" s="5" t="s">
        <v>2</v>
      </c>
      <c r="K1491" s="5" t="s">
        <v>2</v>
      </c>
      <c r="L1491" s="6">
        <f>IF(I1491="Cut","",IF(I1491="Your call","(decide)",IF(I1491="Rename",J1491,IF(I1491="Keep",IF(D1491="",E1491,D1491),IF(E1491="(unchanged)",D1491,E1491)))))</f>
      </c>
      <c r="M1491" s="6">
        <f>IF(AND(I1491="Cut",N1491&gt;0,K1491=""),"USED: say what replaces it (Note)",IF(AND(I1491="Rename",J1491=""),"type the new name",IF(AND(L1491&lt;&gt;"",L1491&lt;&gt;"(decide)",COUNTIF($L$2:$L$1680,L1491)&gt;1),"SAME FINAL NAME AS ANOTHER ROW","")))</f>
      </c>
      <c r="N1491" s="6">
        <v>1</v>
      </c>
      <c r="O1491" s="6" t="s">
        <v>2</v>
      </c>
    </row>
    <row r="1492" spans="1:15" x14ac:dyDescent="0.25">
      <c r="A1492">
        <v>1491</v>
      </c>
      <c r="B1492" t="s">
        <v>1895</v>
      </c>
      <c r="C1492" t="s">
        <v>1959</v>
      </c>
      <c r="D1492" t="s">
        <v>1960</v>
      </c>
      <c r="E1492" t="s">
        <v>292</v>
      </c>
      <c r="F1492" t="s">
        <v>2</v>
      </c>
      <c r="G1492" t="s">
        <v>94</v>
      </c>
      <c r="H1492" t="s">
        <v>39</v>
      </c>
      <c r="I1492" s="5" t="s">
        <v>294</v>
      </c>
      <c r="J1492" s="5" t="s">
        <v>2</v>
      </c>
      <c r="K1492" s="5" t="s">
        <v>2</v>
      </c>
      <c r="L1492" s="6">
        <f>IF(I1492="Cut","",IF(I1492="Your call","(decide)",IF(I1492="Rename",J1492,IF(I1492="Keep",IF(D1492="",E1492,D1492),IF(E1492="(unchanged)",D1492,E1492)))))</f>
      </c>
      <c r="M1492" s="6">
        <f>IF(AND(I1492="Cut",N1492&gt;0,K1492=""),"USED: say what replaces it (Note)",IF(AND(I1492="Rename",J1492=""),"type the new name",IF(AND(L1492&lt;&gt;"",L1492&lt;&gt;"(decide)",COUNTIF($L$2:$L$1680,L1492)&gt;1),"SAME FINAL NAME AS ANOTHER ROW","")))</f>
      </c>
      <c r="N1492" s="6">
        <v>1</v>
      </c>
      <c r="O1492" s="6" t="s">
        <v>2</v>
      </c>
    </row>
    <row r="1493" spans="1:15" x14ac:dyDescent="0.25">
      <c r="A1493">
        <v>1492</v>
      </c>
      <c r="B1493" t="s">
        <v>1895</v>
      </c>
      <c r="C1493" t="s">
        <v>2</v>
      </c>
      <c r="D1493" t="s">
        <v>1961</v>
      </c>
      <c r="E1493" t="s">
        <v>292</v>
      </c>
      <c r="F1493" t="s">
        <v>2</v>
      </c>
      <c r="G1493" t="s">
        <v>94</v>
      </c>
      <c r="H1493" t="s">
        <v>39</v>
      </c>
      <c r="I1493" s="5" t="s">
        <v>294</v>
      </c>
      <c r="J1493" s="5" t="s">
        <v>2</v>
      </c>
      <c r="K1493" s="5" t="s">
        <v>2</v>
      </c>
      <c r="L1493" s="6">
        <f>IF(I1493="Cut","",IF(I1493="Your call","(decide)",IF(I1493="Rename",J1493,IF(I1493="Keep",IF(D1493="",E1493,D1493),IF(E1493="(unchanged)",D1493,E1493)))))</f>
      </c>
      <c r="M1493" s="6">
        <f>IF(AND(I1493="Cut",N1493&gt;0,K1493=""),"USED: say what replaces it (Note)",IF(AND(I1493="Rename",J1493=""),"type the new name",IF(AND(L1493&lt;&gt;"",L1493&lt;&gt;"(decide)",COUNTIF($L$2:$L$1680,L1493)&gt;1),"SAME FINAL NAME AS ANOTHER ROW","")))</f>
      </c>
      <c r="N1493" s="6">
        <v>1</v>
      </c>
      <c r="O1493" s="6" t="s">
        <v>2</v>
      </c>
    </row>
    <row r="1494" spans="1:15" x14ac:dyDescent="0.25">
      <c r="A1494">
        <v>1493</v>
      </c>
      <c r="B1494" t="s">
        <v>1895</v>
      </c>
      <c r="C1494" t="s">
        <v>2</v>
      </c>
      <c r="D1494" t="s">
        <v>1962</v>
      </c>
      <c r="E1494" t="s">
        <v>292</v>
      </c>
      <c r="F1494" t="s">
        <v>2</v>
      </c>
      <c r="G1494" t="s">
        <v>38</v>
      </c>
      <c r="H1494" t="s">
        <v>39</v>
      </c>
      <c r="I1494" s="5" t="s">
        <v>294</v>
      </c>
      <c r="J1494" s="5" t="s">
        <v>2</v>
      </c>
      <c r="K1494" s="5" t="s">
        <v>2</v>
      </c>
      <c r="L1494" s="6">
        <f>IF(I1494="Cut","",IF(I1494="Your call","(decide)",IF(I1494="Rename",J1494,IF(I1494="Keep",IF(D1494="",E1494,D1494),IF(E1494="(unchanged)",D1494,E1494)))))</f>
      </c>
      <c r="M1494" s="6">
        <f>IF(AND(I1494="Cut",N1494&gt;0,K1494=""),"USED: say what replaces it (Note)",IF(AND(I1494="Rename",J1494=""),"type the new name",IF(AND(L1494&lt;&gt;"",L1494&lt;&gt;"(decide)",COUNTIF($L$2:$L$1680,L1494)&gt;1),"SAME FINAL NAME AS ANOTHER ROW","")))</f>
      </c>
      <c r="N1494" s="6">
        <v>0</v>
      </c>
      <c r="O1494" s="6" t="s">
        <v>2</v>
      </c>
    </row>
    <row r="1495" spans="1:15" x14ac:dyDescent="0.25">
      <c r="A1495">
        <v>1494</v>
      </c>
      <c r="B1495" t="s">
        <v>1895</v>
      </c>
      <c r="C1495" t="s">
        <v>2</v>
      </c>
      <c r="D1495" t="s">
        <v>1963</v>
      </c>
      <c r="E1495" t="s">
        <v>292</v>
      </c>
      <c r="F1495" t="s">
        <v>2</v>
      </c>
      <c r="G1495" t="s">
        <v>94</v>
      </c>
      <c r="H1495" t="s">
        <v>39</v>
      </c>
      <c r="I1495" s="5" t="s">
        <v>294</v>
      </c>
      <c r="J1495" s="5" t="s">
        <v>2</v>
      </c>
      <c r="K1495" s="5" t="s">
        <v>2</v>
      </c>
      <c r="L1495" s="6">
        <f>IF(I1495="Cut","",IF(I1495="Your call","(decide)",IF(I1495="Rename",J1495,IF(I1495="Keep",IF(D1495="",E1495,D1495),IF(E1495="(unchanged)",D1495,E1495)))))</f>
      </c>
      <c r="M1495" s="6">
        <f>IF(AND(I1495="Cut",N1495&gt;0,K1495=""),"USED: say what replaces it (Note)",IF(AND(I1495="Rename",J1495=""),"type the new name",IF(AND(L1495&lt;&gt;"",L1495&lt;&gt;"(decide)",COUNTIF($L$2:$L$1680,L1495)&gt;1),"SAME FINAL NAME AS ANOTHER ROW","")))</f>
      </c>
      <c r="N1495" s="6">
        <v>1</v>
      </c>
      <c r="O1495" s="6" t="s">
        <v>2</v>
      </c>
    </row>
    <row r="1496" spans="1:15" x14ac:dyDescent="0.25">
      <c r="A1496">
        <v>1495</v>
      </c>
      <c r="B1496" t="s">
        <v>1895</v>
      </c>
      <c r="C1496" t="s">
        <v>2</v>
      </c>
      <c r="D1496" t="s">
        <v>1964</v>
      </c>
      <c r="E1496" t="s">
        <v>292</v>
      </c>
      <c r="F1496" t="s">
        <v>2</v>
      </c>
      <c r="G1496" t="s">
        <v>94</v>
      </c>
      <c r="H1496" t="s">
        <v>39</v>
      </c>
      <c r="I1496" s="5" t="s">
        <v>294</v>
      </c>
      <c r="J1496" s="5" t="s">
        <v>2</v>
      </c>
      <c r="K1496" s="5" t="s">
        <v>2</v>
      </c>
      <c r="L1496" s="6">
        <f>IF(I1496="Cut","",IF(I1496="Your call","(decide)",IF(I1496="Rename",J1496,IF(I1496="Keep",IF(D1496="",E1496,D1496),IF(E1496="(unchanged)",D1496,E1496)))))</f>
      </c>
      <c r="M1496" s="6">
        <f>IF(AND(I1496="Cut",N1496&gt;0,K1496=""),"USED: say what replaces it (Note)",IF(AND(I1496="Rename",J1496=""),"type the new name",IF(AND(L1496&lt;&gt;"",L1496&lt;&gt;"(decide)",COUNTIF($L$2:$L$1680,L1496)&gt;1),"SAME FINAL NAME AS ANOTHER ROW","")))</f>
      </c>
      <c r="N1496" s="6">
        <v>1</v>
      </c>
      <c r="O1496" s="6" t="s">
        <v>2</v>
      </c>
    </row>
    <row r="1497" spans="1:15" x14ac:dyDescent="0.25">
      <c r="A1497">
        <v>1496</v>
      </c>
      <c r="B1497" t="s">
        <v>1965</v>
      </c>
      <c r="C1497" t="s">
        <v>2</v>
      </c>
      <c r="D1497" t="s">
        <v>1966</v>
      </c>
      <c r="E1497" t="s">
        <v>292</v>
      </c>
      <c r="F1497" t="s">
        <v>2</v>
      </c>
      <c r="G1497" t="s">
        <v>38</v>
      </c>
      <c r="H1497" t="s">
        <v>39</v>
      </c>
      <c r="I1497" s="5" t="s">
        <v>294</v>
      </c>
      <c r="J1497" s="5" t="s">
        <v>2</v>
      </c>
      <c r="K1497" s="5" t="s">
        <v>2</v>
      </c>
      <c r="L1497" s="6">
        <f>IF(I1497="Cut","",IF(I1497="Your call","(decide)",IF(I1497="Rename",J1497,IF(I1497="Keep",IF(D1497="",E1497,D1497),IF(E1497="(unchanged)",D1497,E1497)))))</f>
      </c>
      <c r="M1497" s="6">
        <f>IF(AND(I1497="Cut",N1497&gt;0,K1497=""),"USED: say what replaces it (Note)",IF(AND(I1497="Rename",J1497=""),"type the new name",IF(AND(L1497&lt;&gt;"",L1497&lt;&gt;"(decide)",COUNTIF($L$2:$L$1680,L1497)&gt;1),"SAME FINAL NAME AS ANOTHER ROW","")))</f>
      </c>
      <c r="N1497" s="6">
        <v>0</v>
      </c>
      <c r="O1497" s="6" t="s">
        <v>2</v>
      </c>
    </row>
    <row r="1498" spans="1:15" x14ac:dyDescent="0.25">
      <c r="A1498">
        <v>1497</v>
      </c>
      <c r="B1498" t="s">
        <v>1965</v>
      </c>
      <c r="C1498" t="s">
        <v>2</v>
      </c>
      <c r="D1498" t="s">
        <v>1967</v>
      </c>
      <c r="E1498" t="s">
        <v>292</v>
      </c>
      <c r="F1498" t="s">
        <v>2</v>
      </c>
      <c r="G1498" t="s">
        <v>38</v>
      </c>
      <c r="H1498" t="s">
        <v>39</v>
      </c>
      <c r="I1498" s="5" t="s">
        <v>294</v>
      </c>
      <c r="J1498" s="5" t="s">
        <v>2</v>
      </c>
      <c r="K1498" s="5" t="s">
        <v>2</v>
      </c>
      <c r="L1498" s="6">
        <f>IF(I1498="Cut","",IF(I1498="Your call","(decide)",IF(I1498="Rename",J1498,IF(I1498="Keep",IF(D1498="",E1498,D1498),IF(E1498="(unchanged)",D1498,E1498)))))</f>
      </c>
      <c r="M1498" s="6">
        <f>IF(AND(I1498="Cut",N1498&gt;0,K1498=""),"USED: say what replaces it (Note)",IF(AND(I1498="Rename",J1498=""),"type the new name",IF(AND(L1498&lt;&gt;"",L1498&lt;&gt;"(decide)",COUNTIF($L$2:$L$1680,L1498)&gt;1),"SAME FINAL NAME AS ANOTHER ROW","")))</f>
      </c>
      <c r="N1498" s="6">
        <v>0</v>
      </c>
      <c r="O1498" s="6" t="s">
        <v>2</v>
      </c>
    </row>
    <row r="1499" spans="1:15" x14ac:dyDescent="0.25">
      <c r="A1499">
        <v>1498</v>
      </c>
      <c r="B1499" t="s">
        <v>1965</v>
      </c>
      <c r="C1499" t="s">
        <v>2</v>
      </c>
      <c r="D1499" t="s">
        <v>1968</v>
      </c>
      <c r="E1499" t="s">
        <v>292</v>
      </c>
      <c r="F1499" t="s">
        <v>2</v>
      </c>
      <c r="G1499" t="s">
        <v>94</v>
      </c>
      <c r="H1499" t="s">
        <v>39</v>
      </c>
      <c r="I1499" s="5" t="s">
        <v>294</v>
      </c>
      <c r="J1499" s="5" t="s">
        <v>2</v>
      </c>
      <c r="K1499" s="5" t="s">
        <v>2</v>
      </c>
      <c r="L1499" s="6">
        <f>IF(I1499="Cut","",IF(I1499="Your call","(decide)",IF(I1499="Rename",J1499,IF(I1499="Keep",IF(D1499="",E1499,D1499),IF(E1499="(unchanged)",D1499,E1499)))))</f>
      </c>
      <c r="M1499" s="6">
        <f>IF(AND(I1499="Cut",N1499&gt;0,K1499=""),"USED: say what replaces it (Note)",IF(AND(I1499="Rename",J1499=""),"type the new name",IF(AND(L1499&lt;&gt;"",L1499&lt;&gt;"(decide)",COUNTIF($L$2:$L$1680,L1499)&gt;1),"SAME FINAL NAME AS ANOTHER ROW","")))</f>
      </c>
      <c r="N1499" s="6">
        <v>1</v>
      </c>
      <c r="O1499" s="6" t="s">
        <v>2</v>
      </c>
    </row>
    <row r="1500" spans="1:15" x14ac:dyDescent="0.25">
      <c r="A1500">
        <v>1499</v>
      </c>
      <c r="B1500" t="s">
        <v>1965</v>
      </c>
      <c r="C1500" t="s">
        <v>2</v>
      </c>
      <c r="D1500" t="s">
        <v>1969</v>
      </c>
      <c r="E1500" t="s">
        <v>292</v>
      </c>
      <c r="F1500" t="s">
        <v>2</v>
      </c>
      <c r="G1500" t="s">
        <v>38</v>
      </c>
      <c r="H1500" t="s">
        <v>39</v>
      </c>
      <c r="I1500" s="5" t="s">
        <v>294</v>
      </c>
      <c r="J1500" s="5" t="s">
        <v>2</v>
      </c>
      <c r="K1500" s="5" t="s">
        <v>2</v>
      </c>
      <c r="L1500" s="6">
        <f>IF(I1500="Cut","",IF(I1500="Your call","(decide)",IF(I1500="Rename",J1500,IF(I1500="Keep",IF(D1500="",E1500,D1500),IF(E1500="(unchanged)",D1500,E1500)))))</f>
      </c>
      <c r="M1500" s="6">
        <f>IF(AND(I1500="Cut",N1500&gt;0,K1500=""),"USED: say what replaces it (Note)",IF(AND(I1500="Rename",J1500=""),"type the new name",IF(AND(L1500&lt;&gt;"",L1500&lt;&gt;"(decide)",COUNTIF($L$2:$L$1680,L1500)&gt;1),"SAME FINAL NAME AS ANOTHER ROW","")))</f>
      </c>
      <c r="N1500" s="6">
        <v>0</v>
      </c>
      <c r="O1500" s="6" t="s">
        <v>2</v>
      </c>
    </row>
    <row r="1501" spans="1:15" x14ac:dyDescent="0.25">
      <c r="A1501">
        <v>1500</v>
      </c>
      <c r="B1501" t="s">
        <v>1965</v>
      </c>
      <c r="C1501" t="s">
        <v>2</v>
      </c>
      <c r="D1501" t="s">
        <v>1970</v>
      </c>
      <c r="E1501" t="s">
        <v>292</v>
      </c>
      <c r="F1501" t="s">
        <v>2</v>
      </c>
      <c r="G1501" t="s">
        <v>38</v>
      </c>
      <c r="H1501" t="s">
        <v>39</v>
      </c>
      <c r="I1501" s="5" t="s">
        <v>294</v>
      </c>
      <c r="J1501" s="5" t="s">
        <v>2</v>
      </c>
      <c r="K1501" s="5" t="s">
        <v>2</v>
      </c>
      <c r="L1501" s="6">
        <f>IF(I1501="Cut","",IF(I1501="Your call","(decide)",IF(I1501="Rename",J1501,IF(I1501="Keep",IF(D1501="",E1501,D1501),IF(E1501="(unchanged)",D1501,E1501)))))</f>
      </c>
      <c r="M1501" s="6">
        <f>IF(AND(I1501="Cut",N1501&gt;0,K1501=""),"USED: say what replaces it (Note)",IF(AND(I1501="Rename",J1501=""),"type the new name",IF(AND(L1501&lt;&gt;"",L1501&lt;&gt;"(decide)",COUNTIF($L$2:$L$1680,L1501)&gt;1),"SAME FINAL NAME AS ANOTHER ROW","")))</f>
      </c>
      <c r="N1501" s="6">
        <v>0</v>
      </c>
      <c r="O1501" s="6" t="s">
        <v>2</v>
      </c>
    </row>
    <row r="1502" spans="1:15" x14ac:dyDescent="0.25">
      <c r="A1502">
        <v>1501</v>
      </c>
      <c r="B1502" t="s">
        <v>1965</v>
      </c>
      <c r="C1502" t="s">
        <v>2</v>
      </c>
      <c r="D1502" t="s">
        <v>1971</v>
      </c>
      <c r="E1502" t="s">
        <v>292</v>
      </c>
      <c r="F1502" t="s">
        <v>2</v>
      </c>
      <c r="G1502" t="s">
        <v>38</v>
      </c>
      <c r="H1502" t="s">
        <v>39</v>
      </c>
      <c r="I1502" s="5" t="s">
        <v>294</v>
      </c>
      <c r="J1502" s="5" t="s">
        <v>2</v>
      </c>
      <c r="K1502" s="5" t="s">
        <v>2</v>
      </c>
      <c r="L1502" s="6">
        <f>IF(I1502="Cut","",IF(I1502="Your call","(decide)",IF(I1502="Rename",J1502,IF(I1502="Keep",IF(D1502="",E1502,D1502),IF(E1502="(unchanged)",D1502,E1502)))))</f>
      </c>
      <c r="M1502" s="6">
        <f>IF(AND(I1502="Cut",N1502&gt;0,K1502=""),"USED: say what replaces it (Note)",IF(AND(I1502="Rename",J1502=""),"type the new name",IF(AND(L1502&lt;&gt;"",L1502&lt;&gt;"(decide)",COUNTIF($L$2:$L$1680,L1502)&gt;1),"SAME FINAL NAME AS ANOTHER ROW","")))</f>
      </c>
      <c r="N1502" s="6">
        <v>0</v>
      </c>
      <c r="O1502" s="6" t="s">
        <v>2</v>
      </c>
    </row>
    <row r="1503" spans="1:15" x14ac:dyDescent="0.25">
      <c r="A1503">
        <v>1502</v>
      </c>
      <c r="B1503" t="s">
        <v>1965</v>
      </c>
      <c r="C1503" t="s">
        <v>2</v>
      </c>
      <c r="D1503" t="s">
        <v>1972</v>
      </c>
      <c r="E1503" t="s">
        <v>292</v>
      </c>
      <c r="F1503" t="s">
        <v>2</v>
      </c>
      <c r="G1503" t="s">
        <v>38</v>
      </c>
      <c r="H1503" t="s">
        <v>39</v>
      </c>
      <c r="I1503" s="5" t="s">
        <v>294</v>
      </c>
      <c r="J1503" s="5" t="s">
        <v>2</v>
      </c>
      <c r="K1503" s="5" t="s">
        <v>2</v>
      </c>
      <c r="L1503" s="6">
        <f>IF(I1503="Cut","",IF(I1503="Your call","(decide)",IF(I1503="Rename",J1503,IF(I1503="Keep",IF(D1503="",E1503,D1503),IF(E1503="(unchanged)",D1503,E1503)))))</f>
      </c>
      <c r="M1503" s="6">
        <f>IF(AND(I1503="Cut",N1503&gt;0,K1503=""),"USED: say what replaces it (Note)",IF(AND(I1503="Rename",J1503=""),"type the new name",IF(AND(L1503&lt;&gt;"",L1503&lt;&gt;"(decide)",COUNTIF($L$2:$L$1680,L1503)&gt;1),"SAME FINAL NAME AS ANOTHER ROW","")))</f>
      </c>
      <c r="N1503" s="6">
        <v>0</v>
      </c>
      <c r="O1503" s="6" t="s">
        <v>2</v>
      </c>
    </row>
    <row r="1504" spans="1:15" x14ac:dyDescent="0.25">
      <c r="A1504">
        <v>1503</v>
      </c>
      <c r="B1504" t="s">
        <v>1965</v>
      </c>
      <c r="C1504" t="s">
        <v>2</v>
      </c>
      <c r="D1504" t="s">
        <v>1973</v>
      </c>
      <c r="E1504" t="s">
        <v>292</v>
      </c>
      <c r="F1504" t="s">
        <v>2</v>
      </c>
      <c r="G1504" t="s">
        <v>38</v>
      </c>
      <c r="H1504" t="s">
        <v>39</v>
      </c>
      <c r="I1504" s="5" t="s">
        <v>294</v>
      </c>
      <c r="J1504" s="5" t="s">
        <v>2</v>
      </c>
      <c r="K1504" s="5" t="s">
        <v>2</v>
      </c>
      <c r="L1504" s="6">
        <f>IF(I1504="Cut","",IF(I1504="Your call","(decide)",IF(I1504="Rename",J1504,IF(I1504="Keep",IF(D1504="",E1504,D1504),IF(E1504="(unchanged)",D1504,E1504)))))</f>
      </c>
      <c r="M1504" s="6">
        <f>IF(AND(I1504="Cut",N1504&gt;0,K1504=""),"USED: say what replaces it (Note)",IF(AND(I1504="Rename",J1504=""),"type the new name",IF(AND(L1504&lt;&gt;"",L1504&lt;&gt;"(decide)",COUNTIF($L$2:$L$1680,L1504)&gt;1),"SAME FINAL NAME AS ANOTHER ROW","")))</f>
      </c>
      <c r="N1504" s="6">
        <v>0</v>
      </c>
      <c r="O1504" s="6" t="s">
        <v>2</v>
      </c>
    </row>
    <row r="1505" spans="1:15" x14ac:dyDescent="0.25">
      <c r="A1505">
        <v>1504</v>
      </c>
      <c r="B1505" t="s">
        <v>1965</v>
      </c>
      <c r="C1505" t="s">
        <v>2</v>
      </c>
      <c r="D1505" t="s">
        <v>1974</v>
      </c>
      <c r="E1505" t="s">
        <v>292</v>
      </c>
      <c r="F1505" t="s">
        <v>2</v>
      </c>
      <c r="G1505" t="s">
        <v>38</v>
      </c>
      <c r="H1505" t="s">
        <v>39</v>
      </c>
      <c r="I1505" s="5" t="s">
        <v>294</v>
      </c>
      <c r="J1505" s="5" t="s">
        <v>2</v>
      </c>
      <c r="K1505" s="5" t="s">
        <v>2</v>
      </c>
      <c r="L1505" s="6">
        <f>IF(I1505="Cut","",IF(I1505="Your call","(decide)",IF(I1505="Rename",J1505,IF(I1505="Keep",IF(D1505="",E1505,D1505),IF(E1505="(unchanged)",D1505,E1505)))))</f>
      </c>
      <c r="M1505" s="6">
        <f>IF(AND(I1505="Cut",N1505&gt;0,K1505=""),"USED: say what replaces it (Note)",IF(AND(I1505="Rename",J1505=""),"type the new name",IF(AND(L1505&lt;&gt;"",L1505&lt;&gt;"(decide)",COUNTIF($L$2:$L$1680,L1505)&gt;1),"SAME FINAL NAME AS ANOTHER ROW","")))</f>
      </c>
      <c r="N1505" s="6">
        <v>0</v>
      </c>
      <c r="O1505" s="6" t="s">
        <v>2</v>
      </c>
    </row>
    <row r="1506" spans="1:15" x14ac:dyDescent="0.25">
      <c r="A1506">
        <v>1505</v>
      </c>
      <c r="B1506" t="s">
        <v>1965</v>
      </c>
      <c r="C1506" t="s">
        <v>2</v>
      </c>
      <c r="D1506" t="s">
        <v>1975</v>
      </c>
      <c r="E1506" t="s">
        <v>292</v>
      </c>
      <c r="F1506" t="s">
        <v>2</v>
      </c>
      <c r="G1506" t="s">
        <v>38</v>
      </c>
      <c r="H1506" t="s">
        <v>39</v>
      </c>
      <c r="I1506" s="5" t="s">
        <v>294</v>
      </c>
      <c r="J1506" s="5" t="s">
        <v>2</v>
      </c>
      <c r="K1506" s="5" t="s">
        <v>2</v>
      </c>
      <c r="L1506" s="6">
        <f>IF(I1506="Cut","",IF(I1506="Your call","(decide)",IF(I1506="Rename",J1506,IF(I1506="Keep",IF(D1506="",E1506,D1506),IF(E1506="(unchanged)",D1506,E1506)))))</f>
      </c>
      <c r="M1506" s="6">
        <f>IF(AND(I1506="Cut",N1506&gt;0,K1506=""),"USED: say what replaces it (Note)",IF(AND(I1506="Rename",J1506=""),"type the new name",IF(AND(L1506&lt;&gt;"",L1506&lt;&gt;"(decide)",COUNTIF($L$2:$L$1680,L1506)&gt;1),"SAME FINAL NAME AS ANOTHER ROW","")))</f>
      </c>
      <c r="N1506" s="6">
        <v>0</v>
      </c>
      <c r="O1506" s="6" t="s">
        <v>2</v>
      </c>
    </row>
    <row r="1507" spans="1:15" x14ac:dyDescent="0.25">
      <c r="A1507">
        <v>1506</v>
      </c>
      <c r="B1507" t="s">
        <v>1965</v>
      </c>
      <c r="C1507" t="s">
        <v>2</v>
      </c>
      <c r="D1507" t="s">
        <v>1976</v>
      </c>
      <c r="E1507" t="s">
        <v>292</v>
      </c>
      <c r="F1507" t="s">
        <v>2</v>
      </c>
      <c r="G1507" t="s">
        <v>38</v>
      </c>
      <c r="H1507" t="s">
        <v>39</v>
      </c>
      <c r="I1507" s="5" t="s">
        <v>294</v>
      </c>
      <c r="J1507" s="5" t="s">
        <v>2</v>
      </c>
      <c r="K1507" s="5" t="s">
        <v>2</v>
      </c>
      <c r="L1507" s="6">
        <f>IF(I1507="Cut","",IF(I1507="Your call","(decide)",IF(I1507="Rename",J1507,IF(I1507="Keep",IF(D1507="",E1507,D1507),IF(E1507="(unchanged)",D1507,E1507)))))</f>
      </c>
      <c r="M1507" s="6">
        <f>IF(AND(I1507="Cut",N1507&gt;0,K1507=""),"USED: say what replaces it (Note)",IF(AND(I1507="Rename",J1507=""),"type the new name",IF(AND(L1507&lt;&gt;"",L1507&lt;&gt;"(decide)",COUNTIF($L$2:$L$1680,L1507)&gt;1),"SAME FINAL NAME AS ANOTHER ROW","")))</f>
      </c>
      <c r="N1507" s="6">
        <v>0</v>
      </c>
      <c r="O1507" s="6" t="s">
        <v>2</v>
      </c>
    </row>
    <row r="1508" spans="1:15" x14ac:dyDescent="0.25">
      <c r="A1508">
        <v>1507</v>
      </c>
      <c r="B1508" t="s">
        <v>1965</v>
      </c>
      <c r="C1508" t="s">
        <v>2</v>
      </c>
      <c r="D1508" t="s">
        <v>1977</v>
      </c>
      <c r="E1508" t="s">
        <v>292</v>
      </c>
      <c r="F1508" t="s">
        <v>2</v>
      </c>
      <c r="G1508" t="s">
        <v>38</v>
      </c>
      <c r="H1508" t="s">
        <v>39</v>
      </c>
      <c r="I1508" s="5" t="s">
        <v>294</v>
      </c>
      <c r="J1508" s="5" t="s">
        <v>2</v>
      </c>
      <c r="K1508" s="5" t="s">
        <v>2</v>
      </c>
      <c r="L1508" s="6">
        <f>IF(I1508="Cut","",IF(I1508="Your call","(decide)",IF(I1508="Rename",J1508,IF(I1508="Keep",IF(D1508="",E1508,D1508),IF(E1508="(unchanged)",D1508,E1508)))))</f>
      </c>
      <c r="M1508" s="6">
        <f>IF(AND(I1508="Cut",N1508&gt;0,K1508=""),"USED: say what replaces it (Note)",IF(AND(I1508="Rename",J1508=""),"type the new name",IF(AND(L1508&lt;&gt;"",L1508&lt;&gt;"(decide)",COUNTIF($L$2:$L$1680,L1508)&gt;1),"SAME FINAL NAME AS ANOTHER ROW","")))</f>
      </c>
      <c r="N1508" s="6">
        <v>0</v>
      </c>
      <c r="O1508" s="6" t="s">
        <v>2</v>
      </c>
    </row>
    <row r="1509" spans="1:15" x14ac:dyDescent="0.25">
      <c r="A1509">
        <v>1508</v>
      </c>
      <c r="B1509" t="s">
        <v>1965</v>
      </c>
      <c r="C1509" t="s">
        <v>1978</v>
      </c>
      <c r="D1509" t="s">
        <v>1979</v>
      </c>
      <c r="E1509" t="s">
        <v>292</v>
      </c>
      <c r="F1509" t="s">
        <v>2</v>
      </c>
      <c r="G1509" t="s">
        <v>38</v>
      </c>
      <c r="H1509" t="s">
        <v>39</v>
      </c>
      <c r="I1509" s="5" t="s">
        <v>294</v>
      </c>
      <c r="J1509" s="5" t="s">
        <v>2</v>
      </c>
      <c r="K1509" s="5" t="s">
        <v>2</v>
      </c>
      <c r="L1509" s="6">
        <f>IF(I1509="Cut","",IF(I1509="Your call","(decide)",IF(I1509="Rename",J1509,IF(I1509="Keep",IF(D1509="",E1509,D1509),IF(E1509="(unchanged)",D1509,E1509)))))</f>
      </c>
      <c r="M1509" s="6">
        <f>IF(AND(I1509="Cut",N1509&gt;0,K1509=""),"USED: say what replaces it (Note)",IF(AND(I1509="Rename",J1509=""),"type the new name",IF(AND(L1509&lt;&gt;"",L1509&lt;&gt;"(decide)",COUNTIF($L$2:$L$1680,L1509)&gt;1),"SAME FINAL NAME AS ANOTHER ROW","")))</f>
      </c>
      <c r="N1509" s="6">
        <v>0</v>
      </c>
      <c r="O1509" s="6" t="s">
        <v>2</v>
      </c>
    </row>
    <row r="1510" spans="1:15" x14ac:dyDescent="0.25">
      <c r="A1510">
        <v>1509</v>
      </c>
      <c r="B1510" t="s">
        <v>1965</v>
      </c>
      <c r="C1510" t="s">
        <v>1978</v>
      </c>
      <c r="D1510" t="s">
        <v>1980</v>
      </c>
      <c r="E1510" t="s">
        <v>292</v>
      </c>
      <c r="F1510" t="s">
        <v>2</v>
      </c>
      <c r="G1510" t="s">
        <v>38</v>
      </c>
      <c r="H1510" t="s">
        <v>39</v>
      </c>
      <c r="I1510" s="5" t="s">
        <v>294</v>
      </c>
      <c r="J1510" s="5" t="s">
        <v>2</v>
      </c>
      <c r="K1510" s="5" t="s">
        <v>2</v>
      </c>
      <c r="L1510" s="6">
        <f>IF(I1510="Cut","",IF(I1510="Your call","(decide)",IF(I1510="Rename",J1510,IF(I1510="Keep",IF(D1510="",E1510,D1510),IF(E1510="(unchanged)",D1510,E1510)))))</f>
      </c>
      <c r="M1510" s="6">
        <f>IF(AND(I1510="Cut",N1510&gt;0,K1510=""),"USED: say what replaces it (Note)",IF(AND(I1510="Rename",J1510=""),"type the new name",IF(AND(L1510&lt;&gt;"",L1510&lt;&gt;"(decide)",COUNTIF($L$2:$L$1680,L1510)&gt;1),"SAME FINAL NAME AS ANOTHER ROW","")))</f>
      </c>
      <c r="N1510" s="6">
        <v>0</v>
      </c>
      <c r="O1510" s="6" t="s">
        <v>2</v>
      </c>
    </row>
    <row r="1511" spans="1:15" x14ac:dyDescent="0.25">
      <c r="A1511">
        <v>1510</v>
      </c>
      <c r="B1511" t="s">
        <v>1965</v>
      </c>
      <c r="C1511" t="s">
        <v>1978</v>
      </c>
      <c r="D1511" t="s">
        <v>1981</v>
      </c>
      <c r="E1511" t="s">
        <v>292</v>
      </c>
      <c r="F1511" t="s">
        <v>2</v>
      </c>
      <c r="G1511" t="s">
        <v>94</v>
      </c>
      <c r="H1511" t="s">
        <v>39</v>
      </c>
      <c r="I1511" s="5" t="s">
        <v>294</v>
      </c>
      <c r="J1511" s="5" t="s">
        <v>2</v>
      </c>
      <c r="K1511" s="5" t="s">
        <v>2</v>
      </c>
      <c r="L1511" s="6">
        <f>IF(I1511="Cut","",IF(I1511="Your call","(decide)",IF(I1511="Rename",J1511,IF(I1511="Keep",IF(D1511="",E1511,D1511),IF(E1511="(unchanged)",D1511,E1511)))))</f>
      </c>
      <c r="M1511" s="6">
        <f>IF(AND(I1511="Cut",N1511&gt;0,K1511=""),"USED: say what replaces it (Note)",IF(AND(I1511="Rename",J1511=""),"type the new name",IF(AND(L1511&lt;&gt;"",L1511&lt;&gt;"(decide)",COUNTIF($L$2:$L$1680,L1511)&gt;1),"SAME FINAL NAME AS ANOTHER ROW","")))</f>
      </c>
      <c r="N1511" s="6">
        <v>1</v>
      </c>
      <c r="O1511" s="6" t="s">
        <v>2</v>
      </c>
    </row>
    <row r="1512" spans="1:15" x14ac:dyDescent="0.25">
      <c r="A1512">
        <v>1511</v>
      </c>
      <c r="B1512" t="s">
        <v>1965</v>
      </c>
      <c r="C1512" t="s">
        <v>1978</v>
      </c>
      <c r="D1512" t="s">
        <v>1982</v>
      </c>
      <c r="E1512" t="s">
        <v>292</v>
      </c>
      <c r="F1512" t="s">
        <v>2</v>
      </c>
      <c r="G1512" t="s">
        <v>38</v>
      </c>
      <c r="H1512" t="s">
        <v>39</v>
      </c>
      <c r="I1512" s="5" t="s">
        <v>294</v>
      </c>
      <c r="J1512" s="5" t="s">
        <v>2</v>
      </c>
      <c r="K1512" s="5" t="s">
        <v>2</v>
      </c>
      <c r="L1512" s="6">
        <f>IF(I1512="Cut","",IF(I1512="Your call","(decide)",IF(I1512="Rename",J1512,IF(I1512="Keep",IF(D1512="",E1512,D1512),IF(E1512="(unchanged)",D1512,E1512)))))</f>
      </c>
      <c r="M1512" s="6">
        <f>IF(AND(I1512="Cut",N1512&gt;0,K1512=""),"USED: say what replaces it (Note)",IF(AND(I1512="Rename",J1512=""),"type the new name",IF(AND(L1512&lt;&gt;"",L1512&lt;&gt;"(decide)",COUNTIF($L$2:$L$1680,L1512)&gt;1),"SAME FINAL NAME AS ANOTHER ROW","")))</f>
      </c>
      <c r="N1512" s="6">
        <v>0</v>
      </c>
      <c r="O1512" s="6" t="s">
        <v>2</v>
      </c>
    </row>
    <row r="1513" spans="1:15" x14ac:dyDescent="0.25">
      <c r="A1513">
        <v>1512</v>
      </c>
      <c r="B1513" t="s">
        <v>1965</v>
      </c>
      <c r="C1513" t="s">
        <v>2</v>
      </c>
      <c r="D1513" t="s">
        <v>1983</v>
      </c>
      <c r="E1513" t="s">
        <v>292</v>
      </c>
      <c r="F1513" t="s">
        <v>2</v>
      </c>
      <c r="G1513" t="s">
        <v>94</v>
      </c>
      <c r="H1513" t="s">
        <v>39</v>
      </c>
      <c r="I1513" s="5" t="s">
        <v>294</v>
      </c>
      <c r="J1513" s="5" t="s">
        <v>2</v>
      </c>
      <c r="K1513" s="5" t="s">
        <v>2</v>
      </c>
      <c r="L1513" s="6">
        <f>IF(I1513="Cut","",IF(I1513="Your call","(decide)",IF(I1513="Rename",J1513,IF(I1513="Keep",IF(D1513="",E1513,D1513),IF(E1513="(unchanged)",D1513,E1513)))))</f>
      </c>
      <c r="M1513" s="6">
        <f>IF(AND(I1513="Cut",N1513&gt;0,K1513=""),"USED: say what replaces it (Note)",IF(AND(I1513="Rename",J1513=""),"type the new name",IF(AND(L1513&lt;&gt;"",L1513&lt;&gt;"(decide)",COUNTIF($L$2:$L$1680,L1513)&gt;1),"SAME FINAL NAME AS ANOTHER ROW","")))</f>
      </c>
      <c r="N1513" s="6">
        <v>1</v>
      </c>
      <c r="O1513" s="6" t="s">
        <v>2</v>
      </c>
    </row>
    <row r="1514" spans="1:15" x14ac:dyDescent="0.25">
      <c r="A1514">
        <v>1513</v>
      </c>
      <c r="B1514" t="s">
        <v>1965</v>
      </c>
      <c r="C1514" t="s">
        <v>2</v>
      </c>
      <c r="D1514" t="s">
        <v>1984</v>
      </c>
      <c r="E1514" t="s">
        <v>292</v>
      </c>
      <c r="F1514" t="s">
        <v>2</v>
      </c>
      <c r="G1514" t="s">
        <v>38</v>
      </c>
      <c r="H1514" t="s">
        <v>39</v>
      </c>
      <c r="I1514" s="5" t="s">
        <v>294</v>
      </c>
      <c r="J1514" s="5" t="s">
        <v>2</v>
      </c>
      <c r="K1514" s="5" t="s">
        <v>2</v>
      </c>
      <c r="L1514" s="6">
        <f>IF(I1514="Cut","",IF(I1514="Your call","(decide)",IF(I1514="Rename",J1514,IF(I1514="Keep",IF(D1514="",E1514,D1514),IF(E1514="(unchanged)",D1514,E1514)))))</f>
      </c>
      <c r="M1514" s="6">
        <f>IF(AND(I1514="Cut",N1514&gt;0,K1514=""),"USED: say what replaces it (Note)",IF(AND(I1514="Rename",J1514=""),"type the new name",IF(AND(L1514&lt;&gt;"",L1514&lt;&gt;"(decide)",COUNTIF($L$2:$L$1680,L1514)&gt;1),"SAME FINAL NAME AS ANOTHER ROW","")))</f>
      </c>
      <c r="N1514" s="6">
        <v>0</v>
      </c>
      <c r="O1514" s="6" t="s">
        <v>2</v>
      </c>
    </row>
    <row r="1515" spans="1:15" x14ac:dyDescent="0.25">
      <c r="A1515">
        <v>1514</v>
      </c>
      <c r="B1515" t="s">
        <v>1965</v>
      </c>
      <c r="C1515" t="s">
        <v>2</v>
      </c>
      <c r="D1515" t="s">
        <v>1985</v>
      </c>
      <c r="E1515" t="s">
        <v>292</v>
      </c>
      <c r="F1515" t="s">
        <v>2</v>
      </c>
      <c r="G1515" t="s">
        <v>94</v>
      </c>
      <c r="H1515" t="s">
        <v>39</v>
      </c>
      <c r="I1515" s="5" t="s">
        <v>294</v>
      </c>
      <c r="J1515" s="5" t="s">
        <v>2</v>
      </c>
      <c r="K1515" s="5" t="s">
        <v>2</v>
      </c>
      <c r="L1515" s="6">
        <f>IF(I1515="Cut","",IF(I1515="Your call","(decide)",IF(I1515="Rename",J1515,IF(I1515="Keep",IF(D1515="",E1515,D1515),IF(E1515="(unchanged)",D1515,E1515)))))</f>
      </c>
      <c r="M1515" s="6">
        <f>IF(AND(I1515="Cut",N1515&gt;0,K1515=""),"USED: say what replaces it (Note)",IF(AND(I1515="Rename",J1515=""),"type the new name",IF(AND(L1515&lt;&gt;"",L1515&lt;&gt;"(decide)",COUNTIF($L$2:$L$1680,L1515)&gt;1),"SAME FINAL NAME AS ANOTHER ROW","")))</f>
      </c>
      <c r="N1515" s="6">
        <v>1</v>
      </c>
      <c r="O1515" s="6" t="s">
        <v>2</v>
      </c>
    </row>
    <row r="1516" spans="1:15" x14ac:dyDescent="0.25">
      <c r="A1516">
        <v>1515</v>
      </c>
      <c r="B1516" t="s">
        <v>1965</v>
      </c>
      <c r="C1516" t="s">
        <v>1986</v>
      </c>
      <c r="D1516" t="s">
        <v>1987</v>
      </c>
      <c r="E1516" t="s">
        <v>292</v>
      </c>
      <c r="F1516" t="s">
        <v>2</v>
      </c>
      <c r="G1516" t="s">
        <v>38</v>
      </c>
      <c r="H1516" t="s">
        <v>39</v>
      </c>
      <c r="I1516" s="5" t="s">
        <v>294</v>
      </c>
      <c r="J1516" s="5" t="s">
        <v>2</v>
      </c>
      <c r="K1516" s="5" t="s">
        <v>2</v>
      </c>
      <c r="L1516" s="6">
        <f>IF(I1516="Cut","",IF(I1516="Your call","(decide)",IF(I1516="Rename",J1516,IF(I1516="Keep",IF(D1516="",E1516,D1516),IF(E1516="(unchanged)",D1516,E1516)))))</f>
      </c>
      <c r="M1516" s="6">
        <f>IF(AND(I1516="Cut",N1516&gt;0,K1516=""),"USED: say what replaces it (Note)",IF(AND(I1516="Rename",J1516=""),"type the new name",IF(AND(L1516&lt;&gt;"",L1516&lt;&gt;"(decide)",COUNTIF($L$2:$L$1680,L1516)&gt;1),"SAME FINAL NAME AS ANOTHER ROW","")))</f>
      </c>
      <c r="N1516" s="6">
        <v>0</v>
      </c>
      <c r="O1516" s="6" t="s">
        <v>2</v>
      </c>
    </row>
    <row r="1517" spans="1:15" x14ac:dyDescent="0.25">
      <c r="A1517">
        <v>1516</v>
      </c>
      <c r="B1517" t="s">
        <v>1965</v>
      </c>
      <c r="C1517" t="s">
        <v>1986</v>
      </c>
      <c r="D1517" t="s">
        <v>1988</v>
      </c>
      <c r="E1517" t="s">
        <v>292</v>
      </c>
      <c r="F1517" t="s">
        <v>2</v>
      </c>
      <c r="G1517" t="s">
        <v>38</v>
      </c>
      <c r="H1517" t="s">
        <v>39</v>
      </c>
      <c r="I1517" s="5" t="s">
        <v>294</v>
      </c>
      <c r="J1517" s="5" t="s">
        <v>2</v>
      </c>
      <c r="K1517" s="5" t="s">
        <v>2</v>
      </c>
      <c r="L1517" s="6">
        <f>IF(I1517="Cut","",IF(I1517="Your call","(decide)",IF(I1517="Rename",J1517,IF(I1517="Keep",IF(D1517="",E1517,D1517),IF(E1517="(unchanged)",D1517,E1517)))))</f>
      </c>
      <c r="M1517" s="6">
        <f>IF(AND(I1517="Cut",N1517&gt;0,K1517=""),"USED: say what replaces it (Note)",IF(AND(I1517="Rename",J1517=""),"type the new name",IF(AND(L1517&lt;&gt;"",L1517&lt;&gt;"(decide)",COUNTIF($L$2:$L$1680,L1517)&gt;1),"SAME FINAL NAME AS ANOTHER ROW","")))</f>
      </c>
      <c r="N1517" s="6">
        <v>0</v>
      </c>
      <c r="O1517" s="6" t="s">
        <v>2</v>
      </c>
    </row>
    <row r="1518" spans="1:15" x14ac:dyDescent="0.25">
      <c r="A1518">
        <v>1517</v>
      </c>
      <c r="B1518" t="s">
        <v>1965</v>
      </c>
      <c r="C1518" t="s">
        <v>2</v>
      </c>
      <c r="D1518" t="s">
        <v>1989</v>
      </c>
      <c r="E1518" t="s">
        <v>292</v>
      </c>
      <c r="F1518" t="s">
        <v>2</v>
      </c>
      <c r="G1518" t="s">
        <v>38</v>
      </c>
      <c r="H1518" t="s">
        <v>39</v>
      </c>
      <c r="I1518" s="5" t="s">
        <v>294</v>
      </c>
      <c r="J1518" s="5" t="s">
        <v>2</v>
      </c>
      <c r="K1518" s="5" t="s">
        <v>2</v>
      </c>
      <c r="L1518" s="6">
        <f>IF(I1518="Cut","",IF(I1518="Your call","(decide)",IF(I1518="Rename",J1518,IF(I1518="Keep",IF(D1518="",E1518,D1518),IF(E1518="(unchanged)",D1518,E1518)))))</f>
      </c>
      <c r="M1518" s="6">
        <f>IF(AND(I1518="Cut",N1518&gt;0,K1518=""),"USED: say what replaces it (Note)",IF(AND(I1518="Rename",J1518=""),"type the new name",IF(AND(L1518&lt;&gt;"",L1518&lt;&gt;"(decide)",COUNTIF($L$2:$L$1680,L1518)&gt;1),"SAME FINAL NAME AS ANOTHER ROW","")))</f>
      </c>
      <c r="N1518" s="6">
        <v>0</v>
      </c>
      <c r="O1518" s="6" t="s">
        <v>2</v>
      </c>
    </row>
    <row r="1519" spans="1:15" x14ac:dyDescent="0.25">
      <c r="A1519">
        <v>1518</v>
      </c>
      <c r="B1519" t="s">
        <v>1965</v>
      </c>
      <c r="C1519" t="s">
        <v>2</v>
      </c>
      <c r="D1519" t="s">
        <v>1990</v>
      </c>
      <c r="E1519" t="s">
        <v>292</v>
      </c>
      <c r="F1519" t="s">
        <v>2</v>
      </c>
      <c r="G1519" t="s">
        <v>94</v>
      </c>
      <c r="H1519" t="s">
        <v>39</v>
      </c>
      <c r="I1519" s="5" t="s">
        <v>294</v>
      </c>
      <c r="J1519" s="5" t="s">
        <v>2</v>
      </c>
      <c r="K1519" s="5" t="s">
        <v>2</v>
      </c>
      <c r="L1519" s="6">
        <f>IF(I1519="Cut","",IF(I1519="Your call","(decide)",IF(I1519="Rename",J1519,IF(I1519="Keep",IF(D1519="",E1519,D1519),IF(E1519="(unchanged)",D1519,E1519)))))</f>
      </c>
      <c r="M1519" s="6">
        <f>IF(AND(I1519="Cut",N1519&gt;0,K1519=""),"USED: say what replaces it (Note)",IF(AND(I1519="Rename",J1519=""),"type the new name",IF(AND(L1519&lt;&gt;"",L1519&lt;&gt;"(decide)",COUNTIF($L$2:$L$1680,L1519)&gt;1),"SAME FINAL NAME AS ANOTHER ROW","")))</f>
      </c>
      <c r="N1519" s="6">
        <v>1</v>
      </c>
      <c r="O1519" s="6" t="s">
        <v>2</v>
      </c>
    </row>
    <row r="1520" spans="1:15" x14ac:dyDescent="0.25">
      <c r="A1520">
        <v>1519</v>
      </c>
      <c r="B1520" t="s">
        <v>1965</v>
      </c>
      <c r="C1520" t="s">
        <v>2</v>
      </c>
      <c r="D1520" t="s">
        <v>1991</v>
      </c>
      <c r="E1520" t="s">
        <v>292</v>
      </c>
      <c r="F1520" t="s">
        <v>2</v>
      </c>
      <c r="G1520" t="s">
        <v>94</v>
      </c>
      <c r="H1520" t="s">
        <v>39</v>
      </c>
      <c r="I1520" s="5" t="s">
        <v>294</v>
      </c>
      <c r="J1520" s="5" t="s">
        <v>2</v>
      </c>
      <c r="K1520" s="5" t="s">
        <v>2</v>
      </c>
      <c r="L1520" s="6">
        <f>IF(I1520="Cut","",IF(I1520="Your call","(decide)",IF(I1520="Rename",J1520,IF(I1520="Keep",IF(D1520="",E1520,D1520),IF(E1520="(unchanged)",D1520,E1520)))))</f>
      </c>
      <c r="M1520" s="6">
        <f>IF(AND(I1520="Cut",N1520&gt;0,K1520=""),"USED: say what replaces it (Note)",IF(AND(I1520="Rename",J1520=""),"type the new name",IF(AND(L1520&lt;&gt;"",L1520&lt;&gt;"(decide)",COUNTIF($L$2:$L$1680,L1520)&gt;1),"SAME FINAL NAME AS ANOTHER ROW","")))</f>
      </c>
      <c r="N1520" s="6">
        <v>1</v>
      </c>
      <c r="O1520" s="6" t="s">
        <v>2</v>
      </c>
    </row>
    <row r="1521" spans="1:15" x14ac:dyDescent="0.25">
      <c r="A1521">
        <v>1520</v>
      </c>
      <c r="B1521" t="s">
        <v>1965</v>
      </c>
      <c r="C1521" t="s">
        <v>1992</v>
      </c>
      <c r="D1521" t="s">
        <v>1993</v>
      </c>
      <c r="E1521" t="s">
        <v>292</v>
      </c>
      <c r="F1521" t="s">
        <v>2</v>
      </c>
      <c r="G1521" t="s">
        <v>94</v>
      </c>
      <c r="H1521" t="s">
        <v>39</v>
      </c>
      <c r="I1521" s="5" t="s">
        <v>294</v>
      </c>
      <c r="J1521" s="5" t="s">
        <v>2</v>
      </c>
      <c r="K1521" s="5" t="s">
        <v>2</v>
      </c>
      <c r="L1521" s="6">
        <f>IF(I1521="Cut","",IF(I1521="Your call","(decide)",IF(I1521="Rename",J1521,IF(I1521="Keep",IF(D1521="",E1521,D1521),IF(E1521="(unchanged)",D1521,E1521)))))</f>
      </c>
      <c r="M1521" s="6">
        <f>IF(AND(I1521="Cut",N1521&gt;0,K1521=""),"USED: say what replaces it (Note)",IF(AND(I1521="Rename",J1521=""),"type the new name",IF(AND(L1521&lt;&gt;"",L1521&lt;&gt;"(decide)",COUNTIF($L$2:$L$1680,L1521)&gt;1),"SAME FINAL NAME AS ANOTHER ROW","")))</f>
      </c>
      <c r="N1521" s="6">
        <v>1</v>
      </c>
      <c r="O1521" s="6" t="s">
        <v>2</v>
      </c>
    </row>
    <row r="1522" spans="1:15" x14ac:dyDescent="0.25">
      <c r="A1522">
        <v>1521</v>
      </c>
      <c r="B1522" t="s">
        <v>1965</v>
      </c>
      <c r="C1522" t="s">
        <v>1992</v>
      </c>
      <c r="D1522" t="s">
        <v>1994</v>
      </c>
      <c r="E1522" t="s">
        <v>292</v>
      </c>
      <c r="F1522" t="s">
        <v>2</v>
      </c>
      <c r="G1522" t="s">
        <v>38</v>
      </c>
      <c r="H1522" t="s">
        <v>39</v>
      </c>
      <c r="I1522" s="5" t="s">
        <v>294</v>
      </c>
      <c r="J1522" s="5" t="s">
        <v>2</v>
      </c>
      <c r="K1522" s="5" t="s">
        <v>2</v>
      </c>
      <c r="L1522" s="6">
        <f>IF(I1522="Cut","",IF(I1522="Your call","(decide)",IF(I1522="Rename",J1522,IF(I1522="Keep",IF(D1522="",E1522,D1522),IF(E1522="(unchanged)",D1522,E1522)))))</f>
      </c>
      <c r="M1522" s="6">
        <f>IF(AND(I1522="Cut",N1522&gt;0,K1522=""),"USED: say what replaces it (Note)",IF(AND(I1522="Rename",J1522=""),"type the new name",IF(AND(L1522&lt;&gt;"",L1522&lt;&gt;"(decide)",COUNTIF($L$2:$L$1680,L1522)&gt;1),"SAME FINAL NAME AS ANOTHER ROW","")))</f>
      </c>
      <c r="N1522" s="6">
        <v>0</v>
      </c>
      <c r="O1522" s="6" t="s">
        <v>2</v>
      </c>
    </row>
    <row r="1523" spans="1:15" x14ac:dyDescent="0.25">
      <c r="A1523">
        <v>1522</v>
      </c>
      <c r="B1523" t="s">
        <v>1965</v>
      </c>
      <c r="C1523" t="s">
        <v>2</v>
      </c>
      <c r="D1523" t="s">
        <v>1995</v>
      </c>
      <c r="E1523" t="s">
        <v>292</v>
      </c>
      <c r="F1523" t="s">
        <v>2</v>
      </c>
      <c r="G1523" t="s">
        <v>38</v>
      </c>
      <c r="H1523" t="s">
        <v>39</v>
      </c>
      <c r="I1523" s="5" t="s">
        <v>294</v>
      </c>
      <c r="J1523" s="5" t="s">
        <v>2</v>
      </c>
      <c r="K1523" s="5" t="s">
        <v>2</v>
      </c>
      <c r="L1523" s="6">
        <f>IF(I1523="Cut","",IF(I1523="Your call","(decide)",IF(I1523="Rename",J1523,IF(I1523="Keep",IF(D1523="",E1523,D1523),IF(E1523="(unchanged)",D1523,E1523)))))</f>
      </c>
      <c r="M1523" s="6">
        <f>IF(AND(I1523="Cut",N1523&gt;0,K1523=""),"USED: say what replaces it (Note)",IF(AND(I1523="Rename",J1523=""),"type the new name",IF(AND(L1523&lt;&gt;"",L1523&lt;&gt;"(decide)",COUNTIF($L$2:$L$1680,L1523)&gt;1),"SAME FINAL NAME AS ANOTHER ROW","")))</f>
      </c>
      <c r="N1523" s="6">
        <v>0</v>
      </c>
      <c r="O1523" s="6" t="s">
        <v>2</v>
      </c>
    </row>
    <row r="1524" spans="1:15" x14ac:dyDescent="0.25">
      <c r="A1524">
        <v>1523</v>
      </c>
      <c r="B1524" t="s">
        <v>1965</v>
      </c>
      <c r="C1524" t="s">
        <v>2</v>
      </c>
      <c r="D1524" t="s">
        <v>1996</v>
      </c>
      <c r="E1524" t="s">
        <v>292</v>
      </c>
      <c r="F1524" t="s">
        <v>2</v>
      </c>
      <c r="G1524" t="s">
        <v>94</v>
      </c>
      <c r="H1524" t="s">
        <v>39</v>
      </c>
      <c r="I1524" s="5" t="s">
        <v>294</v>
      </c>
      <c r="J1524" s="5" t="s">
        <v>2</v>
      </c>
      <c r="K1524" s="5" t="s">
        <v>2</v>
      </c>
      <c r="L1524" s="6">
        <f>IF(I1524="Cut","",IF(I1524="Your call","(decide)",IF(I1524="Rename",J1524,IF(I1524="Keep",IF(D1524="",E1524,D1524),IF(E1524="(unchanged)",D1524,E1524)))))</f>
      </c>
      <c r="M1524" s="6">
        <f>IF(AND(I1524="Cut",N1524&gt;0,K1524=""),"USED: say what replaces it (Note)",IF(AND(I1524="Rename",J1524=""),"type the new name",IF(AND(L1524&lt;&gt;"",L1524&lt;&gt;"(decide)",COUNTIF($L$2:$L$1680,L1524)&gt;1),"SAME FINAL NAME AS ANOTHER ROW","")))</f>
      </c>
      <c r="N1524" s="6">
        <v>1</v>
      </c>
      <c r="O1524" s="6" t="s">
        <v>2</v>
      </c>
    </row>
    <row r="1525" spans="1:15" x14ac:dyDescent="0.25">
      <c r="A1525">
        <v>1524</v>
      </c>
      <c r="B1525" t="s">
        <v>1965</v>
      </c>
      <c r="C1525" t="s">
        <v>2</v>
      </c>
      <c r="D1525" t="s">
        <v>1997</v>
      </c>
      <c r="E1525" t="s">
        <v>292</v>
      </c>
      <c r="F1525" t="s">
        <v>2</v>
      </c>
      <c r="G1525" t="s">
        <v>38</v>
      </c>
      <c r="H1525" t="s">
        <v>39</v>
      </c>
      <c r="I1525" s="5" t="s">
        <v>294</v>
      </c>
      <c r="J1525" s="5" t="s">
        <v>2</v>
      </c>
      <c r="K1525" s="5" t="s">
        <v>2</v>
      </c>
      <c r="L1525" s="6">
        <f>IF(I1525="Cut","",IF(I1525="Your call","(decide)",IF(I1525="Rename",J1525,IF(I1525="Keep",IF(D1525="",E1525,D1525),IF(E1525="(unchanged)",D1525,E1525)))))</f>
      </c>
      <c r="M1525" s="6">
        <f>IF(AND(I1525="Cut",N1525&gt;0,K1525=""),"USED: say what replaces it (Note)",IF(AND(I1525="Rename",J1525=""),"type the new name",IF(AND(L1525&lt;&gt;"",L1525&lt;&gt;"(decide)",COUNTIF($L$2:$L$1680,L1525)&gt;1),"SAME FINAL NAME AS ANOTHER ROW","")))</f>
      </c>
      <c r="N1525" s="6">
        <v>0</v>
      </c>
      <c r="O1525" s="6" t="s">
        <v>2</v>
      </c>
    </row>
    <row r="1526" spans="1:15" x14ac:dyDescent="0.25">
      <c r="A1526">
        <v>1525</v>
      </c>
      <c r="B1526" t="s">
        <v>1965</v>
      </c>
      <c r="C1526" t="s">
        <v>2</v>
      </c>
      <c r="D1526" t="s">
        <v>1998</v>
      </c>
      <c r="E1526" t="s">
        <v>292</v>
      </c>
      <c r="F1526" t="s">
        <v>2</v>
      </c>
      <c r="G1526" t="s">
        <v>94</v>
      </c>
      <c r="H1526" t="s">
        <v>39</v>
      </c>
      <c r="I1526" s="5" t="s">
        <v>294</v>
      </c>
      <c r="J1526" s="5" t="s">
        <v>2</v>
      </c>
      <c r="K1526" s="5" t="s">
        <v>2</v>
      </c>
      <c r="L1526" s="6">
        <f>IF(I1526="Cut","",IF(I1526="Your call","(decide)",IF(I1526="Rename",J1526,IF(I1526="Keep",IF(D1526="",E1526,D1526),IF(E1526="(unchanged)",D1526,E1526)))))</f>
      </c>
      <c r="M1526" s="6">
        <f>IF(AND(I1526="Cut",N1526&gt;0,K1526=""),"USED: say what replaces it (Note)",IF(AND(I1526="Rename",J1526=""),"type the new name",IF(AND(L1526&lt;&gt;"",L1526&lt;&gt;"(decide)",COUNTIF($L$2:$L$1680,L1526)&gt;1),"SAME FINAL NAME AS ANOTHER ROW","")))</f>
      </c>
      <c r="N1526" s="6">
        <v>1</v>
      </c>
      <c r="O1526" s="6" t="s">
        <v>2</v>
      </c>
    </row>
    <row r="1527" spans="1:15" x14ac:dyDescent="0.25">
      <c r="A1527">
        <v>1526</v>
      </c>
      <c r="B1527" t="s">
        <v>1965</v>
      </c>
      <c r="C1527" t="s">
        <v>2</v>
      </c>
      <c r="D1527" t="s">
        <v>1999</v>
      </c>
      <c r="E1527" t="s">
        <v>292</v>
      </c>
      <c r="F1527" t="s">
        <v>2</v>
      </c>
      <c r="G1527" t="s">
        <v>38</v>
      </c>
      <c r="H1527" t="s">
        <v>39</v>
      </c>
      <c r="I1527" s="5" t="s">
        <v>294</v>
      </c>
      <c r="J1527" s="5" t="s">
        <v>2</v>
      </c>
      <c r="K1527" s="5" t="s">
        <v>2</v>
      </c>
      <c r="L1527" s="6">
        <f>IF(I1527="Cut","",IF(I1527="Your call","(decide)",IF(I1527="Rename",J1527,IF(I1527="Keep",IF(D1527="",E1527,D1527),IF(E1527="(unchanged)",D1527,E1527)))))</f>
      </c>
      <c r="M1527" s="6">
        <f>IF(AND(I1527="Cut",N1527&gt;0,K1527=""),"USED: say what replaces it (Note)",IF(AND(I1527="Rename",J1527=""),"type the new name",IF(AND(L1527&lt;&gt;"",L1527&lt;&gt;"(decide)",COUNTIF($L$2:$L$1680,L1527)&gt;1),"SAME FINAL NAME AS ANOTHER ROW","")))</f>
      </c>
      <c r="N1527" s="6">
        <v>0</v>
      </c>
      <c r="O1527" s="6" t="s">
        <v>2</v>
      </c>
    </row>
    <row r="1528" spans="1:15" x14ac:dyDescent="0.25">
      <c r="A1528">
        <v>1527</v>
      </c>
      <c r="B1528" t="s">
        <v>1965</v>
      </c>
      <c r="C1528" t="s">
        <v>2</v>
      </c>
      <c r="D1528" t="s">
        <v>2000</v>
      </c>
      <c r="E1528" t="s">
        <v>292</v>
      </c>
      <c r="F1528" t="s">
        <v>2</v>
      </c>
      <c r="G1528" t="s">
        <v>94</v>
      </c>
      <c r="H1528" t="s">
        <v>39</v>
      </c>
      <c r="I1528" s="5" t="s">
        <v>294</v>
      </c>
      <c r="J1528" s="5" t="s">
        <v>2</v>
      </c>
      <c r="K1528" s="5" t="s">
        <v>2</v>
      </c>
      <c r="L1528" s="6">
        <f>IF(I1528="Cut","",IF(I1528="Your call","(decide)",IF(I1528="Rename",J1528,IF(I1528="Keep",IF(D1528="",E1528,D1528),IF(E1528="(unchanged)",D1528,E1528)))))</f>
      </c>
      <c r="M1528" s="6">
        <f>IF(AND(I1528="Cut",N1528&gt;0,K1528=""),"USED: say what replaces it (Note)",IF(AND(I1528="Rename",J1528=""),"type the new name",IF(AND(L1528&lt;&gt;"",L1528&lt;&gt;"(decide)",COUNTIF($L$2:$L$1680,L1528)&gt;1),"SAME FINAL NAME AS ANOTHER ROW","")))</f>
      </c>
      <c r="N1528" s="6">
        <v>1</v>
      </c>
      <c r="O1528" s="6" t="s">
        <v>2</v>
      </c>
    </row>
    <row r="1529" spans="1:15" x14ac:dyDescent="0.25">
      <c r="A1529">
        <v>1528</v>
      </c>
      <c r="B1529" t="s">
        <v>1965</v>
      </c>
      <c r="C1529" t="s">
        <v>2</v>
      </c>
      <c r="D1529" t="s">
        <v>2001</v>
      </c>
      <c r="E1529" t="s">
        <v>292</v>
      </c>
      <c r="F1529" t="s">
        <v>2</v>
      </c>
      <c r="G1529" t="s">
        <v>38</v>
      </c>
      <c r="H1529" t="s">
        <v>39</v>
      </c>
      <c r="I1529" s="5" t="s">
        <v>294</v>
      </c>
      <c r="J1529" s="5" t="s">
        <v>2</v>
      </c>
      <c r="K1529" s="5" t="s">
        <v>2</v>
      </c>
      <c r="L1529" s="6">
        <f>IF(I1529="Cut","",IF(I1529="Your call","(decide)",IF(I1529="Rename",J1529,IF(I1529="Keep",IF(D1529="",E1529,D1529),IF(E1529="(unchanged)",D1529,E1529)))))</f>
      </c>
      <c r="M1529" s="6">
        <f>IF(AND(I1529="Cut",N1529&gt;0,K1529=""),"USED: say what replaces it (Note)",IF(AND(I1529="Rename",J1529=""),"type the new name",IF(AND(L1529&lt;&gt;"",L1529&lt;&gt;"(decide)",COUNTIF($L$2:$L$1680,L1529)&gt;1),"SAME FINAL NAME AS ANOTHER ROW","")))</f>
      </c>
      <c r="N1529" s="6">
        <v>0</v>
      </c>
      <c r="O1529" s="6" t="s">
        <v>2</v>
      </c>
    </row>
    <row r="1530" spans="1:15" x14ac:dyDescent="0.25">
      <c r="A1530">
        <v>1529</v>
      </c>
      <c r="B1530" t="s">
        <v>1965</v>
      </c>
      <c r="C1530" t="s">
        <v>2</v>
      </c>
      <c r="D1530" t="s">
        <v>2002</v>
      </c>
      <c r="E1530" t="s">
        <v>292</v>
      </c>
      <c r="F1530" t="s">
        <v>2</v>
      </c>
      <c r="G1530" t="s">
        <v>94</v>
      </c>
      <c r="H1530" t="s">
        <v>39</v>
      </c>
      <c r="I1530" s="5" t="s">
        <v>294</v>
      </c>
      <c r="J1530" s="5" t="s">
        <v>2</v>
      </c>
      <c r="K1530" s="5" t="s">
        <v>2</v>
      </c>
      <c r="L1530" s="6">
        <f>IF(I1530="Cut","",IF(I1530="Your call","(decide)",IF(I1530="Rename",J1530,IF(I1530="Keep",IF(D1530="",E1530,D1530),IF(E1530="(unchanged)",D1530,E1530)))))</f>
      </c>
      <c r="M1530" s="6">
        <f>IF(AND(I1530="Cut",N1530&gt;0,K1530=""),"USED: say what replaces it (Note)",IF(AND(I1530="Rename",J1530=""),"type the new name",IF(AND(L1530&lt;&gt;"",L1530&lt;&gt;"(decide)",COUNTIF($L$2:$L$1680,L1530)&gt;1),"SAME FINAL NAME AS ANOTHER ROW","")))</f>
      </c>
      <c r="N1530" s="6">
        <v>1</v>
      </c>
      <c r="O1530" s="6" t="s">
        <v>2</v>
      </c>
    </row>
    <row r="1531" spans="1:15" x14ac:dyDescent="0.25">
      <c r="A1531">
        <v>1530</v>
      </c>
      <c r="B1531" t="s">
        <v>1965</v>
      </c>
      <c r="C1531" t="s">
        <v>2003</v>
      </c>
      <c r="D1531" t="s">
        <v>2004</v>
      </c>
      <c r="E1531" t="s">
        <v>292</v>
      </c>
      <c r="F1531" t="s">
        <v>2</v>
      </c>
      <c r="G1531" t="s">
        <v>94</v>
      </c>
      <c r="H1531" t="s">
        <v>39</v>
      </c>
      <c r="I1531" s="5" t="s">
        <v>294</v>
      </c>
      <c r="J1531" s="5" t="s">
        <v>2</v>
      </c>
      <c r="K1531" s="5" t="s">
        <v>2</v>
      </c>
      <c r="L1531" s="6">
        <f>IF(I1531="Cut","",IF(I1531="Your call","(decide)",IF(I1531="Rename",J1531,IF(I1531="Keep",IF(D1531="",E1531,D1531),IF(E1531="(unchanged)",D1531,E1531)))))</f>
      </c>
      <c r="M1531" s="6">
        <f>IF(AND(I1531="Cut",N1531&gt;0,K1531=""),"USED: say what replaces it (Note)",IF(AND(I1531="Rename",J1531=""),"type the new name",IF(AND(L1531&lt;&gt;"",L1531&lt;&gt;"(decide)",COUNTIF($L$2:$L$1680,L1531)&gt;1),"SAME FINAL NAME AS ANOTHER ROW","")))</f>
      </c>
      <c r="N1531" s="6">
        <v>1</v>
      </c>
      <c r="O1531" s="6" t="s">
        <v>2</v>
      </c>
    </row>
    <row r="1532" spans="1:15" x14ac:dyDescent="0.25">
      <c r="A1532">
        <v>1531</v>
      </c>
      <c r="B1532" t="s">
        <v>1965</v>
      </c>
      <c r="C1532" t="s">
        <v>2003</v>
      </c>
      <c r="D1532" t="s">
        <v>2005</v>
      </c>
      <c r="E1532" t="s">
        <v>292</v>
      </c>
      <c r="F1532" t="s">
        <v>2</v>
      </c>
      <c r="G1532" t="s">
        <v>38</v>
      </c>
      <c r="H1532" t="s">
        <v>39</v>
      </c>
      <c r="I1532" s="5" t="s">
        <v>294</v>
      </c>
      <c r="J1532" s="5" t="s">
        <v>2</v>
      </c>
      <c r="K1532" s="5" t="s">
        <v>2</v>
      </c>
      <c r="L1532" s="6">
        <f>IF(I1532="Cut","",IF(I1532="Your call","(decide)",IF(I1532="Rename",J1532,IF(I1532="Keep",IF(D1532="",E1532,D1532),IF(E1532="(unchanged)",D1532,E1532)))))</f>
      </c>
      <c r="M1532" s="6">
        <f>IF(AND(I1532="Cut",N1532&gt;0,K1532=""),"USED: say what replaces it (Note)",IF(AND(I1532="Rename",J1532=""),"type the new name",IF(AND(L1532&lt;&gt;"",L1532&lt;&gt;"(decide)",COUNTIF($L$2:$L$1680,L1532)&gt;1),"SAME FINAL NAME AS ANOTHER ROW","")))</f>
      </c>
      <c r="N1532" s="6">
        <v>0</v>
      </c>
      <c r="O1532" s="6" t="s">
        <v>2</v>
      </c>
    </row>
    <row r="1533" spans="1:15" x14ac:dyDescent="0.25">
      <c r="A1533">
        <v>1532</v>
      </c>
      <c r="B1533" t="s">
        <v>1965</v>
      </c>
      <c r="C1533" t="s">
        <v>2</v>
      </c>
      <c r="D1533" t="s">
        <v>2006</v>
      </c>
      <c r="E1533" t="s">
        <v>292</v>
      </c>
      <c r="F1533" t="s">
        <v>2</v>
      </c>
      <c r="G1533" t="s">
        <v>94</v>
      </c>
      <c r="H1533" t="s">
        <v>39</v>
      </c>
      <c r="I1533" s="5" t="s">
        <v>294</v>
      </c>
      <c r="J1533" s="5" t="s">
        <v>2</v>
      </c>
      <c r="K1533" s="5" t="s">
        <v>2</v>
      </c>
      <c r="L1533" s="6">
        <f>IF(I1533="Cut","",IF(I1533="Your call","(decide)",IF(I1533="Rename",J1533,IF(I1533="Keep",IF(D1533="",E1533,D1533),IF(E1533="(unchanged)",D1533,E1533)))))</f>
      </c>
      <c r="M1533" s="6">
        <f>IF(AND(I1533="Cut",N1533&gt;0,K1533=""),"USED: say what replaces it (Note)",IF(AND(I1533="Rename",J1533=""),"type the new name",IF(AND(L1533&lt;&gt;"",L1533&lt;&gt;"(decide)",COUNTIF($L$2:$L$1680,L1533)&gt;1),"SAME FINAL NAME AS ANOTHER ROW","")))</f>
      </c>
      <c r="N1533" s="6">
        <v>1</v>
      </c>
      <c r="O1533" s="6" t="s">
        <v>2</v>
      </c>
    </row>
    <row r="1534" spans="1:15" x14ac:dyDescent="0.25">
      <c r="A1534">
        <v>1533</v>
      </c>
      <c r="B1534" t="s">
        <v>1965</v>
      </c>
      <c r="C1534" t="s">
        <v>2</v>
      </c>
      <c r="D1534" t="s">
        <v>2007</v>
      </c>
      <c r="E1534" t="s">
        <v>292</v>
      </c>
      <c r="F1534" t="s">
        <v>2</v>
      </c>
      <c r="G1534" t="s">
        <v>38</v>
      </c>
      <c r="H1534" t="s">
        <v>39</v>
      </c>
      <c r="I1534" s="5" t="s">
        <v>294</v>
      </c>
      <c r="J1534" s="5" t="s">
        <v>2</v>
      </c>
      <c r="K1534" s="5" t="s">
        <v>2</v>
      </c>
      <c r="L1534" s="6">
        <f>IF(I1534="Cut","",IF(I1534="Your call","(decide)",IF(I1534="Rename",J1534,IF(I1534="Keep",IF(D1534="",E1534,D1534),IF(E1534="(unchanged)",D1534,E1534)))))</f>
      </c>
      <c r="M1534" s="6">
        <f>IF(AND(I1534="Cut",N1534&gt;0,K1534=""),"USED: say what replaces it (Note)",IF(AND(I1534="Rename",J1534=""),"type the new name",IF(AND(L1534&lt;&gt;"",L1534&lt;&gt;"(decide)",COUNTIF($L$2:$L$1680,L1534)&gt;1),"SAME FINAL NAME AS ANOTHER ROW","")))</f>
      </c>
      <c r="N1534" s="6">
        <v>0</v>
      </c>
      <c r="O1534" s="6" t="s">
        <v>2</v>
      </c>
    </row>
    <row r="1535" spans="1:15" x14ac:dyDescent="0.25">
      <c r="A1535">
        <v>1534</v>
      </c>
      <c r="B1535" t="s">
        <v>1965</v>
      </c>
      <c r="C1535" t="s">
        <v>2</v>
      </c>
      <c r="D1535" t="s">
        <v>2008</v>
      </c>
      <c r="E1535" t="s">
        <v>292</v>
      </c>
      <c r="F1535" t="s">
        <v>2</v>
      </c>
      <c r="G1535" t="s">
        <v>94</v>
      </c>
      <c r="H1535" t="s">
        <v>39</v>
      </c>
      <c r="I1535" s="5" t="s">
        <v>294</v>
      </c>
      <c r="J1535" s="5" t="s">
        <v>2</v>
      </c>
      <c r="K1535" s="5" t="s">
        <v>2</v>
      </c>
      <c r="L1535" s="6">
        <f>IF(I1535="Cut","",IF(I1535="Your call","(decide)",IF(I1535="Rename",J1535,IF(I1535="Keep",IF(D1535="",E1535,D1535),IF(E1535="(unchanged)",D1535,E1535)))))</f>
      </c>
      <c r="M1535" s="6">
        <f>IF(AND(I1535="Cut",N1535&gt;0,K1535=""),"USED: say what replaces it (Note)",IF(AND(I1535="Rename",J1535=""),"type the new name",IF(AND(L1535&lt;&gt;"",L1535&lt;&gt;"(decide)",COUNTIF($L$2:$L$1680,L1535)&gt;1),"SAME FINAL NAME AS ANOTHER ROW","")))</f>
      </c>
      <c r="N1535" s="6">
        <v>1</v>
      </c>
      <c r="O1535" s="6" t="s">
        <v>2</v>
      </c>
    </row>
    <row r="1536" spans="1:15" x14ac:dyDescent="0.25">
      <c r="A1536">
        <v>1535</v>
      </c>
      <c r="B1536" t="s">
        <v>1965</v>
      </c>
      <c r="C1536" t="s">
        <v>2009</v>
      </c>
      <c r="D1536" t="s">
        <v>2010</v>
      </c>
      <c r="E1536" t="s">
        <v>292</v>
      </c>
      <c r="F1536" t="s">
        <v>2</v>
      </c>
      <c r="G1536" t="s">
        <v>38</v>
      </c>
      <c r="H1536" t="s">
        <v>39</v>
      </c>
      <c r="I1536" s="5" t="s">
        <v>294</v>
      </c>
      <c r="J1536" s="5" t="s">
        <v>2</v>
      </c>
      <c r="K1536" s="5" t="s">
        <v>2</v>
      </c>
      <c r="L1536" s="6">
        <f>IF(I1536="Cut","",IF(I1536="Your call","(decide)",IF(I1536="Rename",J1536,IF(I1536="Keep",IF(D1536="",E1536,D1536),IF(E1536="(unchanged)",D1536,E1536)))))</f>
      </c>
      <c r="M1536" s="6">
        <f>IF(AND(I1536="Cut",N1536&gt;0,K1536=""),"USED: say what replaces it (Note)",IF(AND(I1536="Rename",J1536=""),"type the new name",IF(AND(L1536&lt;&gt;"",L1536&lt;&gt;"(decide)",COUNTIF($L$2:$L$1680,L1536)&gt;1),"SAME FINAL NAME AS ANOTHER ROW","")))</f>
      </c>
      <c r="N1536" s="6">
        <v>0</v>
      </c>
      <c r="O1536" s="6" t="s">
        <v>2</v>
      </c>
    </row>
    <row r="1537" spans="1:15" x14ac:dyDescent="0.25">
      <c r="A1537">
        <v>1536</v>
      </c>
      <c r="B1537" t="s">
        <v>1965</v>
      </c>
      <c r="C1537" t="s">
        <v>2009</v>
      </c>
      <c r="D1537" t="s">
        <v>2011</v>
      </c>
      <c r="E1537" t="s">
        <v>292</v>
      </c>
      <c r="F1537" t="s">
        <v>2</v>
      </c>
      <c r="G1537" t="s">
        <v>38</v>
      </c>
      <c r="H1537" t="s">
        <v>39</v>
      </c>
      <c r="I1537" s="5" t="s">
        <v>294</v>
      </c>
      <c r="J1537" s="5" t="s">
        <v>2</v>
      </c>
      <c r="K1537" s="5" t="s">
        <v>2</v>
      </c>
      <c r="L1537" s="6">
        <f>IF(I1537="Cut","",IF(I1537="Your call","(decide)",IF(I1537="Rename",J1537,IF(I1537="Keep",IF(D1537="",E1537,D1537),IF(E1537="(unchanged)",D1537,E1537)))))</f>
      </c>
      <c r="M1537" s="6">
        <f>IF(AND(I1537="Cut",N1537&gt;0,K1537=""),"USED: say what replaces it (Note)",IF(AND(I1537="Rename",J1537=""),"type the new name",IF(AND(L1537&lt;&gt;"",L1537&lt;&gt;"(decide)",COUNTIF($L$2:$L$1680,L1537)&gt;1),"SAME FINAL NAME AS ANOTHER ROW","")))</f>
      </c>
      <c r="N1537" s="6">
        <v>0</v>
      </c>
      <c r="O1537" s="6" t="s">
        <v>2</v>
      </c>
    </row>
    <row r="1538" spans="1:15" x14ac:dyDescent="0.25">
      <c r="A1538">
        <v>1537</v>
      </c>
      <c r="B1538" t="s">
        <v>1965</v>
      </c>
      <c r="C1538" t="s">
        <v>2</v>
      </c>
      <c r="D1538" t="s">
        <v>2012</v>
      </c>
      <c r="E1538" t="s">
        <v>292</v>
      </c>
      <c r="F1538" t="s">
        <v>2</v>
      </c>
      <c r="G1538" t="s">
        <v>38</v>
      </c>
      <c r="H1538" t="s">
        <v>39</v>
      </c>
      <c r="I1538" s="5" t="s">
        <v>294</v>
      </c>
      <c r="J1538" s="5" t="s">
        <v>2</v>
      </c>
      <c r="K1538" s="5" t="s">
        <v>2</v>
      </c>
      <c r="L1538" s="6">
        <f>IF(I1538="Cut","",IF(I1538="Your call","(decide)",IF(I1538="Rename",J1538,IF(I1538="Keep",IF(D1538="",E1538,D1538),IF(E1538="(unchanged)",D1538,E1538)))))</f>
      </c>
      <c r="M1538" s="6">
        <f>IF(AND(I1538="Cut",N1538&gt;0,K1538=""),"USED: say what replaces it (Note)",IF(AND(I1538="Rename",J1538=""),"type the new name",IF(AND(L1538&lt;&gt;"",L1538&lt;&gt;"(decide)",COUNTIF($L$2:$L$1680,L1538)&gt;1),"SAME FINAL NAME AS ANOTHER ROW","")))</f>
      </c>
      <c r="N1538" s="6">
        <v>0</v>
      </c>
      <c r="O1538" s="6" t="s">
        <v>2</v>
      </c>
    </row>
    <row r="1539" spans="1:15" x14ac:dyDescent="0.25">
      <c r="A1539">
        <v>1538</v>
      </c>
      <c r="B1539" t="s">
        <v>1965</v>
      </c>
      <c r="C1539" t="s">
        <v>2</v>
      </c>
      <c r="D1539" t="s">
        <v>2013</v>
      </c>
      <c r="E1539" t="s">
        <v>292</v>
      </c>
      <c r="F1539" t="s">
        <v>2</v>
      </c>
      <c r="G1539" t="s">
        <v>38</v>
      </c>
      <c r="H1539" t="s">
        <v>39</v>
      </c>
      <c r="I1539" s="5" t="s">
        <v>294</v>
      </c>
      <c r="J1539" s="5" t="s">
        <v>2</v>
      </c>
      <c r="K1539" s="5" t="s">
        <v>2</v>
      </c>
      <c r="L1539" s="6">
        <f>IF(I1539="Cut","",IF(I1539="Your call","(decide)",IF(I1539="Rename",J1539,IF(I1539="Keep",IF(D1539="",E1539,D1539),IF(E1539="(unchanged)",D1539,E1539)))))</f>
      </c>
      <c r="M1539" s="6">
        <f>IF(AND(I1539="Cut",N1539&gt;0,K1539=""),"USED: say what replaces it (Note)",IF(AND(I1539="Rename",J1539=""),"type the new name",IF(AND(L1539&lt;&gt;"",L1539&lt;&gt;"(decide)",COUNTIF($L$2:$L$1680,L1539)&gt;1),"SAME FINAL NAME AS ANOTHER ROW","")))</f>
      </c>
      <c r="N1539" s="6">
        <v>0</v>
      </c>
      <c r="O1539" s="6" t="s">
        <v>2</v>
      </c>
    </row>
    <row r="1540" spans="1:15" x14ac:dyDescent="0.25">
      <c r="A1540">
        <v>1539</v>
      </c>
      <c r="B1540" t="s">
        <v>2014</v>
      </c>
      <c r="C1540" t="s">
        <v>2</v>
      </c>
      <c r="D1540" t="s">
        <v>2015</v>
      </c>
      <c r="E1540" t="s">
        <v>292</v>
      </c>
      <c r="F1540" t="s">
        <v>2</v>
      </c>
      <c r="G1540" t="s">
        <v>38</v>
      </c>
      <c r="H1540" t="s">
        <v>39</v>
      </c>
      <c r="I1540" s="5" t="s">
        <v>294</v>
      </c>
      <c r="J1540" s="5" t="s">
        <v>2</v>
      </c>
      <c r="K1540" s="5" t="s">
        <v>2</v>
      </c>
      <c r="L1540" s="6">
        <f>IF(I1540="Cut","",IF(I1540="Your call","(decide)",IF(I1540="Rename",J1540,IF(I1540="Keep",IF(D1540="",E1540,D1540),IF(E1540="(unchanged)",D1540,E1540)))))</f>
      </c>
      <c r="M1540" s="6">
        <f>IF(AND(I1540="Cut",N1540&gt;0,K1540=""),"USED: say what replaces it (Note)",IF(AND(I1540="Rename",J1540=""),"type the new name",IF(AND(L1540&lt;&gt;"",L1540&lt;&gt;"(decide)",COUNTIF($L$2:$L$1680,L1540)&gt;1),"SAME FINAL NAME AS ANOTHER ROW","")))</f>
      </c>
      <c r="N1540" s="6">
        <v>0</v>
      </c>
      <c r="O1540" s="6" t="s">
        <v>2</v>
      </c>
    </row>
    <row r="1541" spans="1:15" x14ac:dyDescent="0.25">
      <c r="A1541">
        <v>1540</v>
      </c>
      <c r="B1541" t="s">
        <v>2014</v>
      </c>
      <c r="C1541" t="s">
        <v>2</v>
      </c>
      <c r="D1541" t="s">
        <v>2016</v>
      </c>
      <c r="E1541" t="s">
        <v>292</v>
      </c>
      <c r="F1541" t="s">
        <v>2</v>
      </c>
      <c r="G1541" t="s">
        <v>71</v>
      </c>
      <c r="H1541" t="s">
        <v>39</v>
      </c>
      <c r="I1541" s="5" t="s">
        <v>294</v>
      </c>
      <c r="J1541" s="5" t="s">
        <v>2</v>
      </c>
      <c r="K1541" s="5" t="s">
        <v>2</v>
      </c>
      <c r="L1541" s="6">
        <f>IF(I1541="Cut","",IF(I1541="Your call","(decide)",IF(I1541="Rename",J1541,IF(I1541="Keep",IF(D1541="",E1541,D1541),IF(E1541="(unchanged)",D1541,E1541)))))</f>
      </c>
      <c r="M1541" s="6">
        <f>IF(AND(I1541="Cut",N1541&gt;0,K1541=""),"USED: say what replaces it (Note)",IF(AND(I1541="Rename",J1541=""),"type the new name",IF(AND(L1541&lt;&gt;"",L1541&lt;&gt;"(decide)",COUNTIF($L$2:$L$1680,L1541)&gt;1),"SAME FINAL NAME AS ANOTHER ROW","")))</f>
      </c>
      <c r="N1541" s="6">
        <v>4</v>
      </c>
      <c r="O1541" s="6" t="s">
        <v>2</v>
      </c>
    </row>
    <row r="1542" spans="1:15" x14ac:dyDescent="0.25">
      <c r="A1542">
        <v>1541</v>
      </c>
      <c r="B1542" t="s">
        <v>2014</v>
      </c>
      <c r="C1542" t="s">
        <v>2</v>
      </c>
      <c r="D1542" t="s">
        <v>2017</v>
      </c>
      <c r="E1542" t="s">
        <v>292</v>
      </c>
      <c r="F1542" t="s">
        <v>2</v>
      </c>
      <c r="G1542" t="s">
        <v>94</v>
      </c>
      <c r="H1542" t="s">
        <v>39</v>
      </c>
      <c r="I1542" s="5" t="s">
        <v>294</v>
      </c>
      <c r="J1542" s="5" t="s">
        <v>2</v>
      </c>
      <c r="K1542" s="5" t="s">
        <v>2</v>
      </c>
      <c r="L1542" s="6">
        <f>IF(I1542="Cut","",IF(I1542="Your call","(decide)",IF(I1542="Rename",J1542,IF(I1542="Keep",IF(D1542="",E1542,D1542),IF(E1542="(unchanged)",D1542,E1542)))))</f>
      </c>
      <c r="M1542" s="6">
        <f>IF(AND(I1542="Cut",N1542&gt;0,K1542=""),"USED: say what replaces it (Note)",IF(AND(I1542="Rename",J1542=""),"type the new name",IF(AND(L1542&lt;&gt;"",L1542&lt;&gt;"(decide)",COUNTIF($L$2:$L$1680,L1542)&gt;1),"SAME FINAL NAME AS ANOTHER ROW","")))</f>
      </c>
      <c r="N1542" s="6">
        <v>1</v>
      </c>
      <c r="O1542" s="6" t="s">
        <v>2</v>
      </c>
    </row>
    <row r="1543" spans="1:15" x14ac:dyDescent="0.25">
      <c r="A1543">
        <v>1542</v>
      </c>
      <c r="B1543" t="s">
        <v>2014</v>
      </c>
      <c r="C1543" t="s">
        <v>2</v>
      </c>
      <c r="D1543" t="s">
        <v>2018</v>
      </c>
      <c r="E1543" t="s">
        <v>292</v>
      </c>
      <c r="F1543" t="s">
        <v>2</v>
      </c>
      <c r="G1543" t="s">
        <v>38</v>
      </c>
      <c r="H1543" t="s">
        <v>39</v>
      </c>
      <c r="I1543" s="5" t="s">
        <v>294</v>
      </c>
      <c r="J1543" s="5" t="s">
        <v>2</v>
      </c>
      <c r="K1543" s="5" t="s">
        <v>2</v>
      </c>
      <c r="L1543" s="6">
        <f>IF(I1543="Cut","",IF(I1543="Your call","(decide)",IF(I1543="Rename",J1543,IF(I1543="Keep",IF(D1543="",E1543,D1543),IF(E1543="(unchanged)",D1543,E1543)))))</f>
      </c>
      <c r="M1543" s="6">
        <f>IF(AND(I1543="Cut",N1543&gt;0,K1543=""),"USED: say what replaces it (Note)",IF(AND(I1543="Rename",J1543=""),"type the new name",IF(AND(L1543&lt;&gt;"",L1543&lt;&gt;"(decide)",COUNTIF($L$2:$L$1680,L1543)&gt;1),"SAME FINAL NAME AS ANOTHER ROW","")))</f>
      </c>
      <c r="N1543" s="6">
        <v>0</v>
      </c>
      <c r="O1543" s="6" t="s">
        <v>2</v>
      </c>
    </row>
    <row r="1544" spans="1:15" x14ac:dyDescent="0.25">
      <c r="A1544">
        <v>1543</v>
      </c>
      <c r="B1544" t="s">
        <v>2014</v>
      </c>
      <c r="C1544" t="s">
        <v>2</v>
      </c>
      <c r="D1544" t="s">
        <v>2019</v>
      </c>
      <c r="E1544" t="s">
        <v>292</v>
      </c>
      <c r="F1544" t="s">
        <v>2</v>
      </c>
      <c r="G1544" t="s">
        <v>38</v>
      </c>
      <c r="H1544" t="s">
        <v>39</v>
      </c>
      <c r="I1544" s="5" t="s">
        <v>294</v>
      </c>
      <c r="J1544" s="5" t="s">
        <v>2</v>
      </c>
      <c r="K1544" s="5" t="s">
        <v>2</v>
      </c>
      <c r="L1544" s="6">
        <f>IF(I1544="Cut","",IF(I1544="Your call","(decide)",IF(I1544="Rename",J1544,IF(I1544="Keep",IF(D1544="",E1544,D1544),IF(E1544="(unchanged)",D1544,E1544)))))</f>
      </c>
      <c r="M1544" s="6">
        <f>IF(AND(I1544="Cut",N1544&gt;0,K1544=""),"USED: say what replaces it (Note)",IF(AND(I1544="Rename",J1544=""),"type the new name",IF(AND(L1544&lt;&gt;"",L1544&lt;&gt;"(decide)",COUNTIF($L$2:$L$1680,L1544)&gt;1),"SAME FINAL NAME AS ANOTHER ROW","")))</f>
      </c>
      <c r="N1544" s="6">
        <v>0</v>
      </c>
      <c r="O1544" s="6" t="s">
        <v>2</v>
      </c>
    </row>
    <row r="1545" spans="1:15" x14ac:dyDescent="0.25">
      <c r="A1545">
        <v>1544</v>
      </c>
      <c r="B1545" t="s">
        <v>2014</v>
      </c>
      <c r="C1545" t="s">
        <v>2</v>
      </c>
      <c r="D1545" t="s">
        <v>2020</v>
      </c>
      <c r="E1545" t="s">
        <v>292</v>
      </c>
      <c r="F1545" t="s">
        <v>2</v>
      </c>
      <c r="G1545" t="s">
        <v>38</v>
      </c>
      <c r="H1545" t="s">
        <v>39</v>
      </c>
      <c r="I1545" s="5" t="s">
        <v>294</v>
      </c>
      <c r="J1545" s="5" t="s">
        <v>2</v>
      </c>
      <c r="K1545" s="5" t="s">
        <v>2</v>
      </c>
      <c r="L1545" s="6">
        <f>IF(I1545="Cut","",IF(I1545="Your call","(decide)",IF(I1545="Rename",J1545,IF(I1545="Keep",IF(D1545="",E1545,D1545),IF(E1545="(unchanged)",D1545,E1545)))))</f>
      </c>
      <c r="M1545" s="6">
        <f>IF(AND(I1545="Cut",N1545&gt;0,K1545=""),"USED: say what replaces it (Note)",IF(AND(I1545="Rename",J1545=""),"type the new name",IF(AND(L1545&lt;&gt;"",L1545&lt;&gt;"(decide)",COUNTIF($L$2:$L$1680,L1545)&gt;1),"SAME FINAL NAME AS ANOTHER ROW","")))</f>
      </c>
      <c r="N1545" s="6">
        <v>0</v>
      </c>
      <c r="O1545" s="6" t="s">
        <v>2</v>
      </c>
    </row>
    <row r="1546" spans="1:15" x14ac:dyDescent="0.25">
      <c r="A1546">
        <v>1545</v>
      </c>
      <c r="B1546" t="s">
        <v>2014</v>
      </c>
      <c r="C1546" t="s">
        <v>2</v>
      </c>
      <c r="D1546" t="s">
        <v>2021</v>
      </c>
      <c r="E1546" t="s">
        <v>292</v>
      </c>
      <c r="F1546" t="s">
        <v>2</v>
      </c>
      <c r="G1546" t="s">
        <v>94</v>
      </c>
      <c r="H1546" t="s">
        <v>39</v>
      </c>
      <c r="I1546" s="5" t="s">
        <v>294</v>
      </c>
      <c r="J1546" s="5" t="s">
        <v>2</v>
      </c>
      <c r="K1546" s="5" t="s">
        <v>2</v>
      </c>
      <c r="L1546" s="6">
        <f>IF(I1546="Cut","",IF(I1546="Your call","(decide)",IF(I1546="Rename",J1546,IF(I1546="Keep",IF(D1546="",E1546,D1546),IF(E1546="(unchanged)",D1546,E1546)))))</f>
      </c>
      <c r="M1546" s="6">
        <f>IF(AND(I1546="Cut",N1546&gt;0,K1546=""),"USED: say what replaces it (Note)",IF(AND(I1546="Rename",J1546=""),"type the new name",IF(AND(L1546&lt;&gt;"",L1546&lt;&gt;"(decide)",COUNTIF($L$2:$L$1680,L1546)&gt;1),"SAME FINAL NAME AS ANOTHER ROW","")))</f>
      </c>
      <c r="N1546" s="6">
        <v>1</v>
      </c>
      <c r="O1546" s="6" t="s">
        <v>2</v>
      </c>
    </row>
    <row r="1547" spans="1:15" x14ac:dyDescent="0.25">
      <c r="A1547">
        <v>1546</v>
      </c>
      <c r="B1547" t="s">
        <v>2014</v>
      </c>
      <c r="C1547" t="s">
        <v>2</v>
      </c>
      <c r="D1547" t="s">
        <v>2022</v>
      </c>
      <c r="E1547" t="s">
        <v>292</v>
      </c>
      <c r="F1547" t="s">
        <v>2</v>
      </c>
      <c r="G1547" t="s">
        <v>38</v>
      </c>
      <c r="H1547" t="s">
        <v>39</v>
      </c>
      <c r="I1547" s="5" t="s">
        <v>294</v>
      </c>
      <c r="J1547" s="5" t="s">
        <v>2</v>
      </c>
      <c r="K1547" s="5" t="s">
        <v>2</v>
      </c>
      <c r="L1547" s="6">
        <f>IF(I1547="Cut","",IF(I1547="Your call","(decide)",IF(I1547="Rename",J1547,IF(I1547="Keep",IF(D1547="",E1547,D1547),IF(E1547="(unchanged)",D1547,E1547)))))</f>
      </c>
      <c r="M1547" s="6">
        <f>IF(AND(I1547="Cut",N1547&gt;0,K1547=""),"USED: say what replaces it (Note)",IF(AND(I1547="Rename",J1547=""),"type the new name",IF(AND(L1547&lt;&gt;"",L1547&lt;&gt;"(decide)",COUNTIF($L$2:$L$1680,L1547)&gt;1),"SAME FINAL NAME AS ANOTHER ROW","")))</f>
      </c>
      <c r="N1547" s="6">
        <v>0</v>
      </c>
      <c r="O1547" s="6" t="s">
        <v>2</v>
      </c>
    </row>
    <row r="1548" spans="1:15" x14ac:dyDescent="0.25">
      <c r="A1548">
        <v>1547</v>
      </c>
      <c r="B1548" t="s">
        <v>2014</v>
      </c>
      <c r="C1548" t="s">
        <v>2</v>
      </c>
      <c r="D1548" t="s">
        <v>2023</v>
      </c>
      <c r="E1548" t="s">
        <v>292</v>
      </c>
      <c r="F1548" t="s">
        <v>2</v>
      </c>
      <c r="G1548" t="s">
        <v>1145</v>
      </c>
      <c r="H1548" t="s">
        <v>39</v>
      </c>
      <c r="I1548" s="5" t="s">
        <v>294</v>
      </c>
      <c r="J1548" s="5" t="s">
        <v>2</v>
      </c>
      <c r="K1548" s="5" t="s">
        <v>2</v>
      </c>
      <c r="L1548" s="6">
        <f>IF(I1548="Cut","",IF(I1548="Your call","(decide)",IF(I1548="Rename",J1548,IF(I1548="Keep",IF(D1548="",E1548,D1548),IF(E1548="(unchanged)",D1548,E1548)))))</f>
      </c>
      <c r="M1548" s="6">
        <f>IF(AND(I1548="Cut",N1548&gt;0,K1548=""),"USED: say what replaces it (Note)",IF(AND(I1548="Rename",J1548=""),"type the new name",IF(AND(L1548&lt;&gt;"",L1548&lt;&gt;"(decide)",COUNTIF($L$2:$L$1680,L1548)&gt;1),"SAME FINAL NAME AS ANOTHER ROW","")))</f>
      </c>
      <c r="N1548" s="6">
        <v>9</v>
      </c>
      <c r="O1548" s="6" t="s">
        <v>2</v>
      </c>
    </row>
    <row r="1549" spans="1:15" x14ac:dyDescent="0.25">
      <c r="A1549">
        <v>1548</v>
      </c>
      <c r="B1549" t="s">
        <v>2014</v>
      </c>
      <c r="C1549" t="s">
        <v>2</v>
      </c>
      <c r="D1549" t="s">
        <v>2024</v>
      </c>
      <c r="E1549" t="s">
        <v>292</v>
      </c>
      <c r="F1549" t="s">
        <v>2</v>
      </c>
      <c r="G1549" t="s">
        <v>38</v>
      </c>
      <c r="H1549" t="s">
        <v>39</v>
      </c>
      <c r="I1549" s="5" t="s">
        <v>294</v>
      </c>
      <c r="J1549" s="5" t="s">
        <v>2</v>
      </c>
      <c r="K1549" s="5" t="s">
        <v>2</v>
      </c>
      <c r="L1549" s="6">
        <f>IF(I1549="Cut","",IF(I1549="Your call","(decide)",IF(I1549="Rename",J1549,IF(I1549="Keep",IF(D1549="",E1549,D1549),IF(E1549="(unchanged)",D1549,E1549)))))</f>
      </c>
      <c r="M1549" s="6">
        <f>IF(AND(I1549="Cut",N1549&gt;0,K1549=""),"USED: say what replaces it (Note)",IF(AND(I1549="Rename",J1549=""),"type the new name",IF(AND(L1549&lt;&gt;"",L1549&lt;&gt;"(decide)",COUNTIF($L$2:$L$1680,L1549)&gt;1),"SAME FINAL NAME AS ANOTHER ROW","")))</f>
      </c>
      <c r="N1549" s="6">
        <v>0</v>
      </c>
      <c r="O1549" s="6" t="s">
        <v>2</v>
      </c>
    </row>
    <row r="1550" spans="1:15" x14ac:dyDescent="0.25">
      <c r="A1550">
        <v>1549</v>
      </c>
      <c r="B1550" t="s">
        <v>2014</v>
      </c>
      <c r="C1550" t="s">
        <v>2</v>
      </c>
      <c r="D1550" t="s">
        <v>2025</v>
      </c>
      <c r="E1550" t="s">
        <v>292</v>
      </c>
      <c r="F1550" t="s">
        <v>2</v>
      </c>
      <c r="G1550" t="s">
        <v>38</v>
      </c>
      <c r="H1550" t="s">
        <v>39</v>
      </c>
      <c r="I1550" s="5" t="s">
        <v>294</v>
      </c>
      <c r="J1550" s="5" t="s">
        <v>2</v>
      </c>
      <c r="K1550" s="5" t="s">
        <v>2</v>
      </c>
      <c r="L1550" s="6">
        <f>IF(I1550="Cut","",IF(I1550="Your call","(decide)",IF(I1550="Rename",J1550,IF(I1550="Keep",IF(D1550="",E1550,D1550),IF(E1550="(unchanged)",D1550,E1550)))))</f>
      </c>
      <c r="M1550" s="6">
        <f>IF(AND(I1550="Cut",N1550&gt;0,K1550=""),"USED: say what replaces it (Note)",IF(AND(I1550="Rename",J1550=""),"type the new name",IF(AND(L1550&lt;&gt;"",L1550&lt;&gt;"(decide)",COUNTIF($L$2:$L$1680,L1550)&gt;1),"SAME FINAL NAME AS ANOTHER ROW","")))</f>
      </c>
      <c r="N1550" s="6">
        <v>0</v>
      </c>
      <c r="O1550" s="6" t="s">
        <v>2</v>
      </c>
    </row>
    <row r="1551" spans="1:15" x14ac:dyDescent="0.25">
      <c r="A1551">
        <v>1550</v>
      </c>
      <c r="B1551" t="s">
        <v>2014</v>
      </c>
      <c r="C1551" t="s">
        <v>2</v>
      </c>
      <c r="D1551" t="s">
        <v>2026</v>
      </c>
      <c r="E1551" t="s">
        <v>292</v>
      </c>
      <c r="F1551" t="s">
        <v>2</v>
      </c>
      <c r="G1551" t="s">
        <v>48</v>
      </c>
      <c r="H1551" t="s">
        <v>39</v>
      </c>
      <c r="I1551" s="5" t="s">
        <v>294</v>
      </c>
      <c r="J1551" s="5" t="s">
        <v>2</v>
      </c>
      <c r="K1551" s="5" t="s">
        <v>2</v>
      </c>
      <c r="L1551" s="6">
        <f>IF(I1551="Cut","",IF(I1551="Your call","(decide)",IF(I1551="Rename",J1551,IF(I1551="Keep",IF(D1551="",E1551,D1551),IF(E1551="(unchanged)",D1551,E1551)))))</f>
      </c>
      <c r="M1551" s="6">
        <f>IF(AND(I1551="Cut",N1551&gt;0,K1551=""),"USED: say what replaces it (Note)",IF(AND(I1551="Rename",J1551=""),"type the new name",IF(AND(L1551&lt;&gt;"",L1551&lt;&gt;"(decide)",COUNTIF($L$2:$L$1680,L1551)&gt;1),"SAME FINAL NAME AS ANOTHER ROW","")))</f>
      </c>
      <c r="N1551" s="6">
        <v>2</v>
      </c>
      <c r="O1551" s="6" t="s">
        <v>2</v>
      </c>
    </row>
    <row r="1552" spans="1:15" x14ac:dyDescent="0.25">
      <c r="A1552">
        <v>1551</v>
      </c>
      <c r="B1552" t="s">
        <v>2014</v>
      </c>
      <c r="C1552" t="s">
        <v>2</v>
      </c>
      <c r="D1552" t="s">
        <v>2027</v>
      </c>
      <c r="E1552" t="s">
        <v>292</v>
      </c>
      <c r="F1552" t="s">
        <v>2</v>
      </c>
      <c r="G1552" t="s">
        <v>38</v>
      </c>
      <c r="H1552" t="s">
        <v>39</v>
      </c>
      <c r="I1552" s="5" t="s">
        <v>294</v>
      </c>
      <c r="J1552" s="5" t="s">
        <v>2</v>
      </c>
      <c r="K1552" s="5" t="s">
        <v>2</v>
      </c>
      <c r="L1552" s="6">
        <f>IF(I1552="Cut","",IF(I1552="Your call","(decide)",IF(I1552="Rename",J1552,IF(I1552="Keep",IF(D1552="",E1552,D1552),IF(E1552="(unchanged)",D1552,E1552)))))</f>
      </c>
      <c r="M1552" s="6">
        <f>IF(AND(I1552="Cut",N1552&gt;0,K1552=""),"USED: say what replaces it (Note)",IF(AND(I1552="Rename",J1552=""),"type the new name",IF(AND(L1552&lt;&gt;"",L1552&lt;&gt;"(decide)",COUNTIF($L$2:$L$1680,L1552)&gt;1),"SAME FINAL NAME AS ANOTHER ROW","")))</f>
      </c>
      <c r="N1552" s="6">
        <v>0</v>
      </c>
      <c r="O1552" s="6" t="s">
        <v>2</v>
      </c>
    </row>
    <row r="1553" spans="1:15" x14ac:dyDescent="0.25">
      <c r="A1553">
        <v>1552</v>
      </c>
      <c r="B1553" t="s">
        <v>2014</v>
      </c>
      <c r="C1553" t="s">
        <v>2</v>
      </c>
      <c r="D1553" t="s">
        <v>2028</v>
      </c>
      <c r="E1553" t="s">
        <v>292</v>
      </c>
      <c r="F1553" t="s">
        <v>2</v>
      </c>
      <c r="G1553" t="s">
        <v>38</v>
      </c>
      <c r="H1553" t="s">
        <v>39</v>
      </c>
      <c r="I1553" s="5" t="s">
        <v>294</v>
      </c>
      <c r="J1553" s="5" t="s">
        <v>2</v>
      </c>
      <c r="K1553" s="5" t="s">
        <v>2</v>
      </c>
      <c r="L1553" s="6">
        <f>IF(I1553="Cut","",IF(I1553="Your call","(decide)",IF(I1553="Rename",J1553,IF(I1553="Keep",IF(D1553="",E1553,D1553),IF(E1553="(unchanged)",D1553,E1553)))))</f>
      </c>
      <c r="M1553" s="6">
        <f>IF(AND(I1553="Cut",N1553&gt;0,K1553=""),"USED: say what replaces it (Note)",IF(AND(I1553="Rename",J1553=""),"type the new name",IF(AND(L1553&lt;&gt;"",L1553&lt;&gt;"(decide)",COUNTIF($L$2:$L$1680,L1553)&gt;1),"SAME FINAL NAME AS ANOTHER ROW","")))</f>
      </c>
      <c r="N1553" s="6">
        <v>0</v>
      </c>
      <c r="O1553" s="6" t="s">
        <v>2</v>
      </c>
    </row>
    <row r="1554" spans="1:15" x14ac:dyDescent="0.25">
      <c r="A1554">
        <v>1553</v>
      </c>
      <c r="B1554" t="s">
        <v>2014</v>
      </c>
      <c r="C1554" t="s">
        <v>2</v>
      </c>
      <c r="D1554" t="s">
        <v>2029</v>
      </c>
      <c r="E1554" t="s">
        <v>292</v>
      </c>
      <c r="F1554" t="s">
        <v>2</v>
      </c>
      <c r="G1554" t="s">
        <v>38</v>
      </c>
      <c r="H1554" t="s">
        <v>39</v>
      </c>
      <c r="I1554" s="5" t="s">
        <v>294</v>
      </c>
      <c r="J1554" s="5" t="s">
        <v>2</v>
      </c>
      <c r="K1554" s="5" t="s">
        <v>2</v>
      </c>
      <c r="L1554" s="6">
        <f>IF(I1554="Cut","",IF(I1554="Your call","(decide)",IF(I1554="Rename",J1554,IF(I1554="Keep",IF(D1554="",E1554,D1554),IF(E1554="(unchanged)",D1554,E1554)))))</f>
      </c>
      <c r="M1554" s="6">
        <f>IF(AND(I1554="Cut",N1554&gt;0,K1554=""),"USED: say what replaces it (Note)",IF(AND(I1554="Rename",J1554=""),"type the new name",IF(AND(L1554&lt;&gt;"",L1554&lt;&gt;"(decide)",COUNTIF($L$2:$L$1680,L1554)&gt;1),"SAME FINAL NAME AS ANOTHER ROW","")))</f>
      </c>
      <c r="N1554" s="6">
        <v>0</v>
      </c>
      <c r="O1554" s="6" t="s">
        <v>2</v>
      </c>
    </row>
    <row r="1555" spans="1:15" x14ac:dyDescent="0.25">
      <c r="A1555">
        <v>1554</v>
      </c>
      <c r="B1555" t="s">
        <v>2014</v>
      </c>
      <c r="C1555" t="s">
        <v>2</v>
      </c>
      <c r="D1555" t="s">
        <v>2030</v>
      </c>
      <c r="E1555" t="s">
        <v>292</v>
      </c>
      <c r="F1555" t="s">
        <v>2</v>
      </c>
      <c r="G1555" t="s">
        <v>38</v>
      </c>
      <c r="H1555" t="s">
        <v>39</v>
      </c>
      <c r="I1555" s="5" t="s">
        <v>294</v>
      </c>
      <c r="J1555" s="5" t="s">
        <v>2</v>
      </c>
      <c r="K1555" s="5" t="s">
        <v>2</v>
      </c>
      <c r="L1555" s="6">
        <f>IF(I1555="Cut","",IF(I1555="Your call","(decide)",IF(I1555="Rename",J1555,IF(I1555="Keep",IF(D1555="",E1555,D1555),IF(E1555="(unchanged)",D1555,E1555)))))</f>
      </c>
      <c r="M1555" s="6">
        <f>IF(AND(I1555="Cut",N1555&gt;0,K1555=""),"USED: say what replaces it (Note)",IF(AND(I1555="Rename",J1555=""),"type the new name",IF(AND(L1555&lt;&gt;"",L1555&lt;&gt;"(decide)",COUNTIF($L$2:$L$1680,L1555)&gt;1),"SAME FINAL NAME AS ANOTHER ROW","")))</f>
      </c>
      <c r="N1555" s="6">
        <v>0</v>
      </c>
      <c r="O1555" s="6" t="s">
        <v>2</v>
      </c>
    </row>
    <row r="1556" spans="1:15" x14ac:dyDescent="0.25">
      <c r="A1556">
        <v>1555</v>
      </c>
      <c r="B1556" t="s">
        <v>289</v>
      </c>
      <c r="C1556" t="s">
        <v>290</v>
      </c>
      <c r="D1556" t="s">
        <v>2</v>
      </c>
      <c r="E1556" t="s">
        <v>2031</v>
      </c>
      <c r="F1556" t="s">
        <v>2032</v>
      </c>
      <c r="G1556" t="s">
        <v>38</v>
      </c>
      <c r="H1556" t="s">
        <v>2033</v>
      </c>
      <c r="I1556" s="5" t="s">
        <v>2034</v>
      </c>
      <c r="J1556" s="5" t="s">
        <v>2</v>
      </c>
      <c r="K1556" s="5" t="s">
        <v>2</v>
      </c>
      <c r="L1556" s="6">
        <f>IF(I1556="Cut","",IF(I1556="Your call","(decide)",IF(I1556="Rename",J1556,IF(I1556="Keep",IF(D1556="",E1556,D1556),IF(E1556="(unchanged)",D1556,E1556)))))</f>
      </c>
      <c r="M1556" s="6">
        <f>IF(AND(I1556="Cut",N1556&gt;0,K1556=""),"USED: say what replaces it (Note)",IF(AND(I1556="Rename",J1556=""),"type the new name",IF(AND(L1556&lt;&gt;"",L1556&lt;&gt;"(decide)",COUNTIF($L$2:$L$1680,L1556)&gt;1),"SAME FINAL NAME AS ANOTHER ROW","")))</f>
      </c>
      <c r="N1556" s="6">
        <v>0</v>
      </c>
      <c r="O1556" s="6" t="s">
        <v>2</v>
      </c>
    </row>
    <row r="1557" spans="1:15" x14ac:dyDescent="0.25">
      <c r="A1557">
        <v>1556</v>
      </c>
      <c r="B1557" t="s">
        <v>289</v>
      </c>
      <c r="C1557" t="s">
        <v>303</v>
      </c>
      <c r="D1557" t="s">
        <v>2</v>
      </c>
      <c r="E1557" t="s">
        <v>2035</v>
      </c>
      <c r="F1557" t="s">
        <v>2032</v>
      </c>
      <c r="G1557" t="s">
        <v>38</v>
      </c>
      <c r="H1557" t="s">
        <v>2033</v>
      </c>
      <c r="I1557" s="5" t="s">
        <v>2034</v>
      </c>
      <c r="J1557" s="5" t="s">
        <v>2</v>
      </c>
      <c r="K1557" s="5" t="s">
        <v>2</v>
      </c>
      <c r="L1557" s="6">
        <f>IF(I1557="Cut","",IF(I1557="Your call","(decide)",IF(I1557="Rename",J1557,IF(I1557="Keep",IF(D1557="",E1557,D1557),IF(E1557="(unchanged)",D1557,E1557)))))</f>
      </c>
      <c r="M1557" s="6">
        <f>IF(AND(I1557="Cut",N1557&gt;0,K1557=""),"USED: say what replaces it (Note)",IF(AND(I1557="Rename",J1557=""),"type the new name",IF(AND(L1557&lt;&gt;"",L1557&lt;&gt;"(decide)",COUNTIF($L$2:$L$1680,L1557)&gt;1),"SAME FINAL NAME AS ANOTHER ROW","")))</f>
      </c>
      <c r="N1557" s="6">
        <v>0</v>
      </c>
      <c r="O1557" s="6" t="s">
        <v>2</v>
      </c>
    </row>
    <row r="1558" spans="1:15" x14ac:dyDescent="0.25">
      <c r="A1558">
        <v>1557</v>
      </c>
      <c r="B1558" t="s">
        <v>353</v>
      </c>
      <c r="C1558" t="s">
        <v>2036</v>
      </c>
      <c r="D1558" t="s">
        <v>2</v>
      </c>
      <c r="E1558" t="s">
        <v>2037</v>
      </c>
      <c r="F1558" t="s">
        <v>2032</v>
      </c>
      <c r="G1558" t="s">
        <v>38</v>
      </c>
      <c r="H1558" t="s">
        <v>2033</v>
      </c>
      <c r="I1558" s="5" t="s">
        <v>2034</v>
      </c>
      <c r="J1558" s="5" t="s">
        <v>2</v>
      </c>
      <c r="K1558" s="5" t="s">
        <v>2</v>
      </c>
      <c r="L1558" s="6">
        <f>IF(I1558="Cut","",IF(I1558="Your call","(decide)",IF(I1558="Rename",J1558,IF(I1558="Keep",IF(D1558="",E1558,D1558),IF(E1558="(unchanged)",D1558,E1558)))))</f>
      </c>
      <c r="M1558" s="6">
        <f>IF(AND(I1558="Cut",N1558&gt;0,K1558=""),"USED: say what replaces it (Note)",IF(AND(I1558="Rename",J1558=""),"type the new name",IF(AND(L1558&lt;&gt;"",L1558&lt;&gt;"(decide)",COUNTIF($L$2:$L$1680,L1558)&gt;1),"SAME FINAL NAME AS ANOTHER ROW","")))</f>
      </c>
      <c r="N1558" s="6">
        <v>0</v>
      </c>
      <c r="O1558" s="6" t="s">
        <v>2</v>
      </c>
    </row>
    <row r="1559" spans="1:15" x14ac:dyDescent="0.25">
      <c r="A1559">
        <v>1558</v>
      </c>
      <c r="B1559" t="s">
        <v>353</v>
      </c>
      <c r="C1559" t="s">
        <v>2038</v>
      </c>
      <c r="D1559" t="s">
        <v>2</v>
      </c>
      <c r="E1559" t="s">
        <v>2039</v>
      </c>
      <c r="F1559" t="s">
        <v>2032</v>
      </c>
      <c r="G1559" t="s">
        <v>38</v>
      </c>
      <c r="H1559" t="s">
        <v>2033</v>
      </c>
      <c r="I1559" s="5" t="s">
        <v>2034</v>
      </c>
      <c r="J1559" s="5" t="s">
        <v>2</v>
      </c>
      <c r="K1559" s="5" t="s">
        <v>2</v>
      </c>
      <c r="L1559" s="6">
        <f>IF(I1559="Cut","",IF(I1559="Your call","(decide)",IF(I1559="Rename",J1559,IF(I1559="Keep",IF(D1559="",E1559,D1559),IF(E1559="(unchanged)",D1559,E1559)))))</f>
      </c>
      <c r="M1559" s="6">
        <f>IF(AND(I1559="Cut",N1559&gt;0,K1559=""),"USED: say what replaces it (Note)",IF(AND(I1559="Rename",J1559=""),"type the new name",IF(AND(L1559&lt;&gt;"",L1559&lt;&gt;"(decide)",COUNTIF($L$2:$L$1680,L1559)&gt;1),"SAME FINAL NAME AS ANOTHER ROW","")))</f>
      </c>
      <c r="N1559" s="6">
        <v>0</v>
      </c>
      <c r="O1559" s="6" t="s">
        <v>2</v>
      </c>
    </row>
    <row r="1560" spans="1:15" x14ac:dyDescent="0.25">
      <c r="A1560">
        <v>1559</v>
      </c>
      <c r="B1560" t="s">
        <v>353</v>
      </c>
      <c r="C1560" t="s">
        <v>2</v>
      </c>
      <c r="D1560" t="s">
        <v>2</v>
      </c>
      <c r="E1560" t="s">
        <v>2040</v>
      </c>
      <c r="F1560" t="s">
        <v>2032</v>
      </c>
      <c r="G1560" t="s">
        <v>38</v>
      </c>
      <c r="H1560" t="s">
        <v>2033</v>
      </c>
      <c r="I1560" s="5" t="s">
        <v>2034</v>
      </c>
      <c r="J1560" s="5" t="s">
        <v>2</v>
      </c>
      <c r="K1560" s="5" t="s">
        <v>2</v>
      </c>
      <c r="L1560" s="6">
        <f>IF(I1560="Cut","",IF(I1560="Your call","(decide)",IF(I1560="Rename",J1560,IF(I1560="Keep",IF(D1560="",E1560,D1560),IF(E1560="(unchanged)",D1560,E1560)))))</f>
      </c>
      <c r="M1560" s="6">
        <f>IF(AND(I1560="Cut",N1560&gt;0,K1560=""),"USED: say what replaces it (Note)",IF(AND(I1560="Rename",J1560=""),"type the new name",IF(AND(L1560&lt;&gt;"",L1560&lt;&gt;"(decide)",COUNTIF($L$2:$L$1680,L1560)&gt;1),"SAME FINAL NAME AS ANOTHER ROW","")))</f>
      </c>
      <c r="N1560" s="6">
        <v>0</v>
      </c>
      <c r="O1560" s="6" t="s">
        <v>2</v>
      </c>
    </row>
    <row r="1561" spans="1:15" x14ac:dyDescent="0.25">
      <c r="A1561">
        <v>1560</v>
      </c>
      <c r="B1561" t="s">
        <v>2041</v>
      </c>
      <c r="C1561" t="s">
        <v>2</v>
      </c>
      <c r="D1561" t="s">
        <v>2</v>
      </c>
      <c r="E1561" t="s">
        <v>2042</v>
      </c>
      <c r="F1561" t="s">
        <v>2032</v>
      </c>
      <c r="G1561" t="s">
        <v>38</v>
      </c>
      <c r="H1561" t="s">
        <v>2033</v>
      </c>
      <c r="I1561" s="5" t="s">
        <v>2034</v>
      </c>
      <c r="J1561" s="5" t="s">
        <v>2</v>
      </c>
      <c r="K1561" s="5" t="s">
        <v>2</v>
      </c>
      <c r="L1561" s="6">
        <f>IF(I1561="Cut","",IF(I1561="Your call","(decide)",IF(I1561="Rename",J1561,IF(I1561="Keep",IF(D1561="",E1561,D1561),IF(E1561="(unchanged)",D1561,E1561)))))</f>
      </c>
      <c r="M1561" s="6">
        <f>IF(AND(I1561="Cut",N1561&gt;0,K1561=""),"USED: say what replaces it (Note)",IF(AND(I1561="Rename",J1561=""),"type the new name",IF(AND(L1561&lt;&gt;"",L1561&lt;&gt;"(decide)",COUNTIF($L$2:$L$1680,L1561)&gt;1),"SAME FINAL NAME AS ANOTHER ROW","")))</f>
      </c>
      <c r="N1561" s="6">
        <v>0</v>
      </c>
      <c r="O1561" s="6" t="s">
        <v>2</v>
      </c>
    </row>
    <row r="1562" spans="1:15" x14ac:dyDescent="0.25">
      <c r="A1562">
        <v>1561</v>
      </c>
      <c r="B1562" t="s">
        <v>2041</v>
      </c>
      <c r="C1562" t="s">
        <v>2</v>
      </c>
      <c r="D1562" t="s">
        <v>2</v>
      </c>
      <c r="E1562" t="s">
        <v>2043</v>
      </c>
      <c r="F1562" t="s">
        <v>2032</v>
      </c>
      <c r="G1562" t="s">
        <v>38</v>
      </c>
      <c r="H1562" t="s">
        <v>2033</v>
      </c>
      <c r="I1562" s="5" t="s">
        <v>2034</v>
      </c>
      <c r="J1562" s="5" t="s">
        <v>2</v>
      </c>
      <c r="K1562" s="5" t="s">
        <v>2</v>
      </c>
      <c r="L1562" s="6">
        <f>IF(I1562="Cut","",IF(I1562="Your call","(decide)",IF(I1562="Rename",J1562,IF(I1562="Keep",IF(D1562="",E1562,D1562),IF(E1562="(unchanged)",D1562,E1562)))))</f>
      </c>
      <c r="M1562" s="6">
        <f>IF(AND(I1562="Cut",N1562&gt;0,K1562=""),"USED: say what replaces it (Note)",IF(AND(I1562="Rename",J1562=""),"type the new name",IF(AND(L1562&lt;&gt;"",L1562&lt;&gt;"(decide)",COUNTIF($L$2:$L$1680,L1562)&gt;1),"SAME FINAL NAME AS ANOTHER ROW","")))</f>
      </c>
      <c r="N1562" s="6">
        <v>0</v>
      </c>
      <c r="O1562" s="6" t="s">
        <v>2</v>
      </c>
    </row>
    <row r="1563" spans="1:15" x14ac:dyDescent="0.25">
      <c r="A1563">
        <v>1562</v>
      </c>
      <c r="B1563" t="s">
        <v>2041</v>
      </c>
      <c r="C1563" t="s">
        <v>2</v>
      </c>
      <c r="D1563" t="s">
        <v>2</v>
      </c>
      <c r="E1563" t="s">
        <v>2044</v>
      </c>
      <c r="F1563" t="s">
        <v>2032</v>
      </c>
      <c r="G1563" t="s">
        <v>38</v>
      </c>
      <c r="H1563" t="s">
        <v>2033</v>
      </c>
      <c r="I1563" s="5" t="s">
        <v>2034</v>
      </c>
      <c r="J1563" s="5" t="s">
        <v>2</v>
      </c>
      <c r="K1563" s="5" t="s">
        <v>2</v>
      </c>
      <c r="L1563" s="6">
        <f>IF(I1563="Cut","",IF(I1563="Your call","(decide)",IF(I1563="Rename",J1563,IF(I1563="Keep",IF(D1563="",E1563,D1563),IF(E1563="(unchanged)",D1563,E1563)))))</f>
      </c>
      <c r="M1563" s="6">
        <f>IF(AND(I1563="Cut",N1563&gt;0,K1563=""),"USED: say what replaces it (Note)",IF(AND(I1563="Rename",J1563=""),"type the new name",IF(AND(L1563&lt;&gt;"",L1563&lt;&gt;"(decide)",COUNTIF($L$2:$L$1680,L1563)&gt;1),"SAME FINAL NAME AS ANOTHER ROW","")))</f>
      </c>
      <c r="N1563" s="6">
        <v>0</v>
      </c>
      <c r="O1563" s="6" t="s">
        <v>2</v>
      </c>
    </row>
    <row r="1564" spans="1:15" x14ac:dyDescent="0.25">
      <c r="A1564">
        <v>1563</v>
      </c>
      <c r="B1564" t="s">
        <v>2041</v>
      </c>
      <c r="C1564" t="s">
        <v>2</v>
      </c>
      <c r="D1564" t="s">
        <v>2</v>
      </c>
      <c r="E1564" t="s">
        <v>2045</v>
      </c>
      <c r="F1564" t="s">
        <v>2032</v>
      </c>
      <c r="G1564" t="s">
        <v>38</v>
      </c>
      <c r="H1564" t="s">
        <v>2033</v>
      </c>
      <c r="I1564" s="5" t="s">
        <v>2034</v>
      </c>
      <c r="J1564" s="5" t="s">
        <v>2</v>
      </c>
      <c r="K1564" s="5" t="s">
        <v>2</v>
      </c>
      <c r="L1564" s="6">
        <f>IF(I1564="Cut","",IF(I1564="Your call","(decide)",IF(I1564="Rename",J1564,IF(I1564="Keep",IF(D1564="",E1564,D1564),IF(E1564="(unchanged)",D1564,E1564)))))</f>
      </c>
      <c r="M1564" s="6">
        <f>IF(AND(I1564="Cut",N1564&gt;0,K1564=""),"USED: say what replaces it (Note)",IF(AND(I1564="Rename",J1564=""),"type the new name",IF(AND(L1564&lt;&gt;"",L1564&lt;&gt;"(decide)",COUNTIF($L$2:$L$1680,L1564)&gt;1),"SAME FINAL NAME AS ANOTHER ROW","")))</f>
      </c>
      <c r="N1564" s="6">
        <v>0</v>
      </c>
      <c r="O1564" s="6" t="s">
        <v>2</v>
      </c>
    </row>
    <row r="1565" spans="1:15" x14ac:dyDescent="0.25">
      <c r="A1565">
        <v>1564</v>
      </c>
      <c r="B1565" t="s">
        <v>2041</v>
      </c>
      <c r="C1565" t="s">
        <v>2</v>
      </c>
      <c r="D1565" t="s">
        <v>2</v>
      </c>
      <c r="E1565" t="s">
        <v>2046</v>
      </c>
      <c r="F1565" t="s">
        <v>2032</v>
      </c>
      <c r="G1565" t="s">
        <v>38</v>
      </c>
      <c r="H1565" t="s">
        <v>2033</v>
      </c>
      <c r="I1565" s="5" t="s">
        <v>2034</v>
      </c>
      <c r="J1565" s="5" t="s">
        <v>2</v>
      </c>
      <c r="K1565" s="5" t="s">
        <v>2</v>
      </c>
      <c r="L1565" s="6">
        <f>IF(I1565="Cut","",IF(I1565="Your call","(decide)",IF(I1565="Rename",J1565,IF(I1565="Keep",IF(D1565="",E1565,D1565),IF(E1565="(unchanged)",D1565,E1565)))))</f>
      </c>
      <c r="M1565" s="6">
        <f>IF(AND(I1565="Cut",N1565&gt;0,K1565=""),"USED: say what replaces it (Note)",IF(AND(I1565="Rename",J1565=""),"type the new name",IF(AND(L1565&lt;&gt;"",L1565&lt;&gt;"(decide)",COUNTIF($L$2:$L$1680,L1565)&gt;1),"SAME FINAL NAME AS ANOTHER ROW","")))</f>
      </c>
      <c r="N1565" s="6">
        <v>0</v>
      </c>
      <c r="O1565" s="6" t="s">
        <v>2</v>
      </c>
    </row>
    <row r="1566" spans="1:15" x14ac:dyDescent="0.25">
      <c r="A1566">
        <v>1565</v>
      </c>
      <c r="B1566" t="s">
        <v>2041</v>
      </c>
      <c r="C1566" t="s">
        <v>2</v>
      </c>
      <c r="D1566" t="s">
        <v>2</v>
      </c>
      <c r="E1566" t="s">
        <v>2047</v>
      </c>
      <c r="F1566" t="s">
        <v>2032</v>
      </c>
      <c r="G1566" t="s">
        <v>38</v>
      </c>
      <c r="H1566" t="s">
        <v>2033</v>
      </c>
      <c r="I1566" s="5" t="s">
        <v>2034</v>
      </c>
      <c r="J1566" s="5" t="s">
        <v>2</v>
      </c>
      <c r="K1566" s="5" t="s">
        <v>2</v>
      </c>
      <c r="L1566" s="6">
        <f>IF(I1566="Cut","",IF(I1566="Your call","(decide)",IF(I1566="Rename",J1566,IF(I1566="Keep",IF(D1566="",E1566,D1566),IF(E1566="(unchanged)",D1566,E1566)))))</f>
      </c>
      <c r="M1566" s="6">
        <f>IF(AND(I1566="Cut",N1566&gt;0,K1566=""),"USED: say what replaces it (Note)",IF(AND(I1566="Rename",J1566=""),"type the new name",IF(AND(L1566&lt;&gt;"",L1566&lt;&gt;"(decide)",COUNTIF($L$2:$L$1680,L1566)&gt;1),"SAME FINAL NAME AS ANOTHER ROW","")))</f>
      </c>
      <c r="N1566" s="6">
        <v>0</v>
      </c>
      <c r="O1566" s="6" t="s">
        <v>2</v>
      </c>
    </row>
    <row r="1567" spans="1:15" x14ac:dyDescent="0.25">
      <c r="A1567">
        <v>1566</v>
      </c>
      <c r="B1567" t="s">
        <v>2041</v>
      </c>
      <c r="C1567" t="s">
        <v>2</v>
      </c>
      <c r="D1567" t="s">
        <v>2</v>
      </c>
      <c r="E1567" t="s">
        <v>2048</v>
      </c>
      <c r="F1567" t="s">
        <v>2032</v>
      </c>
      <c r="G1567" t="s">
        <v>38</v>
      </c>
      <c r="H1567" t="s">
        <v>2033</v>
      </c>
      <c r="I1567" s="5" t="s">
        <v>2034</v>
      </c>
      <c r="J1567" s="5" t="s">
        <v>2</v>
      </c>
      <c r="K1567" s="5" t="s">
        <v>2</v>
      </c>
      <c r="L1567" s="6">
        <f>IF(I1567="Cut","",IF(I1567="Your call","(decide)",IF(I1567="Rename",J1567,IF(I1567="Keep",IF(D1567="",E1567,D1567),IF(E1567="(unchanged)",D1567,E1567)))))</f>
      </c>
      <c r="M1567" s="6">
        <f>IF(AND(I1567="Cut",N1567&gt;0,K1567=""),"USED: say what replaces it (Note)",IF(AND(I1567="Rename",J1567=""),"type the new name",IF(AND(L1567&lt;&gt;"",L1567&lt;&gt;"(decide)",COUNTIF($L$2:$L$1680,L1567)&gt;1),"SAME FINAL NAME AS ANOTHER ROW","")))</f>
      </c>
      <c r="N1567" s="6">
        <v>0</v>
      </c>
      <c r="O1567" s="6" t="s">
        <v>2</v>
      </c>
    </row>
    <row r="1568" spans="1:15" x14ac:dyDescent="0.25">
      <c r="A1568">
        <v>1567</v>
      </c>
      <c r="B1568" t="s">
        <v>2041</v>
      </c>
      <c r="C1568" t="s">
        <v>2</v>
      </c>
      <c r="D1568" t="s">
        <v>2</v>
      </c>
      <c r="E1568" t="s">
        <v>2049</v>
      </c>
      <c r="F1568" t="s">
        <v>2032</v>
      </c>
      <c r="G1568" t="s">
        <v>38</v>
      </c>
      <c r="H1568" t="s">
        <v>2033</v>
      </c>
      <c r="I1568" s="5" t="s">
        <v>2034</v>
      </c>
      <c r="J1568" s="5" t="s">
        <v>2</v>
      </c>
      <c r="K1568" s="5" t="s">
        <v>2</v>
      </c>
      <c r="L1568" s="6">
        <f>IF(I1568="Cut","",IF(I1568="Your call","(decide)",IF(I1568="Rename",J1568,IF(I1568="Keep",IF(D1568="",E1568,D1568),IF(E1568="(unchanged)",D1568,E1568)))))</f>
      </c>
      <c r="M1568" s="6">
        <f>IF(AND(I1568="Cut",N1568&gt;0,K1568=""),"USED: say what replaces it (Note)",IF(AND(I1568="Rename",J1568=""),"type the new name",IF(AND(L1568&lt;&gt;"",L1568&lt;&gt;"(decide)",COUNTIF($L$2:$L$1680,L1568)&gt;1),"SAME FINAL NAME AS ANOTHER ROW","")))</f>
      </c>
      <c r="N1568" s="6">
        <v>0</v>
      </c>
      <c r="O1568" s="6" t="s">
        <v>2</v>
      </c>
    </row>
    <row r="1569" spans="1:15" x14ac:dyDescent="0.25">
      <c r="A1569">
        <v>1568</v>
      </c>
      <c r="B1569" t="s">
        <v>2041</v>
      </c>
      <c r="C1569" t="s">
        <v>2</v>
      </c>
      <c r="D1569" t="s">
        <v>2</v>
      </c>
      <c r="E1569" t="s">
        <v>2050</v>
      </c>
      <c r="F1569" t="s">
        <v>2032</v>
      </c>
      <c r="G1569" t="s">
        <v>38</v>
      </c>
      <c r="H1569" t="s">
        <v>2033</v>
      </c>
      <c r="I1569" s="5" t="s">
        <v>2034</v>
      </c>
      <c r="J1569" s="5" t="s">
        <v>2</v>
      </c>
      <c r="K1569" s="5" t="s">
        <v>2</v>
      </c>
      <c r="L1569" s="6">
        <f>IF(I1569="Cut","",IF(I1569="Your call","(decide)",IF(I1569="Rename",J1569,IF(I1569="Keep",IF(D1569="",E1569,D1569),IF(E1569="(unchanged)",D1569,E1569)))))</f>
      </c>
      <c r="M1569" s="6">
        <f>IF(AND(I1569="Cut",N1569&gt;0,K1569=""),"USED: say what replaces it (Note)",IF(AND(I1569="Rename",J1569=""),"type the new name",IF(AND(L1569&lt;&gt;"",L1569&lt;&gt;"(decide)",COUNTIF($L$2:$L$1680,L1569)&gt;1),"SAME FINAL NAME AS ANOTHER ROW","")))</f>
      </c>
      <c r="N1569" s="6">
        <v>0</v>
      </c>
      <c r="O1569" s="6" t="s">
        <v>2</v>
      </c>
    </row>
    <row r="1570" spans="1:15" x14ac:dyDescent="0.25">
      <c r="A1570">
        <v>1569</v>
      </c>
      <c r="B1570" t="s">
        <v>2041</v>
      </c>
      <c r="C1570" t="s">
        <v>2</v>
      </c>
      <c r="D1570" t="s">
        <v>2</v>
      </c>
      <c r="E1570" t="s">
        <v>2051</v>
      </c>
      <c r="F1570" t="s">
        <v>2032</v>
      </c>
      <c r="G1570" t="s">
        <v>38</v>
      </c>
      <c r="H1570" t="s">
        <v>2033</v>
      </c>
      <c r="I1570" s="5" t="s">
        <v>2034</v>
      </c>
      <c r="J1570" s="5" t="s">
        <v>2</v>
      </c>
      <c r="K1570" s="5" t="s">
        <v>2</v>
      </c>
      <c r="L1570" s="6">
        <f>IF(I1570="Cut","",IF(I1570="Your call","(decide)",IF(I1570="Rename",J1570,IF(I1570="Keep",IF(D1570="",E1570,D1570),IF(E1570="(unchanged)",D1570,E1570)))))</f>
      </c>
      <c r="M1570" s="6">
        <f>IF(AND(I1570="Cut",N1570&gt;0,K1570=""),"USED: say what replaces it (Note)",IF(AND(I1570="Rename",J1570=""),"type the new name",IF(AND(L1570&lt;&gt;"",L1570&lt;&gt;"(decide)",COUNTIF($L$2:$L$1680,L1570)&gt;1),"SAME FINAL NAME AS ANOTHER ROW","")))</f>
      </c>
      <c r="N1570" s="6">
        <v>0</v>
      </c>
      <c r="O1570" s="6" t="s">
        <v>2</v>
      </c>
    </row>
    <row r="1571" spans="1:15" x14ac:dyDescent="0.25">
      <c r="A1571">
        <v>1570</v>
      </c>
      <c r="B1571" t="s">
        <v>2041</v>
      </c>
      <c r="C1571" t="s">
        <v>2</v>
      </c>
      <c r="D1571" t="s">
        <v>2</v>
      </c>
      <c r="E1571" t="s">
        <v>2052</v>
      </c>
      <c r="F1571" t="s">
        <v>2032</v>
      </c>
      <c r="G1571" t="s">
        <v>38</v>
      </c>
      <c r="H1571" t="s">
        <v>2033</v>
      </c>
      <c r="I1571" s="5" t="s">
        <v>2034</v>
      </c>
      <c r="J1571" s="5" t="s">
        <v>2</v>
      </c>
      <c r="K1571" s="5" t="s">
        <v>2</v>
      </c>
      <c r="L1571" s="6">
        <f>IF(I1571="Cut","",IF(I1571="Your call","(decide)",IF(I1571="Rename",J1571,IF(I1571="Keep",IF(D1571="",E1571,D1571),IF(E1571="(unchanged)",D1571,E1571)))))</f>
      </c>
      <c r="M1571" s="6">
        <f>IF(AND(I1571="Cut",N1571&gt;0,K1571=""),"USED: say what replaces it (Note)",IF(AND(I1571="Rename",J1571=""),"type the new name",IF(AND(L1571&lt;&gt;"",L1571&lt;&gt;"(decide)",COUNTIF($L$2:$L$1680,L1571)&gt;1),"SAME FINAL NAME AS ANOTHER ROW","")))</f>
      </c>
      <c r="N1571" s="6">
        <v>0</v>
      </c>
      <c r="O1571" s="6" t="s">
        <v>2</v>
      </c>
    </row>
    <row r="1572" spans="1:15" x14ac:dyDescent="0.25">
      <c r="A1572">
        <v>1571</v>
      </c>
      <c r="B1572" t="s">
        <v>2041</v>
      </c>
      <c r="C1572" t="s">
        <v>2</v>
      </c>
      <c r="D1572" t="s">
        <v>2</v>
      </c>
      <c r="E1572" t="s">
        <v>2053</v>
      </c>
      <c r="F1572" t="s">
        <v>2032</v>
      </c>
      <c r="G1572" t="s">
        <v>38</v>
      </c>
      <c r="H1572" t="s">
        <v>2033</v>
      </c>
      <c r="I1572" s="5" t="s">
        <v>2034</v>
      </c>
      <c r="J1572" s="5" t="s">
        <v>2</v>
      </c>
      <c r="K1572" s="5" t="s">
        <v>2</v>
      </c>
      <c r="L1572" s="6">
        <f>IF(I1572="Cut","",IF(I1572="Your call","(decide)",IF(I1572="Rename",J1572,IF(I1572="Keep",IF(D1572="",E1572,D1572),IF(E1572="(unchanged)",D1572,E1572)))))</f>
      </c>
      <c r="M1572" s="6">
        <f>IF(AND(I1572="Cut",N1572&gt;0,K1572=""),"USED: say what replaces it (Note)",IF(AND(I1572="Rename",J1572=""),"type the new name",IF(AND(L1572&lt;&gt;"",L1572&lt;&gt;"(decide)",COUNTIF($L$2:$L$1680,L1572)&gt;1),"SAME FINAL NAME AS ANOTHER ROW","")))</f>
      </c>
      <c r="N1572" s="6">
        <v>0</v>
      </c>
      <c r="O1572" s="6" t="s">
        <v>2</v>
      </c>
    </row>
    <row r="1573" spans="1:15" x14ac:dyDescent="0.25">
      <c r="A1573">
        <v>1572</v>
      </c>
      <c r="B1573" t="s">
        <v>2041</v>
      </c>
      <c r="C1573" t="s">
        <v>2</v>
      </c>
      <c r="D1573" t="s">
        <v>2</v>
      </c>
      <c r="E1573" t="s">
        <v>2054</v>
      </c>
      <c r="F1573" t="s">
        <v>2032</v>
      </c>
      <c r="G1573" t="s">
        <v>38</v>
      </c>
      <c r="H1573" t="s">
        <v>2033</v>
      </c>
      <c r="I1573" s="5" t="s">
        <v>2034</v>
      </c>
      <c r="J1573" s="5" t="s">
        <v>2</v>
      </c>
      <c r="K1573" s="5" t="s">
        <v>2</v>
      </c>
      <c r="L1573" s="6">
        <f>IF(I1573="Cut","",IF(I1573="Your call","(decide)",IF(I1573="Rename",J1573,IF(I1573="Keep",IF(D1573="",E1573,D1573),IF(E1573="(unchanged)",D1573,E1573)))))</f>
      </c>
      <c r="M1573" s="6">
        <f>IF(AND(I1573="Cut",N1573&gt;0,K1573=""),"USED: say what replaces it (Note)",IF(AND(I1573="Rename",J1573=""),"type the new name",IF(AND(L1573&lt;&gt;"",L1573&lt;&gt;"(decide)",COUNTIF($L$2:$L$1680,L1573)&gt;1),"SAME FINAL NAME AS ANOTHER ROW","")))</f>
      </c>
      <c r="N1573" s="6">
        <v>0</v>
      </c>
      <c r="O1573" s="6" t="s">
        <v>2</v>
      </c>
    </row>
    <row r="1574" spans="1:15" x14ac:dyDescent="0.25">
      <c r="A1574">
        <v>1573</v>
      </c>
      <c r="B1574" t="s">
        <v>2041</v>
      </c>
      <c r="C1574" t="s">
        <v>2</v>
      </c>
      <c r="D1574" t="s">
        <v>2</v>
      </c>
      <c r="E1574" t="s">
        <v>2055</v>
      </c>
      <c r="F1574" t="s">
        <v>2032</v>
      </c>
      <c r="G1574" t="s">
        <v>38</v>
      </c>
      <c r="H1574" t="s">
        <v>2033</v>
      </c>
      <c r="I1574" s="5" t="s">
        <v>2034</v>
      </c>
      <c r="J1574" s="5" t="s">
        <v>2</v>
      </c>
      <c r="K1574" s="5" t="s">
        <v>2</v>
      </c>
      <c r="L1574" s="6">
        <f>IF(I1574="Cut","",IF(I1574="Your call","(decide)",IF(I1574="Rename",J1574,IF(I1574="Keep",IF(D1574="",E1574,D1574),IF(E1574="(unchanged)",D1574,E1574)))))</f>
      </c>
      <c r="M1574" s="6">
        <f>IF(AND(I1574="Cut",N1574&gt;0,K1574=""),"USED: say what replaces it (Note)",IF(AND(I1574="Rename",J1574=""),"type the new name",IF(AND(L1574&lt;&gt;"",L1574&lt;&gt;"(decide)",COUNTIF($L$2:$L$1680,L1574)&gt;1),"SAME FINAL NAME AS ANOTHER ROW","")))</f>
      </c>
      <c r="N1574" s="6">
        <v>0</v>
      </c>
      <c r="O1574" s="6" t="s">
        <v>2</v>
      </c>
    </row>
    <row r="1575" spans="1:15" x14ac:dyDescent="0.25">
      <c r="A1575">
        <v>1574</v>
      </c>
      <c r="B1575" t="s">
        <v>2041</v>
      </c>
      <c r="C1575" t="s">
        <v>2</v>
      </c>
      <c r="D1575" t="s">
        <v>2</v>
      </c>
      <c r="E1575" t="s">
        <v>2056</v>
      </c>
      <c r="F1575" t="s">
        <v>2032</v>
      </c>
      <c r="G1575" t="s">
        <v>38</v>
      </c>
      <c r="H1575" t="s">
        <v>2033</v>
      </c>
      <c r="I1575" s="5" t="s">
        <v>2034</v>
      </c>
      <c r="J1575" s="5" t="s">
        <v>2</v>
      </c>
      <c r="K1575" s="5" t="s">
        <v>2</v>
      </c>
      <c r="L1575" s="6">
        <f>IF(I1575="Cut","",IF(I1575="Your call","(decide)",IF(I1575="Rename",J1575,IF(I1575="Keep",IF(D1575="",E1575,D1575),IF(E1575="(unchanged)",D1575,E1575)))))</f>
      </c>
      <c r="M1575" s="6">
        <f>IF(AND(I1575="Cut",N1575&gt;0,K1575=""),"USED: say what replaces it (Note)",IF(AND(I1575="Rename",J1575=""),"type the new name",IF(AND(L1575&lt;&gt;"",L1575&lt;&gt;"(decide)",COUNTIF($L$2:$L$1680,L1575)&gt;1),"SAME FINAL NAME AS ANOTHER ROW","")))</f>
      </c>
      <c r="N1575" s="6">
        <v>0</v>
      </c>
      <c r="O1575" s="6" t="s">
        <v>2</v>
      </c>
    </row>
    <row r="1576" spans="1:15" x14ac:dyDescent="0.25">
      <c r="A1576">
        <v>1575</v>
      </c>
      <c r="B1576" t="s">
        <v>2041</v>
      </c>
      <c r="C1576" t="s">
        <v>2</v>
      </c>
      <c r="D1576" t="s">
        <v>2</v>
      </c>
      <c r="E1576" t="s">
        <v>2057</v>
      </c>
      <c r="F1576" t="s">
        <v>2032</v>
      </c>
      <c r="G1576" t="s">
        <v>38</v>
      </c>
      <c r="H1576" t="s">
        <v>2033</v>
      </c>
      <c r="I1576" s="5" t="s">
        <v>2034</v>
      </c>
      <c r="J1576" s="5" t="s">
        <v>2</v>
      </c>
      <c r="K1576" s="5" t="s">
        <v>2</v>
      </c>
      <c r="L1576" s="6">
        <f>IF(I1576="Cut","",IF(I1576="Your call","(decide)",IF(I1576="Rename",J1576,IF(I1576="Keep",IF(D1576="",E1576,D1576),IF(E1576="(unchanged)",D1576,E1576)))))</f>
      </c>
      <c r="M1576" s="6">
        <f>IF(AND(I1576="Cut",N1576&gt;0,K1576=""),"USED: say what replaces it (Note)",IF(AND(I1576="Rename",J1576=""),"type the new name",IF(AND(L1576&lt;&gt;"",L1576&lt;&gt;"(decide)",COUNTIF($L$2:$L$1680,L1576)&gt;1),"SAME FINAL NAME AS ANOTHER ROW","")))</f>
      </c>
      <c r="N1576" s="6">
        <v>0</v>
      </c>
      <c r="O1576" s="6" t="s">
        <v>2</v>
      </c>
    </row>
    <row r="1577" spans="1:15" x14ac:dyDescent="0.25">
      <c r="A1577">
        <v>1576</v>
      </c>
      <c r="B1577" t="s">
        <v>2041</v>
      </c>
      <c r="C1577" t="s">
        <v>2</v>
      </c>
      <c r="D1577" t="s">
        <v>2</v>
      </c>
      <c r="E1577" t="s">
        <v>2058</v>
      </c>
      <c r="F1577" t="s">
        <v>2032</v>
      </c>
      <c r="G1577" t="s">
        <v>38</v>
      </c>
      <c r="H1577" t="s">
        <v>2033</v>
      </c>
      <c r="I1577" s="5" t="s">
        <v>2034</v>
      </c>
      <c r="J1577" s="5" t="s">
        <v>2</v>
      </c>
      <c r="K1577" s="5" t="s">
        <v>2</v>
      </c>
      <c r="L1577" s="6">
        <f>IF(I1577="Cut","",IF(I1577="Your call","(decide)",IF(I1577="Rename",J1577,IF(I1577="Keep",IF(D1577="",E1577,D1577),IF(E1577="(unchanged)",D1577,E1577)))))</f>
      </c>
      <c r="M1577" s="6">
        <f>IF(AND(I1577="Cut",N1577&gt;0,K1577=""),"USED: say what replaces it (Note)",IF(AND(I1577="Rename",J1577=""),"type the new name",IF(AND(L1577&lt;&gt;"",L1577&lt;&gt;"(decide)",COUNTIF($L$2:$L$1680,L1577)&gt;1),"SAME FINAL NAME AS ANOTHER ROW","")))</f>
      </c>
      <c r="N1577" s="6">
        <v>0</v>
      </c>
      <c r="O1577" s="6" t="s">
        <v>2</v>
      </c>
    </row>
    <row r="1578" spans="1:15" x14ac:dyDescent="0.25">
      <c r="A1578">
        <v>1577</v>
      </c>
      <c r="B1578" t="s">
        <v>2041</v>
      </c>
      <c r="C1578" t="s">
        <v>2</v>
      </c>
      <c r="D1578" t="s">
        <v>2</v>
      </c>
      <c r="E1578" t="s">
        <v>2059</v>
      </c>
      <c r="F1578" t="s">
        <v>2032</v>
      </c>
      <c r="G1578" t="s">
        <v>38</v>
      </c>
      <c r="H1578" t="s">
        <v>2033</v>
      </c>
      <c r="I1578" s="5" t="s">
        <v>2034</v>
      </c>
      <c r="J1578" s="5" t="s">
        <v>2</v>
      </c>
      <c r="K1578" s="5" t="s">
        <v>2</v>
      </c>
      <c r="L1578" s="6">
        <f>IF(I1578="Cut","",IF(I1578="Your call","(decide)",IF(I1578="Rename",J1578,IF(I1578="Keep",IF(D1578="",E1578,D1578),IF(E1578="(unchanged)",D1578,E1578)))))</f>
      </c>
      <c r="M1578" s="6">
        <f>IF(AND(I1578="Cut",N1578&gt;0,K1578=""),"USED: say what replaces it (Note)",IF(AND(I1578="Rename",J1578=""),"type the new name",IF(AND(L1578&lt;&gt;"",L1578&lt;&gt;"(decide)",COUNTIF($L$2:$L$1680,L1578)&gt;1),"SAME FINAL NAME AS ANOTHER ROW","")))</f>
      </c>
      <c r="N1578" s="6">
        <v>0</v>
      </c>
      <c r="O1578" s="6" t="s">
        <v>2</v>
      </c>
    </row>
    <row r="1579" spans="1:15" x14ac:dyDescent="0.25">
      <c r="A1579">
        <v>1578</v>
      </c>
      <c r="B1579" t="s">
        <v>2041</v>
      </c>
      <c r="C1579" t="s">
        <v>2</v>
      </c>
      <c r="D1579" t="s">
        <v>2</v>
      </c>
      <c r="E1579" t="s">
        <v>2060</v>
      </c>
      <c r="F1579" t="s">
        <v>2032</v>
      </c>
      <c r="G1579" t="s">
        <v>38</v>
      </c>
      <c r="H1579" t="s">
        <v>2033</v>
      </c>
      <c r="I1579" s="5" t="s">
        <v>2034</v>
      </c>
      <c r="J1579" s="5" t="s">
        <v>2</v>
      </c>
      <c r="K1579" s="5" t="s">
        <v>2</v>
      </c>
      <c r="L1579" s="6">
        <f>IF(I1579="Cut","",IF(I1579="Your call","(decide)",IF(I1579="Rename",J1579,IF(I1579="Keep",IF(D1579="",E1579,D1579),IF(E1579="(unchanged)",D1579,E1579)))))</f>
      </c>
      <c r="M1579" s="6">
        <f>IF(AND(I1579="Cut",N1579&gt;0,K1579=""),"USED: say what replaces it (Note)",IF(AND(I1579="Rename",J1579=""),"type the new name",IF(AND(L1579&lt;&gt;"",L1579&lt;&gt;"(decide)",COUNTIF($L$2:$L$1680,L1579)&gt;1),"SAME FINAL NAME AS ANOTHER ROW","")))</f>
      </c>
      <c r="N1579" s="6">
        <v>0</v>
      </c>
      <c r="O1579" s="6" t="s">
        <v>2</v>
      </c>
    </row>
    <row r="1580" spans="1:15" x14ac:dyDescent="0.25">
      <c r="A1580">
        <v>1579</v>
      </c>
      <c r="B1580" t="s">
        <v>2041</v>
      </c>
      <c r="C1580" t="s">
        <v>2</v>
      </c>
      <c r="D1580" t="s">
        <v>2</v>
      </c>
      <c r="E1580" t="s">
        <v>2061</v>
      </c>
      <c r="F1580" t="s">
        <v>2032</v>
      </c>
      <c r="G1580" t="s">
        <v>38</v>
      </c>
      <c r="H1580" t="s">
        <v>2033</v>
      </c>
      <c r="I1580" s="5" t="s">
        <v>2034</v>
      </c>
      <c r="J1580" s="5" t="s">
        <v>2</v>
      </c>
      <c r="K1580" s="5" t="s">
        <v>2</v>
      </c>
      <c r="L1580" s="6">
        <f>IF(I1580="Cut","",IF(I1580="Your call","(decide)",IF(I1580="Rename",J1580,IF(I1580="Keep",IF(D1580="",E1580,D1580),IF(E1580="(unchanged)",D1580,E1580)))))</f>
      </c>
      <c r="M1580" s="6">
        <f>IF(AND(I1580="Cut",N1580&gt;0,K1580=""),"USED: say what replaces it (Note)",IF(AND(I1580="Rename",J1580=""),"type the new name",IF(AND(L1580&lt;&gt;"",L1580&lt;&gt;"(decide)",COUNTIF($L$2:$L$1680,L1580)&gt;1),"SAME FINAL NAME AS ANOTHER ROW","")))</f>
      </c>
      <c r="N1580" s="6">
        <v>0</v>
      </c>
      <c r="O1580" s="6" t="s">
        <v>2</v>
      </c>
    </row>
    <row r="1581" spans="1:15" x14ac:dyDescent="0.25">
      <c r="A1581">
        <v>1580</v>
      </c>
      <c r="B1581" t="s">
        <v>2062</v>
      </c>
      <c r="C1581" t="s">
        <v>2</v>
      </c>
      <c r="D1581" t="s">
        <v>2</v>
      </c>
      <c r="E1581" t="s">
        <v>2063</v>
      </c>
      <c r="F1581" t="s">
        <v>2032</v>
      </c>
      <c r="G1581" t="s">
        <v>38</v>
      </c>
      <c r="H1581" t="s">
        <v>2033</v>
      </c>
      <c r="I1581" s="5" t="s">
        <v>2034</v>
      </c>
      <c r="J1581" s="5" t="s">
        <v>2</v>
      </c>
      <c r="K1581" s="5" t="s">
        <v>2</v>
      </c>
      <c r="L1581" s="6">
        <f>IF(I1581="Cut","",IF(I1581="Your call","(decide)",IF(I1581="Rename",J1581,IF(I1581="Keep",IF(D1581="",E1581,D1581),IF(E1581="(unchanged)",D1581,E1581)))))</f>
      </c>
      <c r="M1581" s="6">
        <f>IF(AND(I1581="Cut",N1581&gt;0,K1581=""),"USED: say what replaces it (Note)",IF(AND(I1581="Rename",J1581=""),"type the new name",IF(AND(L1581&lt;&gt;"",L1581&lt;&gt;"(decide)",COUNTIF($L$2:$L$1680,L1581)&gt;1),"SAME FINAL NAME AS ANOTHER ROW","")))</f>
      </c>
      <c r="N1581" s="6">
        <v>0</v>
      </c>
      <c r="O1581" s="6" t="s">
        <v>2</v>
      </c>
    </row>
    <row r="1582" spans="1:15" x14ac:dyDescent="0.25">
      <c r="A1582">
        <v>1581</v>
      </c>
      <c r="B1582" t="s">
        <v>2062</v>
      </c>
      <c r="C1582" t="s">
        <v>2</v>
      </c>
      <c r="D1582" t="s">
        <v>2</v>
      </c>
      <c r="E1582" t="s">
        <v>2064</v>
      </c>
      <c r="F1582" t="s">
        <v>2032</v>
      </c>
      <c r="G1582" t="s">
        <v>38</v>
      </c>
      <c r="H1582" t="s">
        <v>2033</v>
      </c>
      <c r="I1582" s="5" t="s">
        <v>2034</v>
      </c>
      <c r="J1582" s="5" t="s">
        <v>2</v>
      </c>
      <c r="K1582" s="5" t="s">
        <v>2</v>
      </c>
      <c r="L1582" s="6">
        <f>IF(I1582="Cut","",IF(I1582="Your call","(decide)",IF(I1582="Rename",J1582,IF(I1582="Keep",IF(D1582="",E1582,D1582),IF(E1582="(unchanged)",D1582,E1582)))))</f>
      </c>
      <c r="M1582" s="6">
        <f>IF(AND(I1582="Cut",N1582&gt;0,K1582=""),"USED: say what replaces it (Note)",IF(AND(I1582="Rename",J1582=""),"type the new name",IF(AND(L1582&lt;&gt;"",L1582&lt;&gt;"(decide)",COUNTIF($L$2:$L$1680,L1582)&gt;1),"SAME FINAL NAME AS ANOTHER ROW","")))</f>
      </c>
      <c r="N1582" s="6">
        <v>0</v>
      </c>
      <c r="O1582" s="6" t="s">
        <v>2</v>
      </c>
    </row>
    <row r="1583" spans="1:15" x14ac:dyDescent="0.25">
      <c r="A1583">
        <v>1582</v>
      </c>
      <c r="B1583" t="s">
        <v>2062</v>
      </c>
      <c r="C1583" t="s">
        <v>2</v>
      </c>
      <c r="D1583" t="s">
        <v>2</v>
      </c>
      <c r="E1583" t="s">
        <v>2065</v>
      </c>
      <c r="F1583" t="s">
        <v>2032</v>
      </c>
      <c r="G1583" t="s">
        <v>38</v>
      </c>
      <c r="H1583" t="s">
        <v>2033</v>
      </c>
      <c r="I1583" s="5" t="s">
        <v>2034</v>
      </c>
      <c r="J1583" s="5" t="s">
        <v>2</v>
      </c>
      <c r="K1583" s="5" t="s">
        <v>2</v>
      </c>
      <c r="L1583" s="6">
        <f>IF(I1583="Cut","",IF(I1583="Your call","(decide)",IF(I1583="Rename",J1583,IF(I1583="Keep",IF(D1583="",E1583,D1583),IF(E1583="(unchanged)",D1583,E1583)))))</f>
      </c>
      <c r="M1583" s="6">
        <f>IF(AND(I1583="Cut",N1583&gt;0,K1583=""),"USED: say what replaces it (Note)",IF(AND(I1583="Rename",J1583=""),"type the new name",IF(AND(L1583&lt;&gt;"",L1583&lt;&gt;"(decide)",COUNTIF($L$2:$L$1680,L1583)&gt;1),"SAME FINAL NAME AS ANOTHER ROW","")))</f>
      </c>
      <c r="N1583" s="6">
        <v>0</v>
      </c>
      <c r="O1583" s="6" t="s">
        <v>2</v>
      </c>
    </row>
    <row r="1584" spans="1:15" x14ac:dyDescent="0.25">
      <c r="A1584">
        <v>1583</v>
      </c>
      <c r="B1584" t="s">
        <v>2062</v>
      </c>
      <c r="C1584" t="s">
        <v>2</v>
      </c>
      <c r="D1584" t="s">
        <v>2</v>
      </c>
      <c r="E1584" t="s">
        <v>2066</v>
      </c>
      <c r="F1584" t="s">
        <v>2032</v>
      </c>
      <c r="G1584" t="s">
        <v>38</v>
      </c>
      <c r="H1584" t="s">
        <v>2033</v>
      </c>
      <c r="I1584" s="5" t="s">
        <v>2034</v>
      </c>
      <c r="J1584" s="5" t="s">
        <v>2</v>
      </c>
      <c r="K1584" s="5" t="s">
        <v>2</v>
      </c>
      <c r="L1584" s="6">
        <f>IF(I1584="Cut","",IF(I1584="Your call","(decide)",IF(I1584="Rename",J1584,IF(I1584="Keep",IF(D1584="",E1584,D1584),IF(E1584="(unchanged)",D1584,E1584)))))</f>
      </c>
      <c r="M1584" s="6">
        <f>IF(AND(I1584="Cut",N1584&gt;0,K1584=""),"USED: say what replaces it (Note)",IF(AND(I1584="Rename",J1584=""),"type the new name",IF(AND(L1584&lt;&gt;"",L1584&lt;&gt;"(decide)",COUNTIF($L$2:$L$1680,L1584)&gt;1),"SAME FINAL NAME AS ANOTHER ROW","")))</f>
      </c>
      <c r="N1584" s="6">
        <v>0</v>
      </c>
      <c r="O1584" s="6" t="s">
        <v>2</v>
      </c>
    </row>
    <row r="1585" spans="1:15" x14ac:dyDescent="0.25">
      <c r="A1585">
        <v>1584</v>
      </c>
      <c r="B1585" t="s">
        <v>2062</v>
      </c>
      <c r="C1585" t="s">
        <v>2</v>
      </c>
      <c r="D1585" t="s">
        <v>2</v>
      </c>
      <c r="E1585" t="s">
        <v>2067</v>
      </c>
      <c r="F1585" t="s">
        <v>2032</v>
      </c>
      <c r="G1585" t="s">
        <v>38</v>
      </c>
      <c r="H1585" t="s">
        <v>2033</v>
      </c>
      <c r="I1585" s="5" t="s">
        <v>2034</v>
      </c>
      <c r="J1585" s="5" t="s">
        <v>2</v>
      </c>
      <c r="K1585" s="5" t="s">
        <v>2</v>
      </c>
      <c r="L1585" s="6">
        <f>IF(I1585="Cut","",IF(I1585="Your call","(decide)",IF(I1585="Rename",J1585,IF(I1585="Keep",IF(D1585="",E1585,D1585),IF(E1585="(unchanged)",D1585,E1585)))))</f>
      </c>
      <c r="M1585" s="6">
        <f>IF(AND(I1585="Cut",N1585&gt;0,K1585=""),"USED: say what replaces it (Note)",IF(AND(I1585="Rename",J1585=""),"type the new name",IF(AND(L1585&lt;&gt;"",L1585&lt;&gt;"(decide)",COUNTIF($L$2:$L$1680,L1585)&gt;1),"SAME FINAL NAME AS ANOTHER ROW","")))</f>
      </c>
      <c r="N1585" s="6">
        <v>0</v>
      </c>
      <c r="O1585" s="6" t="s">
        <v>2</v>
      </c>
    </row>
    <row r="1586" spans="1:15" x14ac:dyDescent="0.25">
      <c r="A1586">
        <v>1585</v>
      </c>
      <c r="B1586" t="s">
        <v>2062</v>
      </c>
      <c r="C1586" t="s">
        <v>2</v>
      </c>
      <c r="D1586" t="s">
        <v>2</v>
      </c>
      <c r="E1586" t="s">
        <v>2068</v>
      </c>
      <c r="F1586" t="s">
        <v>2032</v>
      </c>
      <c r="G1586" t="s">
        <v>38</v>
      </c>
      <c r="H1586" t="s">
        <v>2033</v>
      </c>
      <c r="I1586" s="5" t="s">
        <v>2034</v>
      </c>
      <c r="J1586" s="5" t="s">
        <v>2</v>
      </c>
      <c r="K1586" s="5" t="s">
        <v>2</v>
      </c>
      <c r="L1586" s="6">
        <f>IF(I1586="Cut","",IF(I1586="Your call","(decide)",IF(I1586="Rename",J1586,IF(I1586="Keep",IF(D1586="",E1586,D1586),IF(E1586="(unchanged)",D1586,E1586)))))</f>
      </c>
      <c r="M1586" s="6">
        <f>IF(AND(I1586="Cut",N1586&gt;0,K1586=""),"USED: say what replaces it (Note)",IF(AND(I1586="Rename",J1586=""),"type the new name",IF(AND(L1586&lt;&gt;"",L1586&lt;&gt;"(decide)",COUNTIF($L$2:$L$1680,L1586)&gt;1),"SAME FINAL NAME AS ANOTHER ROW","")))</f>
      </c>
      <c r="N1586" s="6">
        <v>0</v>
      </c>
      <c r="O1586" s="6" t="s">
        <v>2</v>
      </c>
    </row>
    <row r="1587" spans="1:15" x14ac:dyDescent="0.25">
      <c r="A1587">
        <v>1586</v>
      </c>
      <c r="B1587" t="s">
        <v>2062</v>
      </c>
      <c r="C1587" t="s">
        <v>2</v>
      </c>
      <c r="D1587" t="s">
        <v>2</v>
      </c>
      <c r="E1587" t="s">
        <v>2069</v>
      </c>
      <c r="F1587" t="s">
        <v>2032</v>
      </c>
      <c r="G1587" t="s">
        <v>38</v>
      </c>
      <c r="H1587" t="s">
        <v>2033</v>
      </c>
      <c r="I1587" s="5" t="s">
        <v>2034</v>
      </c>
      <c r="J1587" s="5" t="s">
        <v>2</v>
      </c>
      <c r="K1587" s="5" t="s">
        <v>2</v>
      </c>
      <c r="L1587" s="6">
        <f>IF(I1587="Cut","",IF(I1587="Your call","(decide)",IF(I1587="Rename",J1587,IF(I1587="Keep",IF(D1587="",E1587,D1587),IF(E1587="(unchanged)",D1587,E1587)))))</f>
      </c>
      <c r="M1587" s="6">
        <f>IF(AND(I1587="Cut",N1587&gt;0,K1587=""),"USED: say what replaces it (Note)",IF(AND(I1587="Rename",J1587=""),"type the new name",IF(AND(L1587&lt;&gt;"",L1587&lt;&gt;"(decide)",COUNTIF($L$2:$L$1680,L1587)&gt;1),"SAME FINAL NAME AS ANOTHER ROW","")))</f>
      </c>
      <c r="N1587" s="6">
        <v>0</v>
      </c>
      <c r="O1587" s="6" t="s">
        <v>2</v>
      </c>
    </row>
    <row r="1588" spans="1:15" x14ac:dyDescent="0.25">
      <c r="A1588">
        <v>1587</v>
      </c>
      <c r="B1588" t="s">
        <v>2062</v>
      </c>
      <c r="C1588" t="s">
        <v>2</v>
      </c>
      <c r="D1588" t="s">
        <v>2</v>
      </c>
      <c r="E1588" t="s">
        <v>2070</v>
      </c>
      <c r="F1588" t="s">
        <v>2032</v>
      </c>
      <c r="G1588" t="s">
        <v>38</v>
      </c>
      <c r="H1588" t="s">
        <v>2033</v>
      </c>
      <c r="I1588" s="5" t="s">
        <v>2034</v>
      </c>
      <c r="J1588" s="5" t="s">
        <v>2</v>
      </c>
      <c r="K1588" s="5" t="s">
        <v>2</v>
      </c>
      <c r="L1588" s="6">
        <f>IF(I1588="Cut","",IF(I1588="Your call","(decide)",IF(I1588="Rename",J1588,IF(I1588="Keep",IF(D1588="",E1588,D1588),IF(E1588="(unchanged)",D1588,E1588)))))</f>
      </c>
      <c r="M1588" s="6">
        <f>IF(AND(I1588="Cut",N1588&gt;0,K1588=""),"USED: say what replaces it (Note)",IF(AND(I1588="Rename",J1588=""),"type the new name",IF(AND(L1588&lt;&gt;"",L1588&lt;&gt;"(decide)",COUNTIF($L$2:$L$1680,L1588)&gt;1),"SAME FINAL NAME AS ANOTHER ROW","")))</f>
      </c>
      <c r="N1588" s="6">
        <v>0</v>
      </c>
      <c r="O1588" s="6" t="s">
        <v>2</v>
      </c>
    </row>
    <row r="1589" spans="1:15" x14ac:dyDescent="0.25">
      <c r="A1589">
        <v>1588</v>
      </c>
      <c r="B1589" t="s">
        <v>2062</v>
      </c>
      <c r="C1589" t="s">
        <v>2</v>
      </c>
      <c r="D1589" t="s">
        <v>2</v>
      </c>
      <c r="E1589" t="s">
        <v>2071</v>
      </c>
      <c r="F1589" t="s">
        <v>2032</v>
      </c>
      <c r="G1589" t="s">
        <v>38</v>
      </c>
      <c r="H1589" t="s">
        <v>2033</v>
      </c>
      <c r="I1589" s="5" t="s">
        <v>2034</v>
      </c>
      <c r="J1589" s="5" t="s">
        <v>2</v>
      </c>
      <c r="K1589" s="5" t="s">
        <v>2</v>
      </c>
      <c r="L1589" s="6">
        <f>IF(I1589="Cut","",IF(I1589="Your call","(decide)",IF(I1589="Rename",J1589,IF(I1589="Keep",IF(D1589="",E1589,D1589),IF(E1589="(unchanged)",D1589,E1589)))))</f>
      </c>
      <c r="M1589" s="6">
        <f>IF(AND(I1589="Cut",N1589&gt;0,K1589=""),"USED: say what replaces it (Note)",IF(AND(I1589="Rename",J1589=""),"type the new name",IF(AND(L1589&lt;&gt;"",L1589&lt;&gt;"(decide)",COUNTIF($L$2:$L$1680,L1589)&gt;1),"SAME FINAL NAME AS ANOTHER ROW","")))</f>
      </c>
      <c r="N1589" s="6">
        <v>0</v>
      </c>
      <c r="O1589" s="6" t="s">
        <v>2</v>
      </c>
    </row>
    <row r="1590" spans="1:15" x14ac:dyDescent="0.25">
      <c r="A1590">
        <v>1589</v>
      </c>
      <c r="B1590" t="s">
        <v>2062</v>
      </c>
      <c r="C1590" t="s">
        <v>2</v>
      </c>
      <c r="D1590" t="s">
        <v>2</v>
      </c>
      <c r="E1590" t="s">
        <v>2072</v>
      </c>
      <c r="F1590" t="s">
        <v>2032</v>
      </c>
      <c r="G1590" t="s">
        <v>38</v>
      </c>
      <c r="H1590" t="s">
        <v>2033</v>
      </c>
      <c r="I1590" s="5" t="s">
        <v>2034</v>
      </c>
      <c r="J1590" s="5" t="s">
        <v>2</v>
      </c>
      <c r="K1590" s="5" t="s">
        <v>2</v>
      </c>
      <c r="L1590" s="6">
        <f>IF(I1590="Cut","",IF(I1590="Your call","(decide)",IF(I1590="Rename",J1590,IF(I1590="Keep",IF(D1590="",E1590,D1590),IF(E1590="(unchanged)",D1590,E1590)))))</f>
      </c>
      <c r="M1590" s="6">
        <f>IF(AND(I1590="Cut",N1590&gt;0,K1590=""),"USED: say what replaces it (Note)",IF(AND(I1590="Rename",J1590=""),"type the new name",IF(AND(L1590&lt;&gt;"",L1590&lt;&gt;"(decide)",COUNTIF($L$2:$L$1680,L1590)&gt;1),"SAME FINAL NAME AS ANOTHER ROW","")))</f>
      </c>
      <c r="N1590" s="6">
        <v>0</v>
      </c>
      <c r="O1590" s="6" t="s">
        <v>2</v>
      </c>
    </row>
    <row r="1591" spans="1:15" x14ac:dyDescent="0.25">
      <c r="A1591">
        <v>1590</v>
      </c>
      <c r="B1591" t="s">
        <v>2062</v>
      </c>
      <c r="C1591" t="s">
        <v>2</v>
      </c>
      <c r="D1591" t="s">
        <v>2</v>
      </c>
      <c r="E1591" t="s">
        <v>2073</v>
      </c>
      <c r="F1591" t="s">
        <v>2032</v>
      </c>
      <c r="G1591" t="s">
        <v>38</v>
      </c>
      <c r="H1591" t="s">
        <v>2033</v>
      </c>
      <c r="I1591" s="5" t="s">
        <v>2034</v>
      </c>
      <c r="J1591" s="5" t="s">
        <v>2</v>
      </c>
      <c r="K1591" s="5" t="s">
        <v>2</v>
      </c>
      <c r="L1591" s="6">
        <f>IF(I1591="Cut","",IF(I1591="Your call","(decide)",IF(I1591="Rename",J1591,IF(I1591="Keep",IF(D1591="",E1591,D1591),IF(E1591="(unchanged)",D1591,E1591)))))</f>
      </c>
      <c r="M1591" s="6">
        <f>IF(AND(I1591="Cut",N1591&gt;0,K1591=""),"USED: say what replaces it (Note)",IF(AND(I1591="Rename",J1591=""),"type the new name",IF(AND(L1591&lt;&gt;"",L1591&lt;&gt;"(decide)",COUNTIF($L$2:$L$1680,L1591)&gt;1),"SAME FINAL NAME AS ANOTHER ROW","")))</f>
      </c>
      <c r="N1591" s="6">
        <v>0</v>
      </c>
      <c r="O1591" s="6" t="s">
        <v>2</v>
      </c>
    </row>
    <row r="1592" spans="1:15" x14ac:dyDescent="0.25">
      <c r="A1592">
        <v>1591</v>
      </c>
      <c r="B1592" t="s">
        <v>2062</v>
      </c>
      <c r="C1592" t="s">
        <v>2</v>
      </c>
      <c r="D1592" t="s">
        <v>2</v>
      </c>
      <c r="E1592" t="s">
        <v>2074</v>
      </c>
      <c r="F1592" t="s">
        <v>2032</v>
      </c>
      <c r="G1592" t="s">
        <v>38</v>
      </c>
      <c r="H1592" t="s">
        <v>2033</v>
      </c>
      <c r="I1592" s="5" t="s">
        <v>2034</v>
      </c>
      <c r="J1592" s="5" t="s">
        <v>2</v>
      </c>
      <c r="K1592" s="5" t="s">
        <v>2</v>
      </c>
      <c r="L1592" s="6">
        <f>IF(I1592="Cut","",IF(I1592="Your call","(decide)",IF(I1592="Rename",J1592,IF(I1592="Keep",IF(D1592="",E1592,D1592),IF(E1592="(unchanged)",D1592,E1592)))))</f>
      </c>
      <c r="M1592" s="6">
        <f>IF(AND(I1592="Cut",N1592&gt;0,K1592=""),"USED: say what replaces it (Note)",IF(AND(I1592="Rename",J1592=""),"type the new name",IF(AND(L1592&lt;&gt;"",L1592&lt;&gt;"(decide)",COUNTIF($L$2:$L$1680,L1592)&gt;1),"SAME FINAL NAME AS ANOTHER ROW","")))</f>
      </c>
      <c r="N1592" s="6">
        <v>0</v>
      </c>
      <c r="O1592" s="6" t="s">
        <v>2</v>
      </c>
    </row>
    <row r="1593" spans="1:15" x14ac:dyDescent="0.25">
      <c r="A1593">
        <v>1592</v>
      </c>
      <c r="B1593" t="s">
        <v>2062</v>
      </c>
      <c r="C1593" t="s">
        <v>2</v>
      </c>
      <c r="D1593" t="s">
        <v>2</v>
      </c>
      <c r="E1593" t="s">
        <v>2075</v>
      </c>
      <c r="F1593" t="s">
        <v>2032</v>
      </c>
      <c r="G1593" t="s">
        <v>38</v>
      </c>
      <c r="H1593" t="s">
        <v>2033</v>
      </c>
      <c r="I1593" s="5" t="s">
        <v>2034</v>
      </c>
      <c r="J1593" s="5" t="s">
        <v>2</v>
      </c>
      <c r="K1593" s="5" t="s">
        <v>2</v>
      </c>
      <c r="L1593" s="6">
        <f>IF(I1593="Cut","",IF(I1593="Your call","(decide)",IF(I1593="Rename",J1593,IF(I1593="Keep",IF(D1593="",E1593,D1593),IF(E1593="(unchanged)",D1593,E1593)))))</f>
      </c>
      <c r="M1593" s="6">
        <f>IF(AND(I1593="Cut",N1593&gt;0,K1593=""),"USED: say what replaces it (Note)",IF(AND(I1593="Rename",J1593=""),"type the new name",IF(AND(L1593&lt;&gt;"",L1593&lt;&gt;"(decide)",COUNTIF($L$2:$L$1680,L1593)&gt;1),"SAME FINAL NAME AS ANOTHER ROW","")))</f>
      </c>
      <c r="N1593" s="6">
        <v>0</v>
      </c>
      <c r="O1593" s="6" t="s">
        <v>2</v>
      </c>
    </row>
    <row r="1594" spans="1:15" x14ac:dyDescent="0.25">
      <c r="A1594">
        <v>1593</v>
      </c>
      <c r="B1594" t="s">
        <v>2076</v>
      </c>
      <c r="C1594" t="s">
        <v>2</v>
      </c>
      <c r="D1594" t="s">
        <v>2</v>
      </c>
      <c r="E1594" t="s">
        <v>2077</v>
      </c>
      <c r="F1594" t="s">
        <v>2032</v>
      </c>
      <c r="G1594" t="s">
        <v>38</v>
      </c>
      <c r="H1594" t="s">
        <v>2033</v>
      </c>
      <c r="I1594" s="5" t="s">
        <v>2034</v>
      </c>
      <c r="J1594" s="5" t="s">
        <v>2</v>
      </c>
      <c r="K1594" s="5" t="s">
        <v>2</v>
      </c>
      <c r="L1594" s="6">
        <f>IF(I1594="Cut","",IF(I1594="Your call","(decide)",IF(I1594="Rename",J1594,IF(I1594="Keep",IF(D1594="",E1594,D1594),IF(E1594="(unchanged)",D1594,E1594)))))</f>
      </c>
      <c r="M1594" s="6">
        <f>IF(AND(I1594="Cut",N1594&gt;0,K1594=""),"USED: say what replaces it (Note)",IF(AND(I1594="Rename",J1594=""),"type the new name",IF(AND(L1594&lt;&gt;"",L1594&lt;&gt;"(decide)",COUNTIF($L$2:$L$1680,L1594)&gt;1),"SAME FINAL NAME AS ANOTHER ROW","")))</f>
      </c>
      <c r="N1594" s="6">
        <v>0</v>
      </c>
      <c r="O1594" s="6" t="s">
        <v>2</v>
      </c>
    </row>
    <row r="1595" spans="1:15" x14ac:dyDescent="0.25">
      <c r="A1595">
        <v>1594</v>
      </c>
      <c r="B1595" t="s">
        <v>2076</v>
      </c>
      <c r="C1595" t="s">
        <v>2</v>
      </c>
      <c r="D1595" t="s">
        <v>2</v>
      </c>
      <c r="E1595" t="s">
        <v>2078</v>
      </c>
      <c r="F1595" t="s">
        <v>2032</v>
      </c>
      <c r="G1595" t="s">
        <v>38</v>
      </c>
      <c r="H1595" t="s">
        <v>2033</v>
      </c>
      <c r="I1595" s="5" t="s">
        <v>2034</v>
      </c>
      <c r="J1595" s="5" t="s">
        <v>2</v>
      </c>
      <c r="K1595" s="5" t="s">
        <v>2</v>
      </c>
      <c r="L1595" s="6">
        <f>IF(I1595="Cut","",IF(I1595="Your call","(decide)",IF(I1595="Rename",J1595,IF(I1595="Keep",IF(D1595="",E1595,D1595),IF(E1595="(unchanged)",D1595,E1595)))))</f>
      </c>
      <c r="M1595" s="6">
        <f>IF(AND(I1595="Cut",N1595&gt;0,K1595=""),"USED: say what replaces it (Note)",IF(AND(I1595="Rename",J1595=""),"type the new name",IF(AND(L1595&lt;&gt;"",L1595&lt;&gt;"(decide)",COUNTIF($L$2:$L$1680,L1595)&gt;1),"SAME FINAL NAME AS ANOTHER ROW","")))</f>
      </c>
      <c r="N1595" s="6">
        <v>0</v>
      </c>
      <c r="O1595" s="6" t="s">
        <v>2</v>
      </c>
    </row>
    <row r="1596" spans="1:15" x14ac:dyDescent="0.25">
      <c r="A1596">
        <v>1595</v>
      </c>
      <c r="B1596" t="s">
        <v>2076</v>
      </c>
      <c r="C1596" t="s">
        <v>2</v>
      </c>
      <c r="D1596" t="s">
        <v>2</v>
      </c>
      <c r="E1596" t="s">
        <v>2079</v>
      </c>
      <c r="F1596" t="s">
        <v>2032</v>
      </c>
      <c r="G1596" t="s">
        <v>38</v>
      </c>
      <c r="H1596" t="s">
        <v>2033</v>
      </c>
      <c r="I1596" s="5" t="s">
        <v>2034</v>
      </c>
      <c r="J1596" s="5" t="s">
        <v>2</v>
      </c>
      <c r="K1596" s="5" t="s">
        <v>2</v>
      </c>
      <c r="L1596" s="6">
        <f>IF(I1596="Cut","",IF(I1596="Your call","(decide)",IF(I1596="Rename",J1596,IF(I1596="Keep",IF(D1596="",E1596,D1596),IF(E1596="(unchanged)",D1596,E1596)))))</f>
      </c>
      <c r="M1596" s="6">
        <f>IF(AND(I1596="Cut",N1596&gt;0,K1596=""),"USED: say what replaces it (Note)",IF(AND(I1596="Rename",J1596=""),"type the new name",IF(AND(L1596&lt;&gt;"",L1596&lt;&gt;"(decide)",COUNTIF($L$2:$L$1680,L1596)&gt;1),"SAME FINAL NAME AS ANOTHER ROW","")))</f>
      </c>
      <c r="N1596" s="6">
        <v>0</v>
      </c>
      <c r="O1596" s="6" t="s">
        <v>2</v>
      </c>
    </row>
    <row r="1597" spans="1:15" x14ac:dyDescent="0.25">
      <c r="A1597">
        <v>1596</v>
      </c>
      <c r="B1597" t="s">
        <v>2076</v>
      </c>
      <c r="C1597" t="s">
        <v>2</v>
      </c>
      <c r="D1597" t="s">
        <v>2</v>
      </c>
      <c r="E1597" t="s">
        <v>2080</v>
      </c>
      <c r="F1597" t="s">
        <v>2032</v>
      </c>
      <c r="G1597" t="s">
        <v>38</v>
      </c>
      <c r="H1597" t="s">
        <v>2033</v>
      </c>
      <c r="I1597" s="5" t="s">
        <v>2081</v>
      </c>
      <c r="J1597" s="5" t="s">
        <v>2</v>
      </c>
      <c r="K1597" s="5" t="s">
        <v>2082</v>
      </c>
      <c r="L1597" s="6">
        <f>IF(I1597="Cut","",IF(I1597="Your call","(decide)",IF(I1597="Rename",J1597,IF(I1597="Keep",IF(D1597="",E1597,D1597),IF(E1597="(unchanged)",D1597,E1597)))))</f>
      </c>
      <c r="M1597" s="6">
        <f>IF(AND(I1597="Cut",N1597&gt;0,K1597=""),"USED: say what replaces it (Note)",IF(AND(I1597="Rename",J1597=""),"type the new name",IF(AND(L1597&lt;&gt;"",L1597&lt;&gt;"(decide)",COUNTIF($L$2:$L$1680,L1597)&gt;1),"SAME FINAL NAME AS ANOTHER ROW","")))</f>
      </c>
      <c r="N1597" s="6">
        <v>0</v>
      </c>
      <c r="O1597" s="6" t="s">
        <v>2</v>
      </c>
    </row>
    <row r="1598" spans="1:15" x14ac:dyDescent="0.25">
      <c r="A1598">
        <v>1597</v>
      </c>
      <c r="B1598" t="s">
        <v>2076</v>
      </c>
      <c r="C1598" t="s">
        <v>2</v>
      </c>
      <c r="D1598" t="s">
        <v>2</v>
      </c>
      <c r="E1598" t="s">
        <v>2083</v>
      </c>
      <c r="F1598" t="s">
        <v>2032</v>
      </c>
      <c r="G1598" t="s">
        <v>38</v>
      </c>
      <c r="H1598" t="s">
        <v>2033</v>
      </c>
      <c r="I1598" s="5" t="s">
        <v>2034</v>
      </c>
      <c r="J1598" s="5" t="s">
        <v>2</v>
      </c>
      <c r="K1598" s="5" t="s">
        <v>2</v>
      </c>
      <c r="L1598" s="6">
        <f>IF(I1598="Cut","",IF(I1598="Your call","(decide)",IF(I1598="Rename",J1598,IF(I1598="Keep",IF(D1598="",E1598,D1598),IF(E1598="(unchanged)",D1598,E1598)))))</f>
      </c>
      <c r="M1598" s="6">
        <f>IF(AND(I1598="Cut",N1598&gt;0,K1598=""),"USED: say what replaces it (Note)",IF(AND(I1598="Rename",J1598=""),"type the new name",IF(AND(L1598&lt;&gt;"",L1598&lt;&gt;"(decide)",COUNTIF($L$2:$L$1680,L1598)&gt;1),"SAME FINAL NAME AS ANOTHER ROW","")))</f>
      </c>
      <c r="N1598" s="6">
        <v>0</v>
      </c>
      <c r="O1598" s="6" t="s">
        <v>2</v>
      </c>
    </row>
    <row r="1599" spans="1:15" x14ac:dyDescent="0.25">
      <c r="A1599">
        <v>1598</v>
      </c>
      <c r="B1599" t="s">
        <v>2076</v>
      </c>
      <c r="C1599" t="s">
        <v>2</v>
      </c>
      <c r="D1599" t="s">
        <v>2</v>
      </c>
      <c r="E1599" t="s">
        <v>2084</v>
      </c>
      <c r="F1599" t="s">
        <v>2032</v>
      </c>
      <c r="G1599" t="s">
        <v>38</v>
      </c>
      <c r="H1599" t="s">
        <v>2033</v>
      </c>
      <c r="I1599" s="5" t="s">
        <v>2034</v>
      </c>
      <c r="J1599" s="5" t="s">
        <v>2</v>
      </c>
      <c r="K1599" s="5" t="s">
        <v>2</v>
      </c>
      <c r="L1599" s="6">
        <f>IF(I1599="Cut","",IF(I1599="Your call","(decide)",IF(I1599="Rename",J1599,IF(I1599="Keep",IF(D1599="",E1599,D1599),IF(E1599="(unchanged)",D1599,E1599)))))</f>
      </c>
      <c r="M1599" s="6">
        <f>IF(AND(I1599="Cut",N1599&gt;0,K1599=""),"USED: say what replaces it (Note)",IF(AND(I1599="Rename",J1599=""),"type the new name",IF(AND(L1599&lt;&gt;"",L1599&lt;&gt;"(decide)",COUNTIF($L$2:$L$1680,L1599)&gt;1),"SAME FINAL NAME AS ANOTHER ROW","")))</f>
      </c>
      <c r="N1599" s="6">
        <v>0</v>
      </c>
      <c r="O1599" s="6" t="s">
        <v>2</v>
      </c>
    </row>
    <row r="1600" spans="1:15" x14ac:dyDescent="0.25">
      <c r="A1600">
        <v>1599</v>
      </c>
      <c r="B1600" t="s">
        <v>2076</v>
      </c>
      <c r="C1600" t="s">
        <v>2</v>
      </c>
      <c r="D1600" t="s">
        <v>2</v>
      </c>
      <c r="E1600" t="s">
        <v>2085</v>
      </c>
      <c r="F1600" t="s">
        <v>2032</v>
      </c>
      <c r="G1600" t="s">
        <v>38</v>
      </c>
      <c r="H1600" t="s">
        <v>2033</v>
      </c>
      <c r="I1600" s="5" t="s">
        <v>2034</v>
      </c>
      <c r="J1600" s="5" t="s">
        <v>2</v>
      </c>
      <c r="K1600" s="5" t="s">
        <v>2</v>
      </c>
      <c r="L1600" s="6">
        <f>IF(I1600="Cut","",IF(I1600="Your call","(decide)",IF(I1600="Rename",J1600,IF(I1600="Keep",IF(D1600="",E1600,D1600),IF(E1600="(unchanged)",D1600,E1600)))))</f>
      </c>
      <c r="M1600" s="6">
        <f>IF(AND(I1600="Cut",N1600&gt;0,K1600=""),"USED: say what replaces it (Note)",IF(AND(I1600="Rename",J1600=""),"type the new name",IF(AND(L1600&lt;&gt;"",L1600&lt;&gt;"(decide)",COUNTIF($L$2:$L$1680,L1600)&gt;1),"SAME FINAL NAME AS ANOTHER ROW","")))</f>
      </c>
      <c r="N1600" s="6">
        <v>0</v>
      </c>
      <c r="O1600" s="6" t="s">
        <v>2</v>
      </c>
    </row>
    <row r="1601" spans="1:15" x14ac:dyDescent="0.25">
      <c r="A1601">
        <v>1600</v>
      </c>
      <c r="B1601" t="s">
        <v>2076</v>
      </c>
      <c r="C1601" t="s">
        <v>2</v>
      </c>
      <c r="D1601" t="s">
        <v>2</v>
      </c>
      <c r="E1601" t="s">
        <v>2086</v>
      </c>
      <c r="F1601" t="s">
        <v>2032</v>
      </c>
      <c r="G1601" t="s">
        <v>38</v>
      </c>
      <c r="H1601" t="s">
        <v>2033</v>
      </c>
      <c r="I1601" s="5" t="s">
        <v>2081</v>
      </c>
      <c r="J1601" s="5" t="s">
        <v>2</v>
      </c>
      <c r="K1601" s="5" t="s">
        <v>2087</v>
      </c>
      <c r="L1601" s="6">
        <f>IF(I1601="Cut","",IF(I1601="Your call","(decide)",IF(I1601="Rename",J1601,IF(I1601="Keep",IF(D1601="",E1601,D1601),IF(E1601="(unchanged)",D1601,E1601)))))</f>
      </c>
      <c r="M1601" s="6">
        <f>IF(AND(I1601="Cut",N1601&gt;0,K1601=""),"USED: say what replaces it (Note)",IF(AND(I1601="Rename",J1601=""),"type the new name",IF(AND(L1601&lt;&gt;"",L1601&lt;&gt;"(decide)",COUNTIF($L$2:$L$1680,L1601)&gt;1),"SAME FINAL NAME AS ANOTHER ROW","")))</f>
      </c>
      <c r="N1601" s="6">
        <v>0</v>
      </c>
      <c r="O1601" s="6" t="s">
        <v>2</v>
      </c>
    </row>
    <row r="1602" spans="1:15" x14ac:dyDescent="0.25">
      <c r="A1602">
        <v>1601</v>
      </c>
      <c r="B1602" t="s">
        <v>2076</v>
      </c>
      <c r="C1602" t="s">
        <v>2</v>
      </c>
      <c r="D1602" t="s">
        <v>2</v>
      </c>
      <c r="E1602" t="s">
        <v>2088</v>
      </c>
      <c r="F1602" t="s">
        <v>2032</v>
      </c>
      <c r="G1602" t="s">
        <v>38</v>
      </c>
      <c r="H1602" t="s">
        <v>2033</v>
      </c>
      <c r="I1602" s="5" t="s">
        <v>2034</v>
      </c>
      <c r="J1602" s="5" t="s">
        <v>2</v>
      </c>
      <c r="K1602" s="5" t="s">
        <v>2</v>
      </c>
      <c r="L1602" s="6">
        <f>IF(I1602="Cut","",IF(I1602="Your call","(decide)",IF(I1602="Rename",J1602,IF(I1602="Keep",IF(D1602="",E1602,D1602),IF(E1602="(unchanged)",D1602,E1602)))))</f>
      </c>
      <c r="M1602" s="6">
        <f>IF(AND(I1602="Cut",N1602&gt;0,K1602=""),"USED: say what replaces it (Note)",IF(AND(I1602="Rename",J1602=""),"type the new name",IF(AND(L1602&lt;&gt;"",L1602&lt;&gt;"(decide)",COUNTIF($L$2:$L$1680,L1602)&gt;1),"SAME FINAL NAME AS ANOTHER ROW","")))</f>
      </c>
      <c r="N1602" s="6">
        <v>0</v>
      </c>
      <c r="O1602" s="6" t="s">
        <v>2</v>
      </c>
    </row>
    <row r="1603" spans="1:15" x14ac:dyDescent="0.25">
      <c r="A1603">
        <v>1602</v>
      </c>
      <c r="B1603" t="s">
        <v>2076</v>
      </c>
      <c r="C1603" t="s">
        <v>2</v>
      </c>
      <c r="D1603" t="s">
        <v>2</v>
      </c>
      <c r="E1603" t="s">
        <v>2089</v>
      </c>
      <c r="F1603" t="s">
        <v>2032</v>
      </c>
      <c r="G1603" t="s">
        <v>38</v>
      </c>
      <c r="H1603" t="s">
        <v>2033</v>
      </c>
      <c r="I1603" s="5" t="s">
        <v>2034</v>
      </c>
      <c r="J1603" s="5" t="s">
        <v>2</v>
      </c>
      <c r="K1603" s="5" t="s">
        <v>2</v>
      </c>
      <c r="L1603" s="6">
        <f>IF(I1603="Cut","",IF(I1603="Your call","(decide)",IF(I1603="Rename",J1603,IF(I1603="Keep",IF(D1603="",E1603,D1603),IF(E1603="(unchanged)",D1603,E1603)))))</f>
      </c>
      <c r="M1603" s="6">
        <f>IF(AND(I1603="Cut",N1603&gt;0,K1603=""),"USED: say what replaces it (Note)",IF(AND(I1603="Rename",J1603=""),"type the new name",IF(AND(L1603&lt;&gt;"",L1603&lt;&gt;"(decide)",COUNTIF($L$2:$L$1680,L1603)&gt;1),"SAME FINAL NAME AS ANOTHER ROW","")))</f>
      </c>
      <c r="N1603" s="6">
        <v>0</v>
      </c>
      <c r="O1603" s="6" t="s">
        <v>2</v>
      </c>
    </row>
    <row r="1604" spans="1:15" x14ac:dyDescent="0.25">
      <c r="A1604">
        <v>1603</v>
      </c>
      <c r="B1604" t="s">
        <v>2076</v>
      </c>
      <c r="C1604" t="s">
        <v>2</v>
      </c>
      <c r="D1604" t="s">
        <v>2</v>
      </c>
      <c r="E1604" t="s">
        <v>2090</v>
      </c>
      <c r="F1604" t="s">
        <v>2032</v>
      </c>
      <c r="G1604" t="s">
        <v>38</v>
      </c>
      <c r="H1604" t="s">
        <v>2033</v>
      </c>
      <c r="I1604" s="5" t="s">
        <v>2034</v>
      </c>
      <c r="J1604" s="5" t="s">
        <v>2</v>
      </c>
      <c r="K1604" s="5" t="s">
        <v>2</v>
      </c>
      <c r="L1604" s="6">
        <f>IF(I1604="Cut","",IF(I1604="Your call","(decide)",IF(I1604="Rename",J1604,IF(I1604="Keep",IF(D1604="",E1604,D1604),IF(E1604="(unchanged)",D1604,E1604)))))</f>
      </c>
      <c r="M1604" s="6">
        <f>IF(AND(I1604="Cut",N1604&gt;0,K1604=""),"USED: say what replaces it (Note)",IF(AND(I1604="Rename",J1604=""),"type the new name",IF(AND(L1604&lt;&gt;"",L1604&lt;&gt;"(decide)",COUNTIF($L$2:$L$1680,L1604)&gt;1),"SAME FINAL NAME AS ANOTHER ROW","")))</f>
      </c>
      <c r="N1604" s="6">
        <v>0</v>
      </c>
      <c r="O1604" s="6" t="s">
        <v>2</v>
      </c>
    </row>
    <row r="1605" spans="1:15" x14ac:dyDescent="0.25">
      <c r="A1605">
        <v>1604</v>
      </c>
      <c r="B1605" t="s">
        <v>2076</v>
      </c>
      <c r="C1605" t="s">
        <v>2</v>
      </c>
      <c r="D1605" t="s">
        <v>2</v>
      </c>
      <c r="E1605" t="s">
        <v>2091</v>
      </c>
      <c r="F1605" t="s">
        <v>2032</v>
      </c>
      <c r="G1605" t="s">
        <v>38</v>
      </c>
      <c r="H1605" t="s">
        <v>2033</v>
      </c>
      <c r="I1605" s="5" t="s">
        <v>2034</v>
      </c>
      <c r="J1605" s="5" t="s">
        <v>2</v>
      </c>
      <c r="K1605" s="5" t="s">
        <v>2</v>
      </c>
      <c r="L1605" s="6">
        <f>IF(I1605="Cut","",IF(I1605="Your call","(decide)",IF(I1605="Rename",J1605,IF(I1605="Keep",IF(D1605="",E1605,D1605),IF(E1605="(unchanged)",D1605,E1605)))))</f>
      </c>
      <c r="M1605" s="6">
        <f>IF(AND(I1605="Cut",N1605&gt;0,K1605=""),"USED: say what replaces it (Note)",IF(AND(I1605="Rename",J1605=""),"type the new name",IF(AND(L1605&lt;&gt;"",L1605&lt;&gt;"(decide)",COUNTIF($L$2:$L$1680,L1605)&gt;1),"SAME FINAL NAME AS ANOTHER ROW","")))</f>
      </c>
      <c r="N1605" s="6">
        <v>0</v>
      </c>
      <c r="O1605" s="6" t="s">
        <v>2</v>
      </c>
    </row>
    <row r="1606" spans="1:15" x14ac:dyDescent="0.25">
      <c r="A1606">
        <v>1605</v>
      </c>
      <c r="B1606" t="s">
        <v>2076</v>
      </c>
      <c r="C1606" t="s">
        <v>2</v>
      </c>
      <c r="D1606" t="s">
        <v>2</v>
      </c>
      <c r="E1606" t="s">
        <v>2092</v>
      </c>
      <c r="F1606" t="s">
        <v>2032</v>
      </c>
      <c r="G1606" t="s">
        <v>38</v>
      </c>
      <c r="H1606" t="s">
        <v>2033</v>
      </c>
      <c r="I1606" s="5" t="s">
        <v>2034</v>
      </c>
      <c r="J1606" s="5" t="s">
        <v>2</v>
      </c>
      <c r="K1606" s="5" t="s">
        <v>2</v>
      </c>
      <c r="L1606" s="6">
        <f>IF(I1606="Cut","",IF(I1606="Your call","(decide)",IF(I1606="Rename",J1606,IF(I1606="Keep",IF(D1606="",E1606,D1606),IF(E1606="(unchanged)",D1606,E1606)))))</f>
      </c>
      <c r="M1606" s="6">
        <f>IF(AND(I1606="Cut",N1606&gt;0,K1606=""),"USED: say what replaces it (Note)",IF(AND(I1606="Rename",J1606=""),"type the new name",IF(AND(L1606&lt;&gt;"",L1606&lt;&gt;"(decide)",COUNTIF($L$2:$L$1680,L1606)&gt;1),"SAME FINAL NAME AS ANOTHER ROW","")))</f>
      </c>
      <c r="N1606" s="6">
        <v>0</v>
      </c>
      <c r="O1606" s="6" t="s">
        <v>2</v>
      </c>
    </row>
    <row r="1607" spans="1:15" x14ac:dyDescent="0.25">
      <c r="A1607">
        <v>1606</v>
      </c>
      <c r="B1607" t="s">
        <v>2076</v>
      </c>
      <c r="C1607" t="s">
        <v>2</v>
      </c>
      <c r="D1607" t="s">
        <v>2</v>
      </c>
      <c r="E1607" t="s">
        <v>2093</v>
      </c>
      <c r="F1607" t="s">
        <v>2032</v>
      </c>
      <c r="G1607" t="s">
        <v>38</v>
      </c>
      <c r="H1607" t="s">
        <v>2033</v>
      </c>
      <c r="I1607" s="5" t="s">
        <v>2034</v>
      </c>
      <c r="J1607" s="5" t="s">
        <v>2</v>
      </c>
      <c r="K1607" s="5" t="s">
        <v>2</v>
      </c>
      <c r="L1607" s="6">
        <f>IF(I1607="Cut","",IF(I1607="Your call","(decide)",IF(I1607="Rename",J1607,IF(I1607="Keep",IF(D1607="",E1607,D1607),IF(E1607="(unchanged)",D1607,E1607)))))</f>
      </c>
      <c r="M1607" s="6">
        <f>IF(AND(I1607="Cut",N1607&gt;0,K1607=""),"USED: say what replaces it (Note)",IF(AND(I1607="Rename",J1607=""),"type the new name",IF(AND(L1607&lt;&gt;"",L1607&lt;&gt;"(decide)",COUNTIF($L$2:$L$1680,L1607)&gt;1),"SAME FINAL NAME AS ANOTHER ROW","")))</f>
      </c>
      <c r="N1607" s="6">
        <v>0</v>
      </c>
      <c r="O1607" s="6" t="s">
        <v>2</v>
      </c>
    </row>
    <row r="1608" spans="1:15" x14ac:dyDescent="0.25">
      <c r="A1608">
        <v>1607</v>
      </c>
      <c r="B1608" t="s">
        <v>2076</v>
      </c>
      <c r="C1608" t="s">
        <v>2</v>
      </c>
      <c r="D1608" t="s">
        <v>2</v>
      </c>
      <c r="E1608" t="s">
        <v>2094</v>
      </c>
      <c r="F1608" t="s">
        <v>2032</v>
      </c>
      <c r="G1608" t="s">
        <v>38</v>
      </c>
      <c r="H1608" t="s">
        <v>2033</v>
      </c>
      <c r="I1608" s="5" t="s">
        <v>2034</v>
      </c>
      <c r="J1608" s="5" t="s">
        <v>2</v>
      </c>
      <c r="K1608" s="5" t="s">
        <v>2</v>
      </c>
      <c r="L1608" s="6">
        <f>IF(I1608="Cut","",IF(I1608="Your call","(decide)",IF(I1608="Rename",J1608,IF(I1608="Keep",IF(D1608="",E1608,D1608),IF(E1608="(unchanged)",D1608,E1608)))))</f>
      </c>
      <c r="M1608" s="6">
        <f>IF(AND(I1608="Cut",N1608&gt;0,K1608=""),"USED: say what replaces it (Note)",IF(AND(I1608="Rename",J1608=""),"type the new name",IF(AND(L1608&lt;&gt;"",L1608&lt;&gt;"(decide)",COUNTIF($L$2:$L$1680,L1608)&gt;1),"SAME FINAL NAME AS ANOTHER ROW","")))</f>
      </c>
      <c r="N1608" s="6">
        <v>0</v>
      </c>
      <c r="O1608" s="6" t="s">
        <v>2</v>
      </c>
    </row>
    <row r="1609" spans="1:15" x14ac:dyDescent="0.25">
      <c r="A1609">
        <v>1608</v>
      </c>
      <c r="B1609" t="s">
        <v>2076</v>
      </c>
      <c r="C1609" t="s">
        <v>2</v>
      </c>
      <c r="D1609" t="s">
        <v>2</v>
      </c>
      <c r="E1609" t="s">
        <v>2095</v>
      </c>
      <c r="F1609" t="s">
        <v>2032</v>
      </c>
      <c r="G1609" t="s">
        <v>38</v>
      </c>
      <c r="H1609" t="s">
        <v>2033</v>
      </c>
      <c r="I1609" s="5" t="s">
        <v>2034</v>
      </c>
      <c r="J1609" s="5" t="s">
        <v>2</v>
      </c>
      <c r="K1609" s="5" t="s">
        <v>2</v>
      </c>
      <c r="L1609" s="6">
        <f>IF(I1609="Cut","",IF(I1609="Your call","(decide)",IF(I1609="Rename",J1609,IF(I1609="Keep",IF(D1609="",E1609,D1609),IF(E1609="(unchanged)",D1609,E1609)))))</f>
      </c>
      <c r="M1609" s="6">
        <f>IF(AND(I1609="Cut",N1609&gt;0,K1609=""),"USED: say what replaces it (Note)",IF(AND(I1609="Rename",J1609=""),"type the new name",IF(AND(L1609&lt;&gt;"",L1609&lt;&gt;"(decide)",COUNTIF($L$2:$L$1680,L1609)&gt;1),"SAME FINAL NAME AS ANOTHER ROW","")))</f>
      </c>
      <c r="N1609" s="6">
        <v>0</v>
      </c>
      <c r="O1609" s="6" t="s">
        <v>2</v>
      </c>
    </row>
    <row r="1610" spans="1:15" x14ac:dyDescent="0.25">
      <c r="A1610">
        <v>1609</v>
      </c>
      <c r="B1610" t="s">
        <v>2076</v>
      </c>
      <c r="C1610" t="s">
        <v>2</v>
      </c>
      <c r="D1610" t="s">
        <v>2</v>
      </c>
      <c r="E1610" t="s">
        <v>2096</v>
      </c>
      <c r="F1610" t="s">
        <v>2032</v>
      </c>
      <c r="G1610" t="s">
        <v>38</v>
      </c>
      <c r="H1610" t="s">
        <v>2033</v>
      </c>
      <c r="I1610" s="5" t="s">
        <v>2034</v>
      </c>
      <c r="J1610" s="5" t="s">
        <v>2</v>
      </c>
      <c r="K1610" s="5" t="s">
        <v>2</v>
      </c>
      <c r="L1610" s="6">
        <f>IF(I1610="Cut","",IF(I1610="Your call","(decide)",IF(I1610="Rename",J1610,IF(I1610="Keep",IF(D1610="",E1610,D1610),IF(E1610="(unchanged)",D1610,E1610)))))</f>
      </c>
      <c r="M1610" s="6">
        <f>IF(AND(I1610="Cut",N1610&gt;0,K1610=""),"USED: say what replaces it (Note)",IF(AND(I1610="Rename",J1610=""),"type the new name",IF(AND(L1610&lt;&gt;"",L1610&lt;&gt;"(decide)",COUNTIF($L$2:$L$1680,L1610)&gt;1),"SAME FINAL NAME AS ANOTHER ROW","")))</f>
      </c>
      <c r="N1610" s="6">
        <v>0</v>
      </c>
      <c r="O1610" s="6" t="s">
        <v>2</v>
      </c>
    </row>
    <row r="1611" spans="1:15" x14ac:dyDescent="0.25">
      <c r="A1611">
        <v>1610</v>
      </c>
      <c r="B1611" t="s">
        <v>1358</v>
      </c>
      <c r="C1611" t="s">
        <v>1377</v>
      </c>
      <c r="D1611" t="s">
        <v>2</v>
      </c>
      <c r="E1611" t="s">
        <v>2097</v>
      </c>
      <c r="F1611" t="s">
        <v>2032</v>
      </c>
      <c r="G1611" t="s">
        <v>38</v>
      </c>
      <c r="H1611" t="s">
        <v>2033</v>
      </c>
      <c r="I1611" s="5" t="s">
        <v>2034</v>
      </c>
      <c r="J1611" s="5" t="s">
        <v>2</v>
      </c>
      <c r="K1611" s="5" t="s">
        <v>2</v>
      </c>
      <c r="L1611" s="6">
        <f>IF(I1611="Cut","",IF(I1611="Your call","(decide)",IF(I1611="Rename",J1611,IF(I1611="Keep",IF(D1611="",E1611,D1611),IF(E1611="(unchanged)",D1611,E1611)))))</f>
      </c>
      <c r="M1611" s="6">
        <f>IF(AND(I1611="Cut",N1611&gt;0,K1611=""),"USED: say what replaces it (Note)",IF(AND(I1611="Rename",J1611=""),"type the new name",IF(AND(L1611&lt;&gt;"",L1611&lt;&gt;"(decide)",COUNTIF($L$2:$L$1680,L1611)&gt;1),"SAME FINAL NAME AS ANOTHER ROW","")))</f>
      </c>
      <c r="N1611" s="6">
        <v>0</v>
      </c>
      <c r="O1611" s="6" t="s">
        <v>2</v>
      </c>
    </row>
    <row r="1612" spans="1:15" x14ac:dyDescent="0.25">
      <c r="A1612">
        <v>1611</v>
      </c>
      <c r="B1612" t="s">
        <v>1358</v>
      </c>
      <c r="C1612" t="s">
        <v>1377</v>
      </c>
      <c r="D1612" t="s">
        <v>2</v>
      </c>
      <c r="E1612" t="s">
        <v>2098</v>
      </c>
      <c r="F1612" t="s">
        <v>2032</v>
      </c>
      <c r="G1612" t="s">
        <v>38</v>
      </c>
      <c r="H1612" t="s">
        <v>2033</v>
      </c>
      <c r="I1612" s="5" t="s">
        <v>2034</v>
      </c>
      <c r="J1612" s="5" t="s">
        <v>2</v>
      </c>
      <c r="K1612" s="5" t="s">
        <v>2</v>
      </c>
      <c r="L1612" s="6">
        <f>IF(I1612="Cut","",IF(I1612="Your call","(decide)",IF(I1612="Rename",J1612,IF(I1612="Keep",IF(D1612="",E1612,D1612),IF(E1612="(unchanged)",D1612,E1612)))))</f>
      </c>
      <c r="M1612" s="6">
        <f>IF(AND(I1612="Cut",N1612&gt;0,K1612=""),"USED: say what replaces it (Note)",IF(AND(I1612="Rename",J1612=""),"type the new name",IF(AND(L1612&lt;&gt;"",L1612&lt;&gt;"(decide)",COUNTIF($L$2:$L$1680,L1612)&gt;1),"SAME FINAL NAME AS ANOTHER ROW","")))</f>
      </c>
      <c r="N1612" s="6">
        <v>0</v>
      </c>
      <c r="O1612" s="6" t="s">
        <v>2</v>
      </c>
    </row>
    <row r="1613" spans="1:15" x14ac:dyDescent="0.25">
      <c r="A1613">
        <v>1612</v>
      </c>
      <c r="B1613" t="s">
        <v>1358</v>
      </c>
      <c r="C1613" t="s">
        <v>1416</v>
      </c>
      <c r="D1613" t="s">
        <v>2</v>
      </c>
      <c r="E1613" t="s">
        <v>2099</v>
      </c>
      <c r="F1613" t="s">
        <v>2032</v>
      </c>
      <c r="G1613" t="s">
        <v>38</v>
      </c>
      <c r="H1613" t="s">
        <v>2033</v>
      </c>
      <c r="I1613" s="5" t="s">
        <v>2034</v>
      </c>
      <c r="J1613" s="5" t="s">
        <v>2</v>
      </c>
      <c r="K1613" s="5" t="s">
        <v>2</v>
      </c>
      <c r="L1613" s="6">
        <f>IF(I1613="Cut","",IF(I1613="Your call","(decide)",IF(I1613="Rename",J1613,IF(I1613="Keep",IF(D1613="",E1613,D1613),IF(E1613="(unchanged)",D1613,E1613)))))</f>
      </c>
      <c r="M1613" s="6">
        <f>IF(AND(I1613="Cut",N1613&gt;0,K1613=""),"USED: say what replaces it (Note)",IF(AND(I1613="Rename",J1613=""),"type the new name",IF(AND(L1613&lt;&gt;"",L1613&lt;&gt;"(decide)",COUNTIF($L$2:$L$1680,L1613)&gt;1),"SAME FINAL NAME AS ANOTHER ROW","")))</f>
      </c>
      <c r="N1613" s="6">
        <v>0</v>
      </c>
      <c r="O1613" s="6" t="s">
        <v>2</v>
      </c>
    </row>
    <row r="1614" spans="1:15" x14ac:dyDescent="0.25">
      <c r="A1614">
        <v>1613</v>
      </c>
      <c r="B1614" t="s">
        <v>1358</v>
      </c>
      <c r="C1614" t="s">
        <v>1416</v>
      </c>
      <c r="D1614" t="s">
        <v>2</v>
      </c>
      <c r="E1614" t="s">
        <v>2100</v>
      </c>
      <c r="F1614" t="s">
        <v>2032</v>
      </c>
      <c r="G1614" t="s">
        <v>38</v>
      </c>
      <c r="H1614" t="s">
        <v>2033</v>
      </c>
      <c r="I1614" s="5" t="s">
        <v>2034</v>
      </c>
      <c r="J1614" s="5" t="s">
        <v>2</v>
      </c>
      <c r="K1614" s="5" t="s">
        <v>2</v>
      </c>
      <c r="L1614" s="6">
        <f>IF(I1614="Cut","",IF(I1614="Your call","(decide)",IF(I1614="Rename",J1614,IF(I1614="Keep",IF(D1614="",E1614,D1614),IF(E1614="(unchanged)",D1614,E1614)))))</f>
      </c>
      <c r="M1614" s="6">
        <f>IF(AND(I1614="Cut",N1614&gt;0,K1614=""),"USED: say what replaces it (Note)",IF(AND(I1614="Rename",J1614=""),"type the new name",IF(AND(L1614&lt;&gt;"",L1614&lt;&gt;"(decide)",COUNTIF($L$2:$L$1680,L1614)&gt;1),"SAME FINAL NAME AS ANOTHER ROW","")))</f>
      </c>
      <c r="N1614" s="6">
        <v>0</v>
      </c>
      <c r="O1614" s="6" t="s">
        <v>2</v>
      </c>
    </row>
    <row r="1615" spans="1:15" x14ac:dyDescent="0.25">
      <c r="A1615">
        <v>1614</v>
      </c>
      <c r="B1615" t="s">
        <v>1358</v>
      </c>
      <c r="C1615" t="s">
        <v>1416</v>
      </c>
      <c r="D1615" t="s">
        <v>2</v>
      </c>
      <c r="E1615" t="s">
        <v>2101</v>
      </c>
      <c r="F1615" t="s">
        <v>2032</v>
      </c>
      <c r="G1615" t="s">
        <v>38</v>
      </c>
      <c r="H1615" t="s">
        <v>2033</v>
      </c>
      <c r="I1615" s="5" t="s">
        <v>2034</v>
      </c>
      <c r="J1615" s="5" t="s">
        <v>2</v>
      </c>
      <c r="K1615" s="5" t="s">
        <v>2</v>
      </c>
      <c r="L1615" s="6">
        <f>IF(I1615="Cut","",IF(I1615="Your call","(decide)",IF(I1615="Rename",J1615,IF(I1615="Keep",IF(D1615="",E1615,D1615),IF(E1615="(unchanged)",D1615,E1615)))))</f>
      </c>
      <c r="M1615" s="6">
        <f>IF(AND(I1615="Cut",N1615&gt;0,K1615=""),"USED: say what replaces it (Note)",IF(AND(I1615="Rename",J1615=""),"type the new name",IF(AND(L1615&lt;&gt;"",L1615&lt;&gt;"(decide)",COUNTIF($L$2:$L$1680,L1615)&gt;1),"SAME FINAL NAME AS ANOTHER ROW","")))</f>
      </c>
      <c r="N1615" s="6">
        <v>0</v>
      </c>
      <c r="O1615" s="6" t="s">
        <v>2</v>
      </c>
    </row>
    <row r="1616" spans="1:15" x14ac:dyDescent="0.25">
      <c r="A1616">
        <v>1615</v>
      </c>
      <c r="B1616" t="s">
        <v>1358</v>
      </c>
      <c r="C1616" t="s">
        <v>2102</v>
      </c>
      <c r="D1616" t="s">
        <v>2</v>
      </c>
      <c r="E1616" t="s">
        <v>2103</v>
      </c>
      <c r="F1616" t="s">
        <v>2032</v>
      </c>
      <c r="G1616" t="s">
        <v>38</v>
      </c>
      <c r="H1616" t="s">
        <v>2033</v>
      </c>
      <c r="I1616" s="5" t="s">
        <v>2034</v>
      </c>
      <c r="J1616" s="5" t="s">
        <v>2</v>
      </c>
      <c r="K1616" s="5" t="s">
        <v>2</v>
      </c>
      <c r="L1616" s="6">
        <f>IF(I1616="Cut","",IF(I1616="Your call","(decide)",IF(I1616="Rename",J1616,IF(I1616="Keep",IF(D1616="",E1616,D1616),IF(E1616="(unchanged)",D1616,E1616)))))</f>
      </c>
      <c r="M1616" s="6">
        <f>IF(AND(I1616="Cut",N1616&gt;0,K1616=""),"USED: say what replaces it (Note)",IF(AND(I1616="Rename",J1616=""),"type the new name",IF(AND(L1616&lt;&gt;"",L1616&lt;&gt;"(decide)",COUNTIF($L$2:$L$1680,L1616)&gt;1),"SAME FINAL NAME AS ANOTHER ROW","")))</f>
      </c>
      <c r="N1616" s="6">
        <v>0</v>
      </c>
      <c r="O1616" s="6" t="s">
        <v>2</v>
      </c>
    </row>
    <row r="1617" spans="1:15" x14ac:dyDescent="0.25">
      <c r="A1617">
        <v>1616</v>
      </c>
      <c r="B1617" t="s">
        <v>1358</v>
      </c>
      <c r="C1617" t="s">
        <v>2102</v>
      </c>
      <c r="D1617" t="s">
        <v>2</v>
      </c>
      <c r="E1617" t="s">
        <v>2104</v>
      </c>
      <c r="F1617" t="s">
        <v>2032</v>
      </c>
      <c r="G1617" t="s">
        <v>38</v>
      </c>
      <c r="H1617" t="s">
        <v>2033</v>
      </c>
      <c r="I1617" s="5" t="s">
        <v>2034</v>
      </c>
      <c r="J1617" s="5" t="s">
        <v>2</v>
      </c>
      <c r="K1617" s="5" t="s">
        <v>2</v>
      </c>
      <c r="L1617" s="6">
        <f>IF(I1617="Cut","",IF(I1617="Your call","(decide)",IF(I1617="Rename",J1617,IF(I1617="Keep",IF(D1617="",E1617,D1617),IF(E1617="(unchanged)",D1617,E1617)))))</f>
      </c>
      <c r="M1617" s="6">
        <f>IF(AND(I1617="Cut",N1617&gt;0,K1617=""),"USED: say what replaces it (Note)",IF(AND(I1617="Rename",J1617=""),"type the new name",IF(AND(L1617&lt;&gt;"",L1617&lt;&gt;"(decide)",COUNTIF($L$2:$L$1680,L1617)&gt;1),"SAME FINAL NAME AS ANOTHER ROW","")))</f>
      </c>
      <c r="N1617" s="6">
        <v>0</v>
      </c>
      <c r="O1617" s="6" t="s">
        <v>2</v>
      </c>
    </row>
    <row r="1618" spans="1:15" x14ac:dyDescent="0.25">
      <c r="A1618">
        <v>1617</v>
      </c>
      <c r="B1618" t="s">
        <v>1358</v>
      </c>
      <c r="C1618" t="s">
        <v>2102</v>
      </c>
      <c r="D1618" t="s">
        <v>2</v>
      </c>
      <c r="E1618" t="s">
        <v>2105</v>
      </c>
      <c r="F1618" t="s">
        <v>2032</v>
      </c>
      <c r="G1618" t="s">
        <v>38</v>
      </c>
      <c r="H1618" t="s">
        <v>2033</v>
      </c>
      <c r="I1618" s="5" t="s">
        <v>2034</v>
      </c>
      <c r="J1618" s="5" t="s">
        <v>2</v>
      </c>
      <c r="K1618" s="5" t="s">
        <v>2</v>
      </c>
      <c r="L1618" s="6">
        <f>IF(I1618="Cut","",IF(I1618="Your call","(decide)",IF(I1618="Rename",J1618,IF(I1618="Keep",IF(D1618="",E1618,D1618),IF(E1618="(unchanged)",D1618,E1618)))))</f>
      </c>
      <c r="M1618" s="6">
        <f>IF(AND(I1618="Cut",N1618&gt;0,K1618=""),"USED: say what replaces it (Note)",IF(AND(I1618="Rename",J1618=""),"type the new name",IF(AND(L1618&lt;&gt;"",L1618&lt;&gt;"(decide)",COUNTIF($L$2:$L$1680,L1618)&gt;1),"SAME FINAL NAME AS ANOTHER ROW","")))</f>
      </c>
      <c r="N1618" s="6">
        <v>0</v>
      </c>
      <c r="O1618" s="6" t="s">
        <v>2</v>
      </c>
    </row>
    <row r="1619" spans="1:15" x14ac:dyDescent="0.25">
      <c r="A1619">
        <v>1618</v>
      </c>
      <c r="B1619" t="s">
        <v>1358</v>
      </c>
      <c r="C1619" t="s">
        <v>2102</v>
      </c>
      <c r="D1619" t="s">
        <v>2</v>
      </c>
      <c r="E1619" t="s">
        <v>2106</v>
      </c>
      <c r="F1619" t="s">
        <v>2032</v>
      </c>
      <c r="G1619" t="s">
        <v>38</v>
      </c>
      <c r="H1619" t="s">
        <v>2033</v>
      </c>
      <c r="I1619" s="5" t="s">
        <v>2034</v>
      </c>
      <c r="J1619" s="5" t="s">
        <v>2</v>
      </c>
      <c r="K1619" s="5" t="s">
        <v>2</v>
      </c>
      <c r="L1619" s="6">
        <f>IF(I1619="Cut","",IF(I1619="Your call","(decide)",IF(I1619="Rename",J1619,IF(I1619="Keep",IF(D1619="",E1619,D1619),IF(E1619="(unchanged)",D1619,E1619)))))</f>
      </c>
      <c r="M1619" s="6">
        <f>IF(AND(I1619="Cut",N1619&gt;0,K1619=""),"USED: say what replaces it (Note)",IF(AND(I1619="Rename",J1619=""),"type the new name",IF(AND(L1619&lt;&gt;"",L1619&lt;&gt;"(decide)",COUNTIF($L$2:$L$1680,L1619)&gt;1),"SAME FINAL NAME AS ANOTHER ROW","")))</f>
      </c>
      <c r="N1619" s="6">
        <v>0</v>
      </c>
      <c r="O1619" s="6" t="s">
        <v>2</v>
      </c>
    </row>
    <row r="1620" spans="1:15" x14ac:dyDescent="0.25">
      <c r="A1620">
        <v>1619</v>
      </c>
      <c r="B1620" t="s">
        <v>1471</v>
      </c>
      <c r="C1620" t="s">
        <v>1472</v>
      </c>
      <c r="D1620" t="s">
        <v>2</v>
      </c>
      <c r="E1620" t="s">
        <v>2107</v>
      </c>
      <c r="F1620" t="s">
        <v>2032</v>
      </c>
      <c r="G1620" t="s">
        <v>38</v>
      </c>
      <c r="H1620" t="s">
        <v>2033</v>
      </c>
      <c r="I1620" s="5" t="s">
        <v>2034</v>
      </c>
      <c r="J1620" s="5" t="s">
        <v>2</v>
      </c>
      <c r="K1620" s="5" t="s">
        <v>2</v>
      </c>
      <c r="L1620" s="6">
        <f>IF(I1620="Cut","",IF(I1620="Your call","(decide)",IF(I1620="Rename",J1620,IF(I1620="Keep",IF(D1620="",E1620,D1620),IF(E1620="(unchanged)",D1620,E1620)))))</f>
      </c>
      <c r="M1620" s="6">
        <f>IF(AND(I1620="Cut",N1620&gt;0,K1620=""),"USED: say what replaces it (Note)",IF(AND(I1620="Rename",J1620=""),"type the new name",IF(AND(L1620&lt;&gt;"",L1620&lt;&gt;"(decide)",COUNTIF($L$2:$L$1680,L1620)&gt;1),"SAME FINAL NAME AS ANOTHER ROW","")))</f>
      </c>
      <c r="N1620" s="6">
        <v>0</v>
      </c>
      <c r="O1620" s="6" t="s">
        <v>2</v>
      </c>
    </row>
    <row r="1621" spans="1:15" x14ac:dyDescent="0.25">
      <c r="A1621">
        <v>1620</v>
      </c>
      <c r="B1621" t="s">
        <v>1471</v>
      </c>
      <c r="C1621" t="s">
        <v>1472</v>
      </c>
      <c r="D1621" t="s">
        <v>2</v>
      </c>
      <c r="E1621" t="s">
        <v>2108</v>
      </c>
      <c r="F1621" t="s">
        <v>2032</v>
      </c>
      <c r="G1621" t="s">
        <v>38</v>
      </c>
      <c r="H1621" t="s">
        <v>2033</v>
      </c>
      <c r="I1621" s="5" t="s">
        <v>2034</v>
      </c>
      <c r="J1621" s="5" t="s">
        <v>2</v>
      </c>
      <c r="K1621" s="5" t="s">
        <v>2</v>
      </c>
      <c r="L1621" s="6">
        <f>IF(I1621="Cut","",IF(I1621="Your call","(decide)",IF(I1621="Rename",J1621,IF(I1621="Keep",IF(D1621="",E1621,D1621),IF(E1621="(unchanged)",D1621,E1621)))))</f>
      </c>
      <c r="M1621" s="6">
        <f>IF(AND(I1621="Cut",N1621&gt;0,K1621=""),"USED: say what replaces it (Note)",IF(AND(I1621="Rename",J1621=""),"type the new name",IF(AND(L1621&lt;&gt;"",L1621&lt;&gt;"(decide)",COUNTIF($L$2:$L$1680,L1621)&gt;1),"SAME FINAL NAME AS ANOTHER ROW","")))</f>
      </c>
      <c r="N1621" s="6">
        <v>0</v>
      </c>
      <c r="O1621" s="6" t="s">
        <v>2</v>
      </c>
    </row>
    <row r="1622" spans="1:15" x14ac:dyDescent="0.25">
      <c r="A1622">
        <v>1621</v>
      </c>
      <c r="B1622" t="s">
        <v>1471</v>
      </c>
      <c r="C1622" t="s">
        <v>1475</v>
      </c>
      <c r="D1622" t="s">
        <v>2</v>
      </c>
      <c r="E1622" t="s">
        <v>2109</v>
      </c>
      <c r="F1622" t="s">
        <v>2032</v>
      </c>
      <c r="G1622" t="s">
        <v>38</v>
      </c>
      <c r="H1622" t="s">
        <v>2033</v>
      </c>
      <c r="I1622" s="5" t="s">
        <v>2034</v>
      </c>
      <c r="J1622" s="5" t="s">
        <v>2</v>
      </c>
      <c r="K1622" s="5" t="s">
        <v>2</v>
      </c>
      <c r="L1622" s="6">
        <f>IF(I1622="Cut","",IF(I1622="Your call","(decide)",IF(I1622="Rename",J1622,IF(I1622="Keep",IF(D1622="",E1622,D1622),IF(E1622="(unchanged)",D1622,E1622)))))</f>
      </c>
      <c r="M1622" s="6">
        <f>IF(AND(I1622="Cut",N1622&gt;0,K1622=""),"USED: say what replaces it (Note)",IF(AND(I1622="Rename",J1622=""),"type the new name",IF(AND(L1622&lt;&gt;"",L1622&lt;&gt;"(decide)",COUNTIF($L$2:$L$1680,L1622)&gt;1),"SAME FINAL NAME AS ANOTHER ROW","")))</f>
      </c>
      <c r="N1622" s="6">
        <v>0</v>
      </c>
      <c r="O1622" s="6" t="s">
        <v>2</v>
      </c>
    </row>
    <row r="1623" spans="1:15" x14ac:dyDescent="0.25">
      <c r="A1623">
        <v>1622</v>
      </c>
      <c r="B1623" t="s">
        <v>1471</v>
      </c>
      <c r="C1623" t="s">
        <v>1475</v>
      </c>
      <c r="D1623" t="s">
        <v>2</v>
      </c>
      <c r="E1623" t="s">
        <v>2110</v>
      </c>
      <c r="F1623" t="s">
        <v>2032</v>
      </c>
      <c r="G1623" t="s">
        <v>38</v>
      </c>
      <c r="H1623" t="s">
        <v>2033</v>
      </c>
      <c r="I1623" s="5" t="s">
        <v>2034</v>
      </c>
      <c r="J1623" s="5" t="s">
        <v>2</v>
      </c>
      <c r="K1623" s="5" t="s">
        <v>2</v>
      </c>
      <c r="L1623" s="6">
        <f>IF(I1623="Cut","",IF(I1623="Your call","(decide)",IF(I1623="Rename",J1623,IF(I1623="Keep",IF(D1623="",E1623,D1623),IF(E1623="(unchanged)",D1623,E1623)))))</f>
      </c>
      <c r="M1623" s="6">
        <f>IF(AND(I1623="Cut",N1623&gt;0,K1623=""),"USED: say what replaces it (Note)",IF(AND(I1623="Rename",J1623=""),"type the new name",IF(AND(L1623&lt;&gt;"",L1623&lt;&gt;"(decide)",COUNTIF($L$2:$L$1680,L1623)&gt;1),"SAME FINAL NAME AS ANOTHER ROW","")))</f>
      </c>
      <c r="N1623" s="6">
        <v>0</v>
      </c>
      <c r="O1623" s="6" t="s">
        <v>2</v>
      </c>
    </row>
    <row r="1624" spans="1:15" x14ac:dyDescent="0.25">
      <c r="A1624">
        <v>1623</v>
      </c>
      <c r="B1624" t="s">
        <v>1471</v>
      </c>
      <c r="C1624" t="s">
        <v>2111</v>
      </c>
      <c r="D1624" t="s">
        <v>2</v>
      </c>
      <c r="E1624" t="s">
        <v>2112</v>
      </c>
      <c r="F1624" t="s">
        <v>2032</v>
      </c>
      <c r="G1624" t="s">
        <v>38</v>
      </c>
      <c r="H1624" t="s">
        <v>2033</v>
      </c>
      <c r="I1624" s="5" t="s">
        <v>2034</v>
      </c>
      <c r="J1624" s="5" t="s">
        <v>2</v>
      </c>
      <c r="K1624" s="5" t="s">
        <v>2</v>
      </c>
      <c r="L1624" s="6">
        <f>IF(I1624="Cut","",IF(I1624="Your call","(decide)",IF(I1624="Rename",J1624,IF(I1624="Keep",IF(D1624="",E1624,D1624),IF(E1624="(unchanged)",D1624,E1624)))))</f>
      </c>
      <c r="M1624" s="6">
        <f>IF(AND(I1624="Cut",N1624&gt;0,K1624=""),"USED: say what replaces it (Note)",IF(AND(I1624="Rename",J1624=""),"type the new name",IF(AND(L1624&lt;&gt;"",L1624&lt;&gt;"(decide)",COUNTIF($L$2:$L$1680,L1624)&gt;1),"SAME FINAL NAME AS ANOTHER ROW","")))</f>
      </c>
      <c r="N1624" s="6">
        <v>0</v>
      </c>
      <c r="O1624" s="6" t="s">
        <v>2</v>
      </c>
    </row>
    <row r="1625" spans="1:15" x14ac:dyDescent="0.25">
      <c r="A1625">
        <v>1624</v>
      </c>
      <c r="B1625" t="s">
        <v>1471</v>
      </c>
      <c r="C1625" t="s">
        <v>2111</v>
      </c>
      <c r="D1625" t="s">
        <v>2</v>
      </c>
      <c r="E1625" t="s">
        <v>2113</v>
      </c>
      <c r="F1625" t="s">
        <v>2032</v>
      </c>
      <c r="G1625" t="s">
        <v>38</v>
      </c>
      <c r="H1625" t="s">
        <v>2033</v>
      </c>
      <c r="I1625" s="5" t="s">
        <v>2034</v>
      </c>
      <c r="J1625" s="5" t="s">
        <v>2</v>
      </c>
      <c r="K1625" s="5" t="s">
        <v>2</v>
      </c>
      <c r="L1625" s="6">
        <f>IF(I1625="Cut","",IF(I1625="Your call","(decide)",IF(I1625="Rename",J1625,IF(I1625="Keep",IF(D1625="",E1625,D1625),IF(E1625="(unchanged)",D1625,E1625)))))</f>
      </c>
      <c r="M1625" s="6">
        <f>IF(AND(I1625="Cut",N1625&gt;0,K1625=""),"USED: say what replaces it (Note)",IF(AND(I1625="Rename",J1625=""),"type the new name",IF(AND(L1625&lt;&gt;"",L1625&lt;&gt;"(decide)",COUNTIF($L$2:$L$1680,L1625)&gt;1),"SAME FINAL NAME AS ANOTHER ROW","")))</f>
      </c>
      <c r="N1625" s="6">
        <v>0</v>
      </c>
      <c r="O1625" s="6" t="s">
        <v>2</v>
      </c>
    </row>
    <row r="1626" spans="1:15" x14ac:dyDescent="0.25">
      <c r="A1626">
        <v>1625</v>
      </c>
      <c r="B1626" t="s">
        <v>1471</v>
      </c>
      <c r="C1626" t="s">
        <v>2111</v>
      </c>
      <c r="D1626" t="s">
        <v>2</v>
      </c>
      <c r="E1626" t="s">
        <v>2114</v>
      </c>
      <c r="F1626" t="s">
        <v>2032</v>
      </c>
      <c r="G1626" t="s">
        <v>38</v>
      </c>
      <c r="H1626" t="s">
        <v>2033</v>
      </c>
      <c r="I1626" s="5" t="s">
        <v>2081</v>
      </c>
      <c r="J1626" s="5" t="s">
        <v>2</v>
      </c>
      <c r="K1626" s="5" t="s">
        <v>2115</v>
      </c>
      <c r="L1626" s="6">
        <f>IF(I1626="Cut","",IF(I1626="Your call","(decide)",IF(I1626="Rename",J1626,IF(I1626="Keep",IF(D1626="",E1626,D1626),IF(E1626="(unchanged)",D1626,E1626)))))</f>
      </c>
      <c r="M1626" s="6">
        <f>IF(AND(I1626="Cut",N1626&gt;0,K1626=""),"USED: say what replaces it (Note)",IF(AND(I1626="Rename",J1626=""),"type the new name",IF(AND(L1626&lt;&gt;"",L1626&lt;&gt;"(decide)",COUNTIF($L$2:$L$1680,L1626)&gt;1),"SAME FINAL NAME AS ANOTHER ROW","")))</f>
      </c>
      <c r="N1626" s="6">
        <v>0</v>
      </c>
      <c r="O1626" s="6" t="s">
        <v>2</v>
      </c>
    </row>
    <row r="1627" spans="1:15" x14ac:dyDescent="0.25">
      <c r="A1627">
        <v>1626</v>
      </c>
      <c r="B1627" t="s">
        <v>1471</v>
      </c>
      <c r="C1627" t="s">
        <v>2111</v>
      </c>
      <c r="D1627" t="s">
        <v>2</v>
      </c>
      <c r="E1627" t="s">
        <v>2116</v>
      </c>
      <c r="F1627" t="s">
        <v>2032</v>
      </c>
      <c r="G1627" t="s">
        <v>38</v>
      </c>
      <c r="H1627" t="s">
        <v>2033</v>
      </c>
      <c r="I1627" s="5" t="s">
        <v>2081</v>
      </c>
      <c r="J1627" s="5" t="s">
        <v>2</v>
      </c>
      <c r="K1627" s="5" t="s">
        <v>2117</v>
      </c>
      <c r="L1627" s="6">
        <f>IF(I1627="Cut","",IF(I1627="Your call","(decide)",IF(I1627="Rename",J1627,IF(I1627="Keep",IF(D1627="",E1627,D1627),IF(E1627="(unchanged)",D1627,E1627)))))</f>
      </c>
      <c r="M1627" s="6">
        <f>IF(AND(I1627="Cut",N1627&gt;0,K1627=""),"USED: say what replaces it (Note)",IF(AND(I1627="Rename",J1627=""),"type the new name",IF(AND(L1627&lt;&gt;"",L1627&lt;&gt;"(decide)",COUNTIF($L$2:$L$1680,L1627)&gt;1),"SAME FINAL NAME AS ANOTHER ROW","")))</f>
      </c>
      <c r="N1627" s="6">
        <v>0</v>
      </c>
      <c r="O1627" s="6" t="s">
        <v>2</v>
      </c>
    </row>
    <row r="1628" spans="1:15" x14ac:dyDescent="0.25">
      <c r="A1628">
        <v>1627</v>
      </c>
      <c r="B1628" t="s">
        <v>1471</v>
      </c>
      <c r="C1628" t="s">
        <v>2111</v>
      </c>
      <c r="D1628" t="s">
        <v>2</v>
      </c>
      <c r="E1628" t="s">
        <v>2118</v>
      </c>
      <c r="F1628" t="s">
        <v>2032</v>
      </c>
      <c r="G1628" t="s">
        <v>38</v>
      </c>
      <c r="H1628" t="s">
        <v>2033</v>
      </c>
      <c r="I1628" s="5" t="s">
        <v>2081</v>
      </c>
      <c r="J1628" s="5" t="s">
        <v>2</v>
      </c>
      <c r="K1628" s="5" t="s">
        <v>2119</v>
      </c>
      <c r="L1628" s="6">
        <f>IF(I1628="Cut","",IF(I1628="Your call","(decide)",IF(I1628="Rename",J1628,IF(I1628="Keep",IF(D1628="",E1628,D1628),IF(E1628="(unchanged)",D1628,E1628)))))</f>
      </c>
      <c r="M1628" s="6">
        <f>IF(AND(I1628="Cut",N1628&gt;0,K1628=""),"USED: say what replaces it (Note)",IF(AND(I1628="Rename",J1628=""),"type the new name",IF(AND(L1628&lt;&gt;"",L1628&lt;&gt;"(decide)",COUNTIF($L$2:$L$1680,L1628)&gt;1),"SAME FINAL NAME AS ANOTHER ROW","")))</f>
      </c>
      <c r="N1628" s="6">
        <v>0</v>
      </c>
      <c r="O1628" s="6" t="s">
        <v>2</v>
      </c>
    </row>
    <row r="1629" spans="1:15" x14ac:dyDescent="0.25">
      <c r="A1629">
        <v>1628</v>
      </c>
      <c r="B1629" t="s">
        <v>1471</v>
      </c>
      <c r="C1629" t="s">
        <v>2111</v>
      </c>
      <c r="D1629" t="s">
        <v>2</v>
      </c>
      <c r="E1629" t="s">
        <v>2120</v>
      </c>
      <c r="F1629" t="s">
        <v>2032</v>
      </c>
      <c r="G1629" t="s">
        <v>38</v>
      </c>
      <c r="H1629" t="s">
        <v>2033</v>
      </c>
      <c r="I1629" s="5" t="s">
        <v>2034</v>
      </c>
      <c r="J1629" s="5" t="s">
        <v>2</v>
      </c>
      <c r="K1629" s="5" t="s">
        <v>2</v>
      </c>
      <c r="L1629" s="6">
        <f>IF(I1629="Cut","",IF(I1629="Your call","(decide)",IF(I1629="Rename",J1629,IF(I1629="Keep",IF(D1629="",E1629,D1629),IF(E1629="(unchanged)",D1629,E1629)))))</f>
      </c>
      <c r="M1629" s="6">
        <f>IF(AND(I1629="Cut",N1629&gt;0,K1629=""),"USED: say what replaces it (Note)",IF(AND(I1629="Rename",J1629=""),"type the new name",IF(AND(L1629&lt;&gt;"",L1629&lt;&gt;"(decide)",COUNTIF($L$2:$L$1680,L1629)&gt;1),"SAME FINAL NAME AS ANOTHER ROW","")))</f>
      </c>
      <c r="N1629" s="6">
        <v>0</v>
      </c>
      <c r="O1629" s="6" t="s">
        <v>2</v>
      </c>
    </row>
    <row r="1630" spans="1:15" x14ac:dyDescent="0.25">
      <c r="A1630">
        <v>1629</v>
      </c>
      <c r="B1630" t="s">
        <v>1471</v>
      </c>
      <c r="C1630" t="s">
        <v>1487</v>
      </c>
      <c r="D1630" t="s">
        <v>2</v>
      </c>
      <c r="E1630" t="s">
        <v>2121</v>
      </c>
      <c r="F1630" t="s">
        <v>2032</v>
      </c>
      <c r="G1630" t="s">
        <v>38</v>
      </c>
      <c r="H1630" t="s">
        <v>2033</v>
      </c>
      <c r="I1630" s="5" t="s">
        <v>2034</v>
      </c>
      <c r="J1630" s="5" t="s">
        <v>2</v>
      </c>
      <c r="K1630" s="5" t="s">
        <v>2</v>
      </c>
      <c r="L1630" s="6">
        <f>IF(I1630="Cut","",IF(I1630="Your call","(decide)",IF(I1630="Rename",J1630,IF(I1630="Keep",IF(D1630="",E1630,D1630),IF(E1630="(unchanged)",D1630,E1630)))))</f>
      </c>
      <c r="M1630" s="6">
        <f>IF(AND(I1630="Cut",N1630&gt;0,K1630=""),"USED: say what replaces it (Note)",IF(AND(I1630="Rename",J1630=""),"type the new name",IF(AND(L1630&lt;&gt;"",L1630&lt;&gt;"(decide)",COUNTIF($L$2:$L$1680,L1630)&gt;1),"SAME FINAL NAME AS ANOTHER ROW","")))</f>
      </c>
      <c r="N1630" s="6">
        <v>0</v>
      </c>
      <c r="O1630" s="6" t="s">
        <v>2</v>
      </c>
    </row>
    <row r="1631" spans="1:15" x14ac:dyDescent="0.25">
      <c r="A1631">
        <v>1630</v>
      </c>
      <c r="B1631" t="s">
        <v>1471</v>
      </c>
      <c r="C1631" t="s">
        <v>1487</v>
      </c>
      <c r="D1631" t="s">
        <v>2</v>
      </c>
      <c r="E1631" t="s">
        <v>2122</v>
      </c>
      <c r="F1631" t="s">
        <v>2032</v>
      </c>
      <c r="G1631" t="s">
        <v>38</v>
      </c>
      <c r="H1631" t="s">
        <v>2033</v>
      </c>
      <c r="I1631" s="5" t="s">
        <v>2034</v>
      </c>
      <c r="J1631" s="5" t="s">
        <v>2</v>
      </c>
      <c r="K1631" s="5" t="s">
        <v>2</v>
      </c>
      <c r="L1631" s="6">
        <f>IF(I1631="Cut","",IF(I1631="Your call","(decide)",IF(I1631="Rename",J1631,IF(I1631="Keep",IF(D1631="",E1631,D1631),IF(E1631="(unchanged)",D1631,E1631)))))</f>
      </c>
      <c r="M1631" s="6">
        <f>IF(AND(I1631="Cut",N1631&gt;0,K1631=""),"USED: say what replaces it (Note)",IF(AND(I1631="Rename",J1631=""),"type the new name",IF(AND(L1631&lt;&gt;"",L1631&lt;&gt;"(decide)",COUNTIF($L$2:$L$1680,L1631)&gt;1),"SAME FINAL NAME AS ANOTHER ROW","")))</f>
      </c>
      <c r="N1631" s="6">
        <v>0</v>
      </c>
      <c r="O1631" s="6" t="s">
        <v>2</v>
      </c>
    </row>
    <row r="1632" spans="1:15" x14ac:dyDescent="0.25">
      <c r="A1632">
        <v>1631</v>
      </c>
      <c r="B1632" t="s">
        <v>1471</v>
      </c>
      <c r="C1632" t="s">
        <v>1492</v>
      </c>
      <c r="D1632" t="s">
        <v>2</v>
      </c>
      <c r="E1632" t="s">
        <v>2123</v>
      </c>
      <c r="F1632" t="s">
        <v>2032</v>
      </c>
      <c r="G1632" t="s">
        <v>38</v>
      </c>
      <c r="H1632" t="s">
        <v>2033</v>
      </c>
      <c r="I1632" s="5" t="s">
        <v>2034</v>
      </c>
      <c r="J1632" s="5" t="s">
        <v>2</v>
      </c>
      <c r="K1632" s="5" t="s">
        <v>2</v>
      </c>
      <c r="L1632" s="6">
        <f>IF(I1632="Cut","",IF(I1632="Your call","(decide)",IF(I1632="Rename",J1632,IF(I1632="Keep",IF(D1632="",E1632,D1632),IF(E1632="(unchanged)",D1632,E1632)))))</f>
      </c>
      <c r="M1632" s="6">
        <f>IF(AND(I1632="Cut",N1632&gt;0,K1632=""),"USED: say what replaces it (Note)",IF(AND(I1632="Rename",J1632=""),"type the new name",IF(AND(L1632&lt;&gt;"",L1632&lt;&gt;"(decide)",COUNTIF($L$2:$L$1680,L1632)&gt;1),"SAME FINAL NAME AS ANOTHER ROW","")))</f>
      </c>
      <c r="N1632" s="6">
        <v>0</v>
      </c>
      <c r="O1632" s="6" t="s">
        <v>2</v>
      </c>
    </row>
    <row r="1633" spans="1:15" x14ac:dyDescent="0.25">
      <c r="A1633">
        <v>1632</v>
      </c>
      <c r="B1633" t="s">
        <v>1471</v>
      </c>
      <c r="C1633" t="s">
        <v>1492</v>
      </c>
      <c r="D1633" t="s">
        <v>2</v>
      </c>
      <c r="E1633" t="s">
        <v>2124</v>
      </c>
      <c r="F1633" t="s">
        <v>2032</v>
      </c>
      <c r="G1633" t="s">
        <v>38</v>
      </c>
      <c r="H1633" t="s">
        <v>2033</v>
      </c>
      <c r="I1633" s="5" t="s">
        <v>2034</v>
      </c>
      <c r="J1633" s="5" t="s">
        <v>2</v>
      </c>
      <c r="K1633" s="5" t="s">
        <v>2</v>
      </c>
      <c r="L1633" s="6">
        <f>IF(I1633="Cut","",IF(I1633="Your call","(decide)",IF(I1633="Rename",J1633,IF(I1633="Keep",IF(D1633="",E1633,D1633),IF(E1633="(unchanged)",D1633,E1633)))))</f>
      </c>
      <c r="M1633" s="6">
        <f>IF(AND(I1633="Cut",N1633&gt;0,K1633=""),"USED: say what replaces it (Note)",IF(AND(I1633="Rename",J1633=""),"type the new name",IF(AND(L1633&lt;&gt;"",L1633&lt;&gt;"(decide)",COUNTIF($L$2:$L$1680,L1633)&gt;1),"SAME FINAL NAME AS ANOTHER ROW","")))</f>
      </c>
      <c r="N1633" s="6">
        <v>0</v>
      </c>
      <c r="O1633" s="6" t="s">
        <v>2</v>
      </c>
    </row>
    <row r="1634" spans="1:15" x14ac:dyDescent="0.25">
      <c r="A1634">
        <v>1633</v>
      </c>
      <c r="B1634" t="s">
        <v>1471</v>
      </c>
      <c r="C1634" t="s">
        <v>2125</v>
      </c>
      <c r="D1634" t="s">
        <v>2</v>
      </c>
      <c r="E1634" t="s">
        <v>2126</v>
      </c>
      <c r="F1634" t="s">
        <v>2032</v>
      </c>
      <c r="G1634" t="s">
        <v>38</v>
      </c>
      <c r="H1634" t="s">
        <v>2033</v>
      </c>
      <c r="I1634" s="5" t="s">
        <v>2034</v>
      </c>
      <c r="J1634" s="5" t="s">
        <v>2</v>
      </c>
      <c r="K1634" s="5" t="s">
        <v>2</v>
      </c>
      <c r="L1634" s="6">
        <f>IF(I1634="Cut","",IF(I1634="Your call","(decide)",IF(I1634="Rename",J1634,IF(I1634="Keep",IF(D1634="",E1634,D1634),IF(E1634="(unchanged)",D1634,E1634)))))</f>
      </c>
      <c r="M1634" s="6">
        <f>IF(AND(I1634="Cut",N1634&gt;0,K1634=""),"USED: say what replaces it (Note)",IF(AND(I1634="Rename",J1634=""),"type the new name",IF(AND(L1634&lt;&gt;"",L1634&lt;&gt;"(decide)",COUNTIF($L$2:$L$1680,L1634)&gt;1),"SAME FINAL NAME AS ANOTHER ROW","")))</f>
      </c>
      <c r="N1634" s="6">
        <v>0</v>
      </c>
      <c r="O1634" s="6" t="s">
        <v>2</v>
      </c>
    </row>
    <row r="1635" spans="1:15" x14ac:dyDescent="0.25">
      <c r="A1635">
        <v>1634</v>
      </c>
      <c r="B1635" t="s">
        <v>1471</v>
      </c>
      <c r="C1635" t="s">
        <v>2125</v>
      </c>
      <c r="D1635" t="s">
        <v>2</v>
      </c>
      <c r="E1635" t="s">
        <v>2127</v>
      </c>
      <c r="F1635" t="s">
        <v>2032</v>
      </c>
      <c r="G1635" t="s">
        <v>38</v>
      </c>
      <c r="H1635" t="s">
        <v>2033</v>
      </c>
      <c r="I1635" s="5" t="s">
        <v>2034</v>
      </c>
      <c r="J1635" s="5" t="s">
        <v>2</v>
      </c>
      <c r="K1635" s="5" t="s">
        <v>2</v>
      </c>
      <c r="L1635" s="6">
        <f>IF(I1635="Cut","",IF(I1635="Your call","(decide)",IF(I1635="Rename",J1635,IF(I1635="Keep",IF(D1635="",E1635,D1635),IF(E1635="(unchanged)",D1635,E1635)))))</f>
      </c>
      <c r="M1635" s="6">
        <f>IF(AND(I1635="Cut",N1635&gt;0,K1635=""),"USED: say what replaces it (Note)",IF(AND(I1635="Rename",J1635=""),"type the new name",IF(AND(L1635&lt;&gt;"",L1635&lt;&gt;"(decide)",COUNTIF($L$2:$L$1680,L1635)&gt;1),"SAME FINAL NAME AS ANOTHER ROW","")))</f>
      </c>
      <c r="N1635" s="6">
        <v>0</v>
      </c>
      <c r="O1635" s="6" t="s">
        <v>2</v>
      </c>
    </row>
    <row r="1636" spans="1:15" x14ac:dyDescent="0.25">
      <c r="A1636">
        <v>1635</v>
      </c>
      <c r="B1636" t="s">
        <v>1471</v>
      </c>
      <c r="C1636" t="s">
        <v>2125</v>
      </c>
      <c r="D1636" t="s">
        <v>2</v>
      </c>
      <c r="E1636" t="s">
        <v>2128</v>
      </c>
      <c r="F1636" t="s">
        <v>2032</v>
      </c>
      <c r="G1636" t="s">
        <v>38</v>
      </c>
      <c r="H1636" t="s">
        <v>2033</v>
      </c>
      <c r="I1636" s="5" t="s">
        <v>2034</v>
      </c>
      <c r="J1636" s="5" t="s">
        <v>2</v>
      </c>
      <c r="K1636" s="5" t="s">
        <v>2</v>
      </c>
      <c r="L1636" s="6">
        <f>IF(I1636="Cut","",IF(I1636="Your call","(decide)",IF(I1636="Rename",J1636,IF(I1636="Keep",IF(D1636="",E1636,D1636),IF(E1636="(unchanged)",D1636,E1636)))))</f>
      </c>
      <c r="M1636" s="6">
        <f>IF(AND(I1636="Cut",N1636&gt;0,K1636=""),"USED: say what replaces it (Note)",IF(AND(I1636="Rename",J1636=""),"type the new name",IF(AND(L1636&lt;&gt;"",L1636&lt;&gt;"(decide)",COUNTIF($L$2:$L$1680,L1636)&gt;1),"SAME FINAL NAME AS ANOTHER ROW","")))</f>
      </c>
      <c r="N1636" s="6">
        <v>0</v>
      </c>
      <c r="O1636" s="6" t="s">
        <v>2</v>
      </c>
    </row>
    <row r="1637" spans="1:15" x14ac:dyDescent="0.25">
      <c r="A1637">
        <v>1636</v>
      </c>
      <c r="B1637" t="s">
        <v>1471</v>
      </c>
      <c r="C1637" t="s">
        <v>2125</v>
      </c>
      <c r="D1637" t="s">
        <v>2</v>
      </c>
      <c r="E1637" t="s">
        <v>2129</v>
      </c>
      <c r="F1637" t="s">
        <v>2032</v>
      </c>
      <c r="G1637" t="s">
        <v>38</v>
      </c>
      <c r="H1637" t="s">
        <v>2033</v>
      </c>
      <c r="I1637" s="5" t="s">
        <v>2034</v>
      </c>
      <c r="J1637" s="5" t="s">
        <v>2</v>
      </c>
      <c r="K1637" s="5" t="s">
        <v>2</v>
      </c>
      <c r="L1637" s="6">
        <f>IF(I1637="Cut","",IF(I1637="Your call","(decide)",IF(I1637="Rename",J1637,IF(I1637="Keep",IF(D1637="",E1637,D1637),IF(E1637="(unchanged)",D1637,E1637)))))</f>
      </c>
      <c r="M1637" s="6">
        <f>IF(AND(I1637="Cut",N1637&gt;0,K1637=""),"USED: say what replaces it (Note)",IF(AND(I1637="Rename",J1637=""),"type the new name",IF(AND(L1637&lt;&gt;"",L1637&lt;&gt;"(decide)",COUNTIF($L$2:$L$1680,L1637)&gt;1),"SAME FINAL NAME AS ANOTHER ROW","")))</f>
      </c>
      <c r="N1637" s="6">
        <v>0</v>
      </c>
      <c r="O1637" s="6" t="s">
        <v>2</v>
      </c>
    </row>
    <row r="1638" spans="1:15" x14ac:dyDescent="0.25">
      <c r="A1638">
        <v>1637</v>
      </c>
      <c r="B1638" t="s">
        <v>1471</v>
      </c>
      <c r="C1638" t="s">
        <v>1568</v>
      </c>
      <c r="D1638" t="s">
        <v>2</v>
      </c>
      <c r="E1638" t="s">
        <v>2130</v>
      </c>
      <c r="F1638" t="s">
        <v>2032</v>
      </c>
      <c r="G1638" t="s">
        <v>38</v>
      </c>
      <c r="H1638" t="s">
        <v>2033</v>
      </c>
      <c r="I1638" s="5" t="s">
        <v>2034</v>
      </c>
      <c r="J1638" s="5" t="s">
        <v>2</v>
      </c>
      <c r="K1638" s="5" t="s">
        <v>2</v>
      </c>
      <c r="L1638" s="6">
        <f>IF(I1638="Cut","",IF(I1638="Your call","(decide)",IF(I1638="Rename",J1638,IF(I1638="Keep",IF(D1638="",E1638,D1638),IF(E1638="(unchanged)",D1638,E1638)))))</f>
      </c>
      <c r="M1638" s="6">
        <f>IF(AND(I1638="Cut",N1638&gt;0,K1638=""),"USED: say what replaces it (Note)",IF(AND(I1638="Rename",J1638=""),"type the new name",IF(AND(L1638&lt;&gt;"",L1638&lt;&gt;"(decide)",COUNTIF($L$2:$L$1680,L1638)&gt;1),"SAME FINAL NAME AS ANOTHER ROW","")))</f>
      </c>
      <c r="N1638" s="6">
        <v>0</v>
      </c>
      <c r="O1638" s="6" t="s">
        <v>2</v>
      </c>
    </row>
    <row r="1639" spans="1:15" x14ac:dyDescent="0.25">
      <c r="A1639">
        <v>1638</v>
      </c>
      <c r="B1639" t="s">
        <v>1471</v>
      </c>
      <c r="C1639" t="s">
        <v>1568</v>
      </c>
      <c r="D1639" t="s">
        <v>2</v>
      </c>
      <c r="E1639" t="s">
        <v>2131</v>
      </c>
      <c r="F1639" t="s">
        <v>2032</v>
      </c>
      <c r="G1639" t="s">
        <v>38</v>
      </c>
      <c r="H1639" t="s">
        <v>2033</v>
      </c>
      <c r="I1639" s="5" t="s">
        <v>2034</v>
      </c>
      <c r="J1639" s="5" t="s">
        <v>2</v>
      </c>
      <c r="K1639" s="5" t="s">
        <v>2</v>
      </c>
      <c r="L1639" s="6">
        <f>IF(I1639="Cut","",IF(I1639="Your call","(decide)",IF(I1639="Rename",J1639,IF(I1639="Keep",IF(D1639="",E1639,D1639),IF(E1639="(unchanged)",D1639,E1639)))))</f>
      </c>
      <c r="M1639" s="6">
        <f>IF(AND(I1639="Cut",N1639&gt;0,K1639=""),"USED: say what replaces it (Note)",IF(AND(I1639="Rename",J1639=""),"type the new name",IF(AND(L1639&lt;&gt;"",L1639&lt;&gt;"(decide)",COUNTIF($L$2:$L$1680,L1639)&gt;1),"SAME FINAL NAME AS ANOTHER ROW","")))</f>
      </c>
      <c r="N1639" s="6">
        <v>0</v>
      </c>
      <c r="O1639" s="6" t="s">
        <v>2</v>
      </c>
    </row>
    <row r="1640" spans="1:15" x14ac:dyDescent="0.25">
      <c r="A1640">
        <v>1639</v>
      </c>
      <c r="B1640" t="s">
        <v>1471</v>
      </c>
      <c r="C1640" t="s">
        <v>1578</v>
      </c>
      <c r="D1640" t="s">
        <v>2</v>
      </c>
      <c r="E1640" t="s">
        <v>2132</v>
      </c>
      <c r="F1640" t="s">
        <v>2032</v>
      </c>
      <c r="G1640" t="s">
        <v>38</v>
      </c>
      <c r="H1640" t="s">
        <v>2033</v>
      </c>
      <c r="I1640" s="5" t="s">
        <v>2034</v>
      </c>
      <c r="J1640" s="5" t="s">
        <v>2</v>
      </c>
      <c r="K1640" s="5" t="s">
        <v>2</v>
      </c>
      <c r="L1640" s="6">
        <f>IF(I1640="Cut","",IF(I1640="Your call","(decide)",IF(I1640="Rename",J1640,IF(I1640="Keep",IF(D1640="",E1640,D1640),IF(E1640="(unchanged)",D1640,E1640)))))</f>
      </c>
      <c r="M1640" s="6">
        <f>IF(AND(I1640="Cut",N1640&gt;0,K1640=""),"USED: say what replaces it (Note)",IF(AND(I1640="Rename",J1640=""),"type the new name",IF(AND(L1640&lt;&gt;"",L1640&lt;&gt;"(decide)",COUNTIF($L$2:$L$1680,L1640)&gt;1),"SAME FINAL NAME AS ANOTHER ROW","")))</f>
      </c>
      <c r="N1640" s="6">
        <v>0</v>
      </c>
      <c r="O1640" s="6" t="s">
        <v>2</v>
      </c>
    </row>
    <row r="1641" spans="1:15" x14ac:dyDescent="0.25">
      <c r="A1641">
        <v>1640</v>
      </c>
      <c r="B1641" t="s">
        <v>1471</v>
      </c>
      <c r="C1641" t="s">
        <v>1578</v>
      </c>
      <c r="D1641" t="s">
        <v>2</v>
      </c>
      <c r="E1641" t="s">
        <v>2133</v>
      </c>
      <c r="F1641" t="s">
        <v>2032</v>
      </c>
      <c r="G1641" t="s">
        <v>38</v>
      </c>
      <c r="H1641" t="s">
        <v>2033</v>
      </c>
      <c r="I1641" s="5" t="s">
        <v>2034</v>
      </c>
      <c r="J1641" s="5" t="s">
        <v>2</v>
      </c>
      <c r="K1641" s="5" t="s">
        <v>2</v>
      </c>
      <c r="L1641" s="6">
        <f>IF(I1641="Cut","",IF(I1641="Your call","(decide)",IF(I1641="Rename",J1641,IF(I1641="Keep",IF(D1641="",E1641,D1641),IF(E1641="(unchanged)",D1641,E1641)))))</f>
      </c>
      <c r="M1641" s="6">
        <f>IF(AND(I1641="Cut",N1641&gt;0,K1641=""),"USED: say what replaces it (Note)",IF(AND(I1641="Rename",J1641=""),"type the new name",IF(AND(L1641&lt;&gt;"",L1641&lt;&gt;"(decide)",COUNTIF($L$2:$L$1680,L1641)&gt;1),"SAME FINAL NAME AS ANOTHER ROW","")))</f>
      </c>
      <c r="N1641" s="6">
        <v>0</v>
      </c>
      <c r="O1641" s="6" t="s">
        <v>2</v>
      </c>
    </row>
    <row r="1642" spans="1:15" x14ac:dyDescent="0.25">
      <c r="A1642">
        <v>1641</v>
      </c>
      <c r="B1642" t="s">
        <v>1471</v>
      </c>
      <c r="C1642" t="s">
        <v>1581</v>
      </c>
      <c r="D1642" t="s">
        <v>2</v>
      </c>
      <c r="E1642" t="s">
        <v>2134</v>
      </c>
      <c r="F1642" t="s">
        <v>2032</v>
      </c>
      <c r="G1642" t="s">
        <v>38</v>
      </c>
      <c r="H1642" t="s">
        <v>2033</v>
      </c>
      <c r="I1642" s="5" t="s">
        <v>2034</v>
      </c>
      <c r="J1642" s="5" t="s">
        <v>2</v>
      </c>
      <c r="K1642" s="5" t="s">
        <v>2</v>
      </c>
      <c r="L1642" s="6">
        <f>IF(I1642="Cut","",IF(I1642="Your call","(decide)",IF(I1642="Rename",J1642,IF(I1642="Keep",IF(D1642="",E1642,D1642),IF(E1642="(unchanged)",D1642,E1642)))))</f>
      </c>
      <c r="M1642" s="6">
        <f>IF(AND(I1642="Cut",N1642&gt;0,K1642=""),"USED: say what replaces it (Note)",IF(AND(I1642="Rename",J1642=""),"type the new name",IF(AND(L1642&lt;&gt;"",L1642&lt;&gt;"(decide)",COUNTIF($L$2:$L$1680,L1642)&gt;1),"SAME FINAL NAME AS ANOTHER ROW","")))</f>
      </c>
      <c r="N1642" s="6">
        <v>0</v>
      </c>
      <c r="O1642" s="6" t="s">
        <v>2</v>
      </c>
    </row>
    <row r="1643" spans="1:15" x14ac:dyDescent="0.25">
      <c r="A1643">
        <v>1642</v>
      </c>
      <c r="B1643" t="s">
        <v>1471</v>
      </c>
      <c r="C1643" t="s">
        <v>1581</v>
      </c>
      <c r="D1643" t="s">
        <v>2</v>
      </c>
      <c r="E1643" t="s">
        <v>2135</v>
      </c>
      <c r="F1643" t="s">
        <v>2032</v>
      </c>
      <c r="G1643" t="s">
        <v>38</v>
      </c>
      <c r="H1643" t="s">
        <v>2033</v>
      </c>
      <c r="I1643" s="5" t="s">
        <v>2034</v>
      </c>
      <c r="J1643" s="5" t="s">
        <v>2</v>
      </c>
      <c r="K1643" s="5" t="s">
        <v>2</v>
      </c>
      <c r="L1643" s="6">
        <f>IF(I1643="Cut","",IF(I1643="Your call","(decide)",IF(I1643="Rename",J1643,IF(I1643="Keep",IF(D1643="",E1643,D1643),IF(E1643="(unchanged)",D1643,E1643)))))</f>
      </c>
      <c r="M1643" s="6">
        <f>IF(AND(I1643="Cut",N1643&gt;0,K1643=""),"USED: say what replaces it (Note)",IF(AND(I1643="Rename",J1643=""),"type the new name",IF(AND(L1643&lt;&gt;"",L1643&lt;&gt;"(decide)",COUNTIF($L$2:$L$1680,L1643)&gt;1),"SAME FINAL NAME AS ANOTHER ROW","")))</f>
      </c>
      <c r="N1643" s="6">
        <v>0</v>
      </c>
      <c r="O1643" s="6" t="s">
        <v>2</v>
      </c>
    </row>
    <row r="1644" spans="1:15" x14ac:dyDescent="0.25">
      <c r="A1644">
        <v>1643</v>
      </c>
      <c r="B1644" t="s">
        <v>1471</v>
      </c>
      <c r="C1644" t="s">
        <v>1584</v>
      </c>
      <c r="D1644" t="s">
        <v>2</v>
      </c>
      <c r="E1644" t="s">
        <v>2136</v>
      </c>
      <c r="F1644" t="s">
        <v>2032</v>
      </c>
      <c r="G1644" t="s">
        <v>38</v>
      </c>
      <c r="H1644" t="s">
        <v>2033</v>
      </c>
      <c r="I1644" s="5" t="s">
        <v>2034</v>
      </c>
      <c r="J1644" s="5" t="s">
        <v>2</v>
      </c>
      <c r="K1644" s="5" t="s">
        <v>2</v>
      </c>
      <c r="L1644" s="6">
        <f>IF(I1644="Cut","",IF(I1644="Your call","(decide)",IF(I1644="Rename",J1644,IF(I1644="Keep",IF(D1644="",E1644,D1644),IF(E1644="(unchanged)",D1644,E1644)))))</f>
      </c>
      <c r="M1644" s="6">
        <f>IF(AND(I1644="Cut",N1644&gt;0,K1644=""),"USED: say what replaces it (Note)",IF(AND(I1644="Rename",J1644=""),"type the new name",IF(AND(L1644&lt;&gt;"",L1644&lt;&gt;"(decide)",COUNTIF($L$2:$L$1680,L1644)&gt;1),"SAME FINAL NAME AS ANOTHER ROW","")))</f>
      </c>
      <c r="N1644" s="6">
        <v>0</v>
      </c>
      <c r="O1644" s="6" t="s">
        <v>2</v>
      </c>
    </row>
    <row r="1645" spans="1:15" x14ac:dyDescent="0.25">
      <c r="A1645">
        <v>1644</v>
      </c>
      <c r="B1645" t="s">
        <v>1471</v>
      </c>
      <c r="C1645" t="s">
        <v>1584</v>
      </c>
      <c r="D1645" t="s">
        <v>2</v>
      </c>
      <c r="E1645" t="s">
        <v>2137</v>
      </c>
      <c r="F1645" t="s">
        <v>2032</v>
      </c>
      <c r="G1645" t="s">
        <v>38</v>
      </c>
      <c r="H1645" t="s">
        <v>2033</v>
      </c>
      <c r="I1645" s="5" t="s">
        <v>2034</v>
      </c>
      <c r="J1645" s="5" t="s">
        <v>2</v>
      </c>
      <c r="K1645" s="5" t="s">
        <v>2</v>
      </c>
      <c r="L1645" s="6">
        <f>IF(I1645="Cut","",IF(I1645="Your call","(decide)",IF(I1645="Rename",J1645,IF(I1645="Keep",IF(D1645="",E1645,D1645),IF(E1645="(unchanged)",D1645,E1645)))))</f>
      </c>
      <c r="M1645" s="6">
        <f>IF(AND(I1645="Cut",N1645&gt;0,K1645=""),"USED: say what replaces it (Note)",IF(AND(I1645="Rename",J1645=""),"type the new name",IF(AND(L1645&lt;&gt;"",L1645&lt;&gt;"(decide)",COUNTIF($L$2:$L$1680,L1645)&gt;1),"SAME FINAL NAME AS ANOTHER ROW","")))</f>
      </c>
      <c r="N1645" s="6">
        <v>0</v>
      </c>
      <c r="O1645" s="6" t="s">
        <v>2</v>
      </c>
    </row>
    <row r="1646" spans="1:15" x14ac:dyDescent="0.25">
      <c r="A1646">
        <v>1645</v>
      </c>
      <c r="B1646" t="s">
        <v>1471</v>
      </c>
      <c r="C1646" t="s">
        <v>1587</v>
      </c>
      <c r="D1646" t="s">
        <v>2</v>
      </c>
      <c r="E1646" t="s">
        <v>2138</v>
      </c>
      <c r="F1646" t="s">
        <v>2032</v>
      </c>
      <c r="G1646" t="s">
        <v>38</v>
      </c>
      <c r="H1646" t="s">
        <v>2033</v>
      </c>
      <c r="I1646" s="5" t="s">
        <v>2034</v>
      </c>
      <c r="J1646" s="5" t="s">
        <v>2</v>
      </c>
      <c r="K1646" s="5" t="s">
        <v>2</v>
      </c>
      <c r="L1646" s="6">
        <f>IF(I1646="Cut","",IF(I1646="Your call","(decide)",IF(I1646="Rename",J1646,IF(I1646="Keep",IF(D1646="",E1646,D1646),IF(E1646="(unchanged)",D1646,E1646)))))</f>
      </c>
      <c r="M1646" s="6">
        <f>IF(AND(I1646="Cut",N1646&gt;0,K1646=""),"USED: say what replaces it (Note)",IF(AND(I1646="Rename",J1646=""),"type the new name",IF(AND(L1646&lt;&gt;"",L1646&lt;&gt;"(decide)",COUNTIF($L$2:$L$1680,L1646)&gt;1),"SAME FINAL NAME AS ANOTHER ROW","")))</f>
      </c>
      <c r="N1646" s="6">
        <v>0</v>
      </c>
      <c r="O1646" s="6" t="s">
        <v>2</v>
      </c>
    </row>
    <row r="1647" spans="1:15" x14ac:dyDescent="0.25">
      <c r="A1647">
        <v>1646</v>
      </c>
      <c r="B1647" t="s">
        <v>1471</v>
      </c>
      <c r="C1647" t="s">
        <v>1587</v>
      </c>
      <c r="D1647" t="s">
        <v>2</v>
      </c>
      <c r="E1647" t="s">
        <v>2139</v>
      </c>
      <c r="F1647" t="s">
        <v>2032</v>
      </c>
      <c r="G1647" t="s">
        <v>38</v>
      </c>
      <c r="H1647" t="s">
        <v>2033</v>
      </c>
      <c r="I1647" s="5" t="s">
        <v>2034</v>
      </c>
      <c r="J1647" s="5" t="s">
        <v>2</v>
      </c>
      <c r="K1647" s="5" t="s">
        <v>2</v>
      </c>
      <c r="L1647" s="6">
        <f>IF(I1647="Cut","",IF(I1647="Your call","(decide)",IF(I1647="Rename",J1647,IF(I1647="Keep",IF(D1647="",E1647,D1647),IF(E1647="(unchanged)",D1647,E1647)))))</f>
      </c>
      <c r="M1647" s="6">
        <f>IF(AND(I1647="Cut",N1647&gt;0,K1647=""),"USED: say what replaces it (Note)",IF(AND(I1647="Rename",J1647=""),"type the new name",IF(AND(L1647&lt;&gt;"",L1647&lt;&gt;"(decide)",COUNTIF($L$2:$L$1680,L1647)&gt;1),"SAME FINAL NAME AS ANOTHER ROW","")))</f>
      </c>
      <c r="N1647" s="6">
        <v>0</v>
      </c>
      <c r="O1647" s="6" t="s">
        <v>2</v>
      </c>
    </row>
    <row r="1648" spans="1:15" x14ac:dyDescent="0.25">
      <c r="A1648">
        <v>1647</v>
      </c>
      <c r="B1648" t="s">
        <v>1471</v>
      </c>
      <c r="C1648" t="s">
        <v>1590</v>
      </c>
      <c r="D1648" t="s">
        <v>2</v>
      </c>
      <c r="E1648" t="s">
        <v>2140</v>
      </c>
      <c r="F1648" t="s">
        <v>2032</v>
      </c>
      <c r="G1648" t="s">
        <v>38</v>
      </c>
      <c r="H1648" t="s">
        <v>2033</v>
      </c>
      <c r="I1648" s="5" t="s">
        <v>2034</v>
      </c>
      <c r="J1648" s="5" t="s">
        <v>2</v>
      </c>
      <c r="K1648" s="5" t="s">
        <v>2</v>
      </c>
      <c r="L1648" s="6">
        <f>IF(I1648="Cut","",IF(I1648="Your call","(decide)",IF(I1648="Rename",J1648,IF(I1648="Keep",IF(D1648="",E1648,D1648),IF(E1648="(unchanged)",D1648,E1648)))))</f>
      </c>
      <c r="M1648" s="6">
        <f>IF(AND(I1648="Cut",N1648&gt;0,K1648=""),"USED: say what replaces it (Note)",IF(AND(I1648="Rename",J1648=""),"type the new name",IF(AND(L1648&lt;&gt;"",L1648&lt;&gt;"(decide)",COUNTIF($L$2:$L$1680,L1648)&gt;1),"SAME FINAL NAME AS ANOTHER ROW","")))</f>
      </c>
      <c r="N1648" s="6">
        <v>0</v>
      </c>
      <c r="O1648" s="6" t="s">
        <v>2</v>
      </c>
    </row>
    <row r="1649" spans="1:15" x14ac:dyDescent="0.25">
      <c r="A1649">
        <v>1648</v>
      </c>
      <c r="B1649" t="s">
        <v>1471</v>
      </c>
      <c r="C1649" t="s">
        <v>1590</v>
      </c>
      <c r="D1649" t="s">
        <v>2</v>
      </c>
      <c r="E1649" t="s">
        <v>2141</v>
      </c>
      <c r="F1649" t="s">
        <v>2032</v>
      </c>
      <c r="G1649" t="s">
        <v>38</v>
      </c>
      <c r="H1649" t="s">
        <v>2033</v>
      </c>
      <c r="I1649" s="5" t="s">
        <v>2034</v>
      </c>
      <c r="J1649" s="5" t="s">
        <v>2</v>
      </c>
      <c r="K1649" s="5" t="s">
        <v>2</v>
      </c>
      <c r="L1649" s="6">
        <f>IF(I1649="Cut","",IF(I1649="Your call","(decide)",IF(I1649="Rename",J1649,IF(I1649="Keep",IF(D1649="",E1649,D1649),IF(E1649="(unchanged)",D1649,E1649)))))</f>
      </c>
      <c r="M1649" s="6">
        <f>IF(AND(I1649="Cut",N1649&gt;0,K1649=""),"USED: say what replaces it (Note)",IF(AND(I1649="Rename",J1649=""),"type the new name",IF(AND(L1649&lt;&gt;"",L1649&lt;&gt;"(decide)",COUNTIF($L$2:$L$1680,L1649)&gt;1),"SAME FINAL NAME AS ANOTHER ROW","")))</f>
      </c>
      <c r="N1649" s="6">
        <v>0</v>
      </c>
      <c r="O1649" s="6" t="s">
        <v>2</v>
      </c>
    </row>
    <row r="1650" spans="1:15" x14ac:dyDescent="0.25">
      <c r="A1650">
        <v>1649</v>
      </c>
      <c r="B1650" t="s">
        <v>1471</v>
      </c>
      <c r="C1650" t="s">
        <v>1593</v>
      </c>
      <c r="D1650" t="s">
        <v>2</v>
      </c>
      <c r="E1650" t="s">
        <v>2142</v>
      </c>
      <c r="F1650" t="s">
        <v>2032</v>
      </c>
      <c r="G1650" t="s">
        <v>38</v>
      </c>
      <c r="H1650" t="s">
        <v>2033</v>
      </c>
      <c r="I1650" s="5" t="s">
        <v>2034</v>
      </c>
      <c r="J1650" s="5" t="s">
        <v>2</v>
      </c>
      <c r="K1650" s="5" t="s">
        <v>2</v>
      </c>
      <c r="L1650" s="6">
        <f>IF(I1650="Cut","",IF(I1650="Your call","(decide)",IF(I1650="Rename",J1650,IF(I1650="Keep",IF(D1650="",E1650,D1650),IF(E1650="(unchanged)",D1650,E1650)))))</f>
      </c>
      <c r="M1650" s="6">
        <f>IF(AND(I1650="Cut",N1650&gt;0,K1650=""),"USED: say what replaces it (Note)",IF(AND(I1650="Rename",J1650=""),"type the new name",IF(AND(L1650&lt;&gt;"",L1650&lt;&gt;"(decide)",COUNTIF($L$2:$L$1680,L1650)&gt;1),"SAME FINAL NAME AS ANOTHER ROW","")))</f>
      </c>
      <c r="N1650" s="6">
        <v>0</v>
      </c>
      <c r="O1650" s="6" t="s">
        <v>2</v>
      </c>
    </row>
    <row r="1651" spans="1:15" x14ac:dyDescent="0.25">
      <c r="A1651">
        <v>1650</v>
      </c>
      <c r="B1651" t="s">
        <v>1471</v>
      </c>
      <c r="C1651" t="s">
        <v>1593</v>
      </c>
      <c r="D1651" t="s">
        <v>2</v>
      </c>
      <c r="E1651" t="s">
        <v>2143</v>
      </c>
      <c r="F1651" t="s">
        <v>2032</v>
      </c>
      <c r="G1651" t="s">
        <v>38</v>
      </c>
      <c r="H1651" t="s">
        <v>2033</v>
      </c>
      <c r="I1651" s="5" t="s">
        <v>2034</v>
      </c>
      <c r="J1651" s="5" t="s">
        <v>2</v>
      </c>
      <c r="K1651" s="5" t="s">
        <v>2</v>
      </c>
      <c r="L1651" s="6">
        <f>IF(I1651="Cut","",IF(I1651="Your call","(decide)",IF(I1651="Rename",J1651,IF(I1651="Keep",IF(D1651="",E1651,D1651),IF(E1651="(unchanged)",D1651,E1651)))))</f>
      </c>
      <c r="M1651" s="6">
        <f>IF(AND(I1651="Cut",N1651&gt;0,K1651=""),"USED: say what replaces it (Note)",IF(AND(I1651="Rename",J1651=""),"type the new name",IF(AND(L1651&lt;&gt;"",L1651&lt;&gt;"(decide)",COUNTIF($L$2:$L$1680,L1651)&gt;1),"SAME FINAL NAME AS ANOTHER ROW","")))</f>
      </c>
      <c r="N1651" s="6">
        <v>0</v>
      </c>
      <c r="O1651" s="6" t="s">
        <v>2</v>
      </c>
    </row>
    <row r="1652" spans="1:15" x14ac:dyDescent="0.25">
      <c r="A1652">
        <v>1651</v>
      </c>
      <c r="B1652" t="s">
        <v>1471</v>
      </c>
      <c r="C1652" t="s">
        <v>1596</v>
      </c>
      <c r="D1652" t="s">
        <v>2</v>
      </c>
      <c r="E1652" t="s">
        <v>2144</v>
      </c>
      <c r="F1652" t="s">
        <v>2032</v>
      </c>
      <c r="G1652" t="s">
        <v>38</v>
      </c>
      <c r="H1652" t="s">
        <v>2033</v>
      </c>
      <c r="I1652" s="5" t="s">
        <v>2034</v>
      </c>
      <c r="J1652" s="5" t="s">
        <v>2</v>
      </c>
      <c r="K1652" s="5" t="s">
        <v>2</v>
      </c>
      <c r="L1652" s="6">
        <f>IF(I1652="Cut","",IF(I1652="Your call","(decide)",IF(I1652="Rename",J1652,IF(I1652="Keep",IF(D1652="",E1652,D1652),IF(E1652="(unchanged)",D1652,E1652)))))</f>
      </c>
      <c r="M1652" s="6">
        <f>IF(AND(I1652="Cut",N1652&gt;0,K1652=""),"USED: say what replaces it (Note)",IF(AND(I1652="Rename",J1652=""),"type the new name",IF(AND(L1652&lt;&gt;"",L1652&lt;&gt;"(decide)",COUNTIF($L$2:$L$1680,L1652)&gt;1),"SAME FINAL NAME AS ANOTHER ROW","")))</f>
      </c>
      <c r="N1652" s="6">
        <v>0</v>
      </c>
      <c r="O1652" s="6" t="s">
        <v>2</v>
      </c>
    </row>
    <row r="1653" spans="1:15" x14ac:dyDescent="0.25">
      <c r="A1653">
        <v>1652</v>
      </c>
      <c r="B1653" t="s">
        <v>1471</v>
      </c>
      <c r="C1653" t="s">
        <v>1596</v>
      </c>
      <c r="D1653" t="s">
        <v>2</v>
      </c>
      <c r="E1653" t="s">
        <v>2145</v>
      </c>
      <c r="F1653" t="s">
        <v>2032</v>
      </c>
      <c r="G1653" t="s">
        <v>38</v>
      </c>
      <c r="H1653" t="s">
        <v>2033</v>
      </c>
      <c r="I1653" s="5" t="s">
        <v>2034</v>
      </c>
      <c r="J1653" s="5" t="s">
        <v>2</v>
      </c>
      <c r="K1653" s="5" t="s">
        <v>2</v>
      </c>
      <c r="L1653" s="6">
        <f>IF(I1653="Cut","",IF(I1653="Your call","(decide)",IF(I1653="Rename",J1653,IF(I1653="Keep",IF(D1653="",E1653,D1653),IF(E1653="(unchanged)",D1653,E1653)))))</f>
      </c>
      <c r="M1653" s="6">
        <f>IF(AND(I1653="Cut",N1653&gt;0,K1653=""),"USED: say what replaces it (Note)",IF(AND(I1653="Rename",J1653=""),"type the new name",IF(AND(L1653&lt;&gt;"",L1653&lt;&gt;"(decide)",COUNTIF($L$2:$L$1680,L1653)&gt;1),"SAME FINAL NAME AS ANOTHER ROW","")))</f>
      </c>
      <c r="N1653" s="6">
        <v>0</v>
      </c>
      <c r="O1653" s="6" t="s">
        <v>2</v>
      </c>
    </row>
    <row r="1654" spans="1:15" x14ac:dyDescent="0.25">
      <c r="A1654">
        <v>1653</v>
      </c>
      <c r="B1654" t="s">
        <v>1471</v>
      </c>
      <c r="C1654" t="s">
        <v>1600</v>
      </c>
      <c r="D1654" t="s">
        <v>2</v>
      </c>
      <c r="E1654" t="s">
        <v>2146</v>
      </c>
      <c r="F1654" t="s">
        <v>2032</v>
      </c>
      <c r="G1654" t="s">
        <v>38</v>
      </c>
      <c r="H1654" t="s">
        <v>2033</v>
      </c>
      <c r="I1654" s="5" t="s">
        <v>2034</v>
      </c>
      <c r="J1654" s="5" t="s">
        <v>2</v>
      </c>
      <c r="K1654" s="5" t="s">
        <v>2</v>
      </c>
      <c r="L1654" s="6">
        <f>IF(I1654="Cut","",IF(I1654="Your call","(decide)",IF(I1654="Rename",J1654,IF(I1654="Keep",IF(D1654="",E1654,D1654),IF(E1654="(unchanged)",D1654,E1654)))))</f>
      </c>
      <c r="M1654" s="6">
        <f>IF(AND(I1654="Cut",N1654&gt;0,K1654=""),"USED: say what replaces it (Note)",IF(AND(I1654="Rename",J1654=""),"type the new name",IF(AND(L1654&lt;&gt;"",L1654&lt;&gt;"(decide)",COUNTIF($L$2:$L$1680,L1654)&gt;1),"SAME FINAL NAME AS ANOTHER ROW","")))</f>
      </c>
      <c r="N1654" s="6">
        <v>0</v>
      </c>
      <c r="O1654" s="6" t="s">
        <v>2</v>
      </c>
    </row>
    <row r="1655" spans="1:15" x14ac:dyDescent="0.25">
      <c r="A1655">
        <v>1654</v>
      </c>
      <c r="B1655" t="s">
        <v>1471</v>
      </c>
      <c r="C1655" t="s">
        <v>1600</v>
      </c>
      <c r="D1655" t="s">
        <v>2</v>
      </c>
      <c r="E1655" t="s">
        <v>2147</v>
      </c>
      <c r="F1655" t="s">
        <v>2032</v>
      </c>
      <c r="G1655" t="s">
        <v>38</v>
      </c>
      <c r="H1655" t="s">
        <v>2033</v>
      </c>
      <c r="I1655" s="5" t="s">
        <v>2034</v>
      </c>
      <c r="J1655" s="5" t="s">
        <v>2</v>
      </c>
      <c r="K1655" s="5" t="s">
        <v>2</v>
      </c>
      <c r="L1655" s="6">
        <f>IF(I1655="Cut","",IF(I1655="Your call","(decide)",IF(I1655="Rename",J1655,IF(I1655="Keep",IF(D1655="",E1655,D1655),IF(E1655="(unchanged)",D1655,E1655)))))</f>
      </c>
      <c r="M1655" s="6">
        <f>IF(AND(I1655="Cut",N1655&gt;0,K1655=""),"USED: say what replaces it (Note)",IF(AND(I1655="Rename",J1655=""),"type the new name",IF(AND(L1655&lt;&gt;"",L1655&lt;&gt;"(decide)",COUNTIF($L$2:$L$1680,L1655)&gt;1),"SAME FINAL NAME AS ANOTHER ROW","")))</f>
      </c>
      <c r="N1655" s="6">
        <v>0</v>
      </c>
      <c r="O1655" s="6" t="s">
        <v>2</v>
      </c>
    </row>
    <row r="1656" spans="1:15" x14ac:dyDescent="0.25">
      <c r="A1656">
        <v>1655</v>
      </c>
      <c r="B1656" t="s">
        <v>1471</v>
      </c>
      <c r="C1656" t="s">
        <v>2148</v>
      </c>
      <c r="D1656" t="s">
        <v>2</v>
      </c>
      <c r="E1656" t="s">
        <v>2149</v>
      </c>
      <c r="F1656" t="s">
        <v>2032</v>
      </c>
      <c r="G1656" t="s">
        <v>38</v>
      </c>
      <c r="H1656" t="s">
        <v>2033</v>
      </c>
      <c r="I1656" s="5" t="s">
        <v>2034</v>
      </c>
      <c r="J1656" s="5" t="s">
        <v>2</v>
      </c>
      <c r="K1656" s="5" t="s">
        <v>2</v>
      </c>
      <c r="L1656" s="6">
        <f>IF(I1656="Cut","",IF(I1656="Your call","(decide)",IF(I1656="Rename",J1656,IF(I1656="Keep",IF(D1656="",E1656,D1656),IF(E1656="(unchanged)",D1656,E1656)))))</f>
      </c>
      <c r="M1656" s="6">
        <f>IF(AND(I1656="Cut",N1656&gt;0,K1656=""),"USED: say what replaces it (Note)",IF(AND(I1656="Rename",J1656=""),"type the new name",IF(AND(L1656&lt;&gt;"",L1656&lt;&gt;"(decide)",COUNTIF($L$2:$L$1680,L1656)&gt;1),"SAME FINAL NAME AS ANOTHER ROW","")))</f>
      </c>
      <c r="N1656" s="6">
        <v>0</v>
      </c>
      <c r="O1656" s="6" t="s">
        <v>2</v>
      </c>
    </row>
    <row r="1657" spans="1:15" x14ac:dyDescent="0.25">
      <c r="A1657">
        <v>1656</v>
      </c>
      <c r="B1657" t="s">
        <v>1471</v>
      </c>
      <c r="C1657" t="s">
        <v>2148</v>
      </c>
      <c r="D1657" t="s">
        <v>2</v>
      </c>
      <c r="E1657" t="s">
        <v>2150</v>
      </c>
      <c r="F1657" t="s">
        <v>2032</v>
      </c>
      <c r="G1657" t="s">
        <v>38</v>
      </c>
      <c r="H1657" t="s">
        <v>2033</v>
      </c>
      <c r="I1657" s="5" t="s">
        <v>2034</v>
      </c>
      <c r="J1657" s="5" t="s">
        <v>2</v>
      </c>
      <c r="K1657" s="5" t="s">
        <v>2</v>
      </c>
      <c r="L1657" s="6">
        <f>IF(I1657="Cut","",IF(I1657="Your call","(decide)",IF(I1657="Rename",J1657,IF(I1657="Keep",IF(D1657="",E1657,D1657),IF(E1657="(unchanged)",D1657,E1657)))))</f>
      </c>
      <c r="M1657" s="6">
        <f>IF(AND(I1657="Cut",N1657&gt;0,K1657=""),"USED: say what replaces it (Note)",IF(AND(I1657="Rename",J1657=""),"type the new name",IF(AND(L1657&lt;&gt;"",L1657&lt;&gt;"(decide)",COUNTIF($L$2:$L$1680,L1657)&gt;1),"SAME FINAL NAME AS ANOTHER ROW","")))</f>
      </c>
      <c r="N1657" s="6">
        <v>0</v>
      </c>
      <c r="O1657" s="6" t="s">
        <v>2</v>
      </c>
    </row>
    <row r="1658" spans="1:15" x14ac:dyDescent="0.25">
      <c r="A1658">
        <v>1657</v>
      </c>
      <c r="B1658" t="s">
        <v>1471</v>
      </c>
      <c r="C1658" t="s">
        <v>2148</v>
      </c>
      <c r="D1658" t="s">
        <v>2</v>
      </c>
      <c r="E1658" t="s">
        <v>2151</v>
      </c>
      <c r="F1658" t="s">
        <v>2032</v>
      </c>
      <c r="G1658" t="s">
        <v>38</v>
      </c>
      <c r="H1658" t="s">
        <v>2033</v>
      </c>
      <c r="I1658" s="5" t="s">
        <v>2034</v>
      </c>
      <c r="J1658" s="5" t="s">
        <v>2</v>
      </c>
      <c r="K1658" s="5" t="s">
        <v>2</v>
      </c>
      <c r="L1658" s="6">
        <f>IF(I1658="Cut","",IF(I1658="Your call","(decide)",IF(I1658="Rename",J1658,IF(I1658="Keep",IF(D1658="",E1658,D1658),IF(E1658="(unchanged)",D1658,E1658)))))</f>
      </c>
      <c r="M1658" s="6">
        <f>IF(AND(I1658="Cut",N1658&gt;0,K1658=""),"USED: say what replaces it (Note)",IF(AND(I1658="Rename",J1658=""),"type the new name",IF(AND(L1658&lt;&gt;"",L1658&lt;&gt;"(decide)",COUNTIF($L$2:$L$1680,L1658)&gt;1),"SAME FINAL NAME AS ANOTHER ROW","")))</f>
      </c>
      <c r="N1658" s="6">
        <v>0</v>
      </c>
      <c r="O1658" s="6" t="s">
        <v>2</v>
      </c>
    </row>
    <row r="1659" spans="1:15" x14ac:dyDescent="0.25">
      <c r="A1659">
        <v>1658</v>
      </c>
      <c r="B1659" t="s">
        <v>1471</v>
      </c>
      <c r="C1659" t="s">
        <v>2148</v>
      </c>
      <c r="D1659" t="s">
        <v>2</v>
      </c>
      <c r="E1659" t="s">
        <v>2152</v>
      </c>
      <c r="F1659" t="s">
        <v>2032</v>
      </c>
      <c r="G1659" t="s">
        <v>38</v>
      </c>
      <c r="H1659" t="s">
        <v>2033</v>
      </c>
      <c r="I1659" s="5" t="s">
        <v>2034</v>
      </c>
      <c r="J1659" s="5" t="s">
        <v>2</v>
      </c>
      <c r="K1659" s="5" t="s">
        <v>2</v>
      </c>
      <c r="L1659" s="6">
        <f>IF(I1659="Cut","",IF(I1659="Your call","(decide)",IF(I1659="Rename",J1659,IF(I1659="Keep",IF(D1659="",E1659,D1659),IF(E1659="(unchanged)",D1659,E1659)))))</f>
      </c>
      <c r="M1659" s="6">
        <f>IF(AND(I1659="Cut",N1659&gt;0,K1659=""),"USED: say what replaces it (Note)",IF(AND(I1659="Rename",J1659=""),"type the new name",IF(AND(L1659&lt;&gt;"",L1659&lt;&gt;"(decide)",COUNTIF($L$2:$L$1680,L1659)&gt;1),"SAME FINAL NAME AS ANOTHER ROW","")))</f>
      </c>
      <c r="N1659" s="6">
        <v>0</v>
      </c>
      <c r="O1659" s="6" t="s">
        <v>2</v>
      </c>
    </row>
    <row r="1660" spans="1:15" x14ac:dyDescent="0.25">
      <c r="A1660">
        <v>1659</v>
      </c>
      <c r="B1660" t="s">
        <v>1471</v>
      </c>
      <c r="C1660" t="s">
        <v>2148</v>
      </c>
      <c r="D1660" t="s">
        <v>2</v>
      </c>
      <c r="E1660" t="s">
        <v>2153</v>
      </c>
      <c r="F1660" t="s">
        <v>2032</v>
      </c>
      <c r="G1660" t="s">
        <v>38</v>
      </c>
      <c r="H1660" t="s">
        <v>2033</v>
      </c>
      <c r="I1660" s="5" t="s">
        <v>2034</v>
      </c>
      <c r="J1660" s="5" t="s">
        <v>2</v>
      </c>
      <c r="K1660" s="5" t="s">
        <v>2</v>
      </c>
      <c r="L1660" s="6">
        <f>IF(I1660="Cut","",IF(I1660="Your call","(decide)",IF(I1660="Rename",J1660,IF(I1660="Keep",IF(D1660="",E1660,D1660),IF(E1660="(unchanged)",D1660,E1660)))))</f>
      </c>
      <c r="M1660" s="6">
        <f>IF(AND(I1660="Cut",N1660&gt;0,K1660=""),"USED: say what replaces it (Note)",IF(AND(I1660="Rename",J1660=""),"type the new name",IF(AND(L1660&lt;&gt;"",L1660&lt;&gt;"(decide)",COUNTIF($L$2:$L$1680,L1660)&gt;1),"SAME FINAL NAME AS ANOTHER ROW","")))</f>
      </c>
      <c r="N1660" s="6">
        <v>0</v>
      </c>
      <c r="O1660" s="6" t="s">
        <v>2</v>
      </c>
    </row>
    <row r="1661" spans="1:15" x14ac:dyDescent="0.25">
      <c r="A1661">
        <v>1660</v>
      </c>
      <c r="B1661" t="s">
        <v>1471</v>
      </c>
      <c r="C1661" t="s">
        <v>2148</v>
      </c>
      <c r="D1661" t="s">
        <v>2</v>
      </c>
      <c r="E1661" t="s">
        <v>2154</v>
      </c>
      <c r="F1661" t="s">
        <v>2032</v>
      </c>
      <c r="G1661" t="s">
        <v>38</v>
      </c>
      <c r="H1661" t="s">
        <v>2033</v>
      </c>
      <c r="I1661" s="5" t="s">
        <v>2034</v>
      </c>
      <c r="J1661" s="5" t="s">
        <v>2</v>
      </c>
      <c r="K1661" s="5" t="s">
        <v>2</v>
      </c>
      <c r="L1661" s="6">
        <f>IF(I1661="Cut","",IF(I1661="Your call","(decide)",IF(I1661="Rename",J1661,IF(I1661="Keep",IF(D1661="",E1661,D1661),IF(E1661="(unchanged)",D1661,E1661)))))</f>
      </c>
      <c r="M1661" s="6">
        <f>IF(AND(I1661="Cut",N1661&gt;0,K1661=""),"USED: say what replaces it (Note)",IF(AND(I1661="Rename",J1661=""),"type the new name",IF(AND(L1661&lt;&gt;"",L1661&lt;&gt;"(decide)",COUNTIF($L$2:$L$1680,L1661)&gt;1),"SAME FINAL NAME AS ANOTHER ROW","")))</f>
      </c>
      <c r="N1661" s="6">
        <v>0</v>
      </c>
      <c r="O1661" s="6" t="s">
        <v>2</v>
      </c>
    </row>
    <row r="1662" spans="1:15" x14ac:dyDescent="0.25">
      <c r="A1662">
        <v>1661</v>
      </c>
      <c r="B1662" t="s">
        <v>1471</v>
      </c>
      <c r="C1662" t="s">
        <v>2155</v>
      </c>
      <c r="D1662" t="s">
        <v>2</v>
      </c>
      <c r="E1662" t="s">
        <v>2156</v>
      </c>
      <c r="F1662" t="s">
        <v>2032</v>
      </c>
      <c r="G1662" t="s">
        <v>38</v>
      </c>
      <c r="H1662" t="s">
        <v>2033</v>
      </c>
      <c r="I1662" s="5" t="s">
        <v>2034</v>
      </c>
      <c r="J1662" s="5" t="s">
        <v>2</v>
      </c>
      <c r="K1662" s="5" t="s">
        <v>2</v>
      </c>
      <c r="L1662" s="6">
        <f>IF(I1662="Cut","",IF(I1662="Your call","(decide)",IF(I1662="Rename",J1662,IF(I1662="Keep",IF(D1662="",E1662,D1662),IF(E1662="(unchanged)",D1662,E1662)))))</f>
      </c>
      <c r="M1662" s="6">
        <f>IF(AND(I1662="Cut",N1662&gt;0,K1662=""),"USED: say what replaces it (Note)",IF(AND(I1662="Rename",J1662=""),"type the new name",IF(AND(L1662&lt;&gt;"",L1662&lt;&gt;"(decide)",COUNTIF($L$2:$L$1680,L1662)&gt;1),"SAME FINAL NAME AS ANOTHER ROW","")))</f>
      </c>
      <c r="N1662" s="6">
        <v>0</v>
      </c>
      <c r="O1662" s="6" t="s">
        <v>2</v>
      </c>
    </row>
    <row r="1663" spans="1:15" x14ac:dyDescent="0.25">
      <c r="A1663">
        <v>1662</v>
      </c>
      <c r="B1663" t="s">
        <v>1471</v>
      </c>
      <c r="C1663" t="s">
        <v>2155</v>
      </c>
      <c r="D1663" t="s">
        <v>2</v>
      </c>
      <c r="E1663" t="s">
        <v>2157</v>
      </c>
      <c r="F1663" t="s">
        <v>2032</v>
      </c>
      <c r="G1663" t="s">
        <v>38</v>
      </c>
      <c r="H1663" t="s">
        <v>2033</v>
      </c>
      <c r="I1663" s="5" t="s">
        <v>2034</v>
      </c>
      <c r="J1663" s="5" t="s">
        <v>2</v>
      </c>
      <c r="K1663" s="5" t="s">
        <v>2</v>
      </c>
      <c r="L1663" s="6">
        <f>IF(I1663="Cut","",IF(I1663="Your call","(decide)",IF(I1663="Rename",J1663,IF(I1663="Keep",IF(D1663="",E1663,D1663),IF(E1663="(unchanged)",D1663,E1663)))))</f>
      </c>
      <c r="M1663" s="6">
        <f>IF(AND(I1663="Cut",N1663&gt;0,K1663=""),"USED: say what replaces it (Note)",IF(AND(I1663="Rename",J1663=""),"type the new name",IF(AND(L1663&lt;&gt;"",L1663&lt;&gt;"(decide)",COUNTIF($L$2:$L$1680,L1663)&gt;1),"SAME FINAL NAME AS ANOTHER ROW","")))</f>
      </c>
      <c r="N1663" s="6">
        <v>0</v>
      </c>
      <c r="O1663" s="6" t="s">
        <v>2</v>
      </c>
    </row>
    <row r="1664" spans="1:15" x14ac:dyDescent="0.25">
      <c r="A1664">
        <v>1663</v>
      </c>
      <c r="B1664" t="s">
        <v>1471</v>
      </c>
      <c r="C1664" t="s">
        <v>2155</v>
      </c>
      <c r="D1664" t="s">
        <v>2</v>
      </c>
      <c r="E1664" t="s">
        <v>2158</v>
      </c>
      <c r="F1664" t="s">
        <v>2032</v>
      </c>
      <c r="G1664" t="s">
        <v>38</v>
      </c>
      <c r="H1664" t="s">
        <v>2033</v>
      </c>
      <c r="I1664" s="5" t="s">
        <v>2034</v>
      </c>
      <c r="J1664" s="5" t="s">
        <v>2</v>
      </c>
      <c r="K1664" s="5" t="s">
        <v>2</v>
      </c>
      <c r="L1664" s="6">
        <f>IF(I1664="Cut","",IF(I1664="Your call","(decide)",IF(I1664="Rename",J1664,IF(I1664="Keep",IF(D1664="",E1664,D1664),IF(E1664="(unchanged)",D1664,E1664)))))</f>
      </c>
      <c r="M1664" s="6">
        <f>IF(AND(I1664="Cut",N1664&gt;0,K1664=""),"USED: say what replaces it (Note)",IF(AND(I1664="Rename",J1664=""),"type the new name",IF(AND(L1664&lt;&gt;"",L1664&lt;&gt;"(decide)",COUNTIF($L$2:$L$1680,L1664)&gt;1),"SAME FINAL NAME AS ANOTHER ROW","")))</f>
      </c>
      <c r="N1664" s="6">
        <v>0</v>
      </c>
      <c r="O1664" s="6" t="s">
        <v>2</v>
      </c>
    </row>
    <row r="1665" spans="1:15" x14ac:dyDescent="0.25">
      <c r="A1665">
        <v>1664</v>
      </c>
      <c r="B1665" t="s">
        <v>1471</v>
      </c>
      <c r="C1665" t="s">
        <v>2155</v>
      </c>
      <c r="D1665" t="s">
        <v>2</v>
      </c>
      <c r="E1665" t="s">
        <v>2159</v>
      </c>
      <c r="F1665" t="s">
        <v>2032</v>
      </c>
      <c r="G1665" t="s">
        <v>38</v>
      </c>
      <c r="H1665" t="s">
        <v>2033</v>
      </c>
      <c r="I1665" s="5" t="s">
        <v>2034</v>
      </c>
      <c r="J1665" s="5" t="s">
        <v>2</v>
      </c>
      <c r="K1665" s="5" t="s">
        <v>2</v>
      </c>
      <c r="L1665" s="6">
        <f>IF(I1665="Cut","",IF(I1665="Your call","(decide)",IF(I1665="Rename",J1665,IF(I1665="Keep",IF(D1665="",E1665,D1665),IF(E1665="(unchanged)",D1665,E1665)))))</f>
      </c>
      <c r="M1665" s="6">
        <f>IF(AND(I1665="Cut",N1665&gt;0,K1665=""),"USED: say what replaces it (Note)",IF(AND(I1665="Rename",J1665=""),"type the new name",IF(AND(L1665&lt;&gt;"",L1665&lt;&gt;"(decide)",COUNTIF($L$2:$L$1680,L1665)&gt;1),"SAME FINAL NAME AS ANOTHER ROW","")))</f>
      </c>
      <c r="N1665" s="6">
        <v>0</v>
      </c>
      <c r="O1665" s="6" t="s">
        <v>2</v>
      </c>
    </row>
    <row r="1666" spans="1:15" x14ac:dyDescent="0.25">
      <c r="A1666">
        <v>1665</v>
      </c>
      <c r="B1666" t="s">
        <v>1471</v>
      </c>
      <c r="C1666" t="s">
        <v>2155</v>
      </c>
      <c r="D1666" t="s">
        <v>2</v>
      </c>
      <c r="E1666" t="s">
        <v>2160</v>
      </c>
      <c r="F1666" t="s">
        <v>2032</v>
      </c>
      <c r="G1666" t="s">
        <v>38</v>
      </c>
      <c r="H1666" t="s">
        <v>2033</v>
      </c>
      <c r="I1666" s="5" t="s">
        <v>2034</v>
      </c>
      <c r="J1666" s="5" t="s">
        <v>2</v>
      </c>
      <c r="K1666" s="5" t="s">
        <v>2</v>
      </c>
      <c r="L1666" s="6">
        <f>IF(I1666="Cut","",IF(I1666="Your call","(decide)",IF(I1666="Rename",J1666,IF(I1666="Keep",IF(D1666="",E1666,D1666),IF(E1666="(unchanged)",D1666,E1666)))))</f>
      </c>
      <c r="M1666" s="6">
        <f>IF(AND(I1666="Cut",N1666&gt;0,K1666=""),"USED: say what replaces it (Note)",IF(AND(I1666="Rename",J1666=""),"type the new name",IF(AND(L1666&lt;&gt;"",L1666&lt;&gt;"(decide)",COUNTIF($L$2:$L$1680,L1666)&gt;1),"SAME FINAL NAME AS ANOTHER ROW","")))</f>
      </c>
      <c r="N1666" s="6">
        <v>0</v>
      </c>
      <c r="O1666" s="6" t="s">
        <v>2</v>
      </c>
    </row>
    <row r="1667" spans="1:15" x14ac:dyDescent="0.25">
      <c r="A1667">
        <v>1666</v>
      </c>
      <c r="B1667" t="s">
        <v>1471</v>
      </c>
      <c r="C1667" t="s">
        <v>2155</v>
      </c>
      <c r="D1667" t="s">
        <v>2</v>
      </c>
      <c r="E1667" t="s">
        <v>2161</v>
      </c>
      <c r="F1667" t="s">
        <v>2032</v>
      </c>
      <c r="G1667" t="s">
        <v>38</v>
      </c>
      <c r="H1667" t="s">
        <v>2033</v>
      </c>
      <c r="I1667" s="5" t="s">
        <v>2034</v>
      </c>
      <c r="J1667" s="5" t="s">
        <v>2</v>
      </c>
      <c r="K1667" s="5" t="s">
        <v>2</v>
      </c>
      <c r="L1667" s="6">
        <f>IF(I1667="Cut","",IF(I1667="Your call","(decide)",IF(I1667="Rename",J1667,IF(I1667="Keep",IF(D1667="",E1667,D1667),IF(E1667="(unchanged)",D1667,E1667)))))</f>
      </c>
      <c r="M1667" s="6">
        <f>IF(AND(I1667="Cut",N1667&gt;0,K1667=""),"USED: say what replaces it (Note)",IF(AND(I1667="Rename",J1667=""),"type the new name",IF(AND(L1667&lt;&gt;"",L1667&lt;&gt;"(decide)",COUNTIF($L$2:$L$1680,L1667)&gt;1),"SAME FINAL NAME AS ANOTHER ROW","")))</f>
      </c>
      <c r="N1667" s="6">
        <v>0</v>
      </c>
      <c r="O1667" s="6" t="s">
        <v>2</v>
      </c>
    </row>
    <row r="1668" spans="1:15" x14ac:dyDescent="0.25">
      <c r="A1668">
        <v>1667</v>
      </c>
      <c r="B1668" t="s">
        <v>1471</v>
      </c>
      <c r="C1668" t="s">
        <v>2162</v>
      </c>
      <c r="D1668" t="s">
        <v>2</v>
      </c>
      <c r="E1668" t="s">
        <v>2163</v>
      </c>
      <c r="F1668" t="s">
        <v>2032</v>
      </c>
      <c r="G1668" t="s">
        <v>38</v>
      </c>
      <c r="H1668" t="s">
        <v>2033</v>
      </c>
      <c r="I1668" s="5" t="s">
        <v>2034</v>
      </c>
      <c r="J1668" s="5" t="s">
        <v>2</v>
      </c>
      <c r="K1668" s="5" t="s">
        <v>2</v>
      </c>
      <c r="L1668" s="6">
        <f>IF(I1668="Cut","",IF(I1668="Your call","(decide)",IF(I1668="Rename",J1668,IF(I1668="Keep",IF(D1668="",E1668,D1668),IF(E1668="(unchanged)",D1668,E1668)))))</f>
      </c>
      <c r="M1668" s="6">
        <f>IF(AND(I1668="Cut",N1668&gt;0,K1668=""),"USED: say what replaces it (Note)",IF(AND(I1668="Rename",J1668=""),"type the new name",IF(AND(L1668&lt;&gt;"",L1668&lt;&gt;"(decide)",COUNTIF($L$2:$L$1680,L1668)&gt;1),"SAME FINAL NAME AS ANOTHER ROW","")))</f>
      </c>
      <c r="N1668" s="6">
        <v>0</v>
      </c>
      <c r="O1668" s="6" t="s">
        <v>2</v>
      </c>
    </row>
    <row r="1669" spans="1:15" x14ac:dyDescent="0.25">
      <c r="A1669">
        <v>1668</v>
      </c>
      <c r="B1669" t="s">
        <v>1471</v>
      </c>
      <c r="C1669" t="s">
        <v>2162</v>
      </c>
      <c r="D1669" t="s">
        <v>2</v>
      </c>
      <c r="E1669" t="s">
        <v>2164</v>
      </c>
      <c r="F1669" t="s">
        <v>2032</v>
      </c>
      <c r="G1669" t="s">
        <v>38</v>
      </c>
      <c r="H1669" t="s">
        <v>2033</v>
      </c>
      <c r="I1669" s="5" t="s">
        <v>2034</v>
      </c>
      <c r="J1669" s="5" t="s">
        <v>2</v>
      </c>
      <c r="K1669" s="5" t="s">
        <v>2</v>
      </c>
      <c r="L1669" s="6">
        <f>IF(I1669="Cut","",IF(I1669="Your call","(decide)",IF(I1669="Rename",J1669,IF(I1669="Keep",IF(D1669="",E1669,D1669),IF(E1669="(unchanged)",D1669,E1669)))))</f>
      </c>
      <c r="M1669" s="6">
        <f>IF(AND(I1669="Cut",N1669&gt;0,K1669=""),"USED: say what replaces it (Note)",IF(AND(I1669="Rename",J1669=""),"type the new name",IF(AND(L1669&lt;&gt;"",L1669&lt;&gt;"(decide)",COUNTIF($L$2:$L$1680,L1669)&gt;1),"SAME FINAL NAME AS ANOTHER ROW","")))</f>
      </c>
      <c r="N1669" s="6">
        <v>0</v>
      </c>
      <c r="O1669" s="6" t="s">
        <v>2</v>
      </c>
    </row>
    <row r="1670" spans="1:15" x14ac:dyDescent="0.25">
      <c r="A1670">
        <v>1669</v>
      </c>
      <c r="B1670" t="s">
        <v>1471</v>
      </c>
      <c r="C1670" t="s">
        <v>2162</v>
      </c>
      <c r="D1670" t="s">
        <v>2</v>
      </c>
      <c r="E1670" t="s">
        <v>2165</v>
      </c>
      <c r="F1670" t="s">
        <v>2032</v>
      </c>
      <c r="G1670" t="s">
        <v>38</v>
      </c>
      <c r="H1670" t="s">
        <v>2033</v>
      </c>
      <c r="I1670" s="5" t="s">
        <v>2034</v>
      </c>
      <c r="J1670" s="5" t="s">
        <v>2</v>
      </c>
      <c r="K1670" s="5" t="s">
        <v>2</v>
      </c>
      <c r="L1670" s="6">
        <f>IF(I1670="Cut","",IF(I1670="Your call","(decide)",IF(I1670="Rename",J1670,IF(I1670="Keep",IF(D1670="",E1670,D1670),IF(E1670="(unchanged)",D1670,E1670)))))</f>
      </c>
      <c r="M1670" s="6">
        <f>IF(AND(I1670="Cut",N1670&gt;0,K1670=""),"USED: say what replaces it (Note)",IF(AND(I1670="Rename",J1670=""),"type the new name",IF(AND(L1670&lt;&gt;"",L1670&lt;&gt;"(decide)",COUNTIF($L$2:$L$1680,L1670)&gt;1),"SAME FINAL NAME AS ANOTHER ROW","")))</f>
      </c>
      <c r="N1670" s="6">
        <v>0</v>
      </c>
      <c r="O1670" s="6" t="s">
        <v>2</v>
      </c>
    </row>
    <row r="1671" spans="1:15" x14ac:dyDescent="0.25">
      <c r="A1671">
        <v>1670</v>
      </c>
      <c r="B1671" t="s">
        <v>1471</v>
      </c>
      <c r="C1671" t="s">
        <v>2162</v>
      </c>
      <c r="D1671" t="s">
        <v>2</v>
      </c>
      <c r="E1671" t="s">
        <v>2166</v>
      </c>
      <c r="F1671" t="s">
        <v>2032</v>
      </c>
      <c r="G1671" t="s">
        <v>38</v>
      </c>
      <c r="H1671" t="s">
        <v>2033</v>
      </c>
      <c r="I1671" s="5" t="s">
        <v>2034</v>
      </c>
      <c r="J1671" s="5" t="s">
        <v>2</v>
      </c>
      <c r="K1671" s="5" t="s">
        <v>2</v>
      </c>
      <c r="L1671" s="6">
        <f>IF(I1671="Cut","",IF(I1671="Your call","(decide)",IF(I1671="Rename",J1671,IF(I1671="Keep",IF(D1671="",E1671,D1671),IF(E1671="(unchanged)",D1671,E1671)))))</f>
      </c>
      <c r="M1671" s="6">
        <f>IF(AND(I1671="Cut",N1671&gt;0,K1671=""),"USED: say what replaces it (Note)",IF(AND(I1671="Rename",J1671=""),"type the new name",IF(AND(L1671&lt;&gt;"",L1671&lt;&gt;"(decide)",COUNTIF($L$2:$L$1680,L1671)&gt;1),"SAME FINAL NAME AS ANOTHER ROW","")))</f>
      </c>
      <c r="N1671" s="6">
        <v>0</v>
      </c>
      <c r="O1671" s="6" t="s">
        <v>2</v>
      </c>
    </row>
    <row r="1672" spans="1:15" x14ac:dyDescent="0.25">
      <c r="A1672">
        <v>1671</v>
      </c>
      <c r="B1672" t="s">
        <v>1471</v>
      </c>
      <c r="C1672" t="s">
        <v>2162</v>
      </c>
      <c r="D1672" t="s">
        <v>2</v>
      </c>
      <c r="E1672" t="s">
        <v>2167</v>
      </c>
      <c r="F1672" t="s">
        <v>2032</v>
      </c>
      <c r="G1672" t="s">
        <v>38</v>
      </c>
      <c r="H1672" t="s">
        <v>2033</v>
      </c>
      <c r="I1672" s="5" t="s">
        <v>2034</v>
      </c>
      <c r="J1672" s="5" t="s">
        <v>2</v>
      </c>
      <c r="K1672" s="5" t="s">
        <v>2</v>
      </c>
      <c r="L1672" s="6">
        <f>IF(I1672="Cut","",IF(I1672="Your call","(decide)",IF(I1672="Rename",J1672,IF(I1672="Keep",IF(D1672="",E1672,D1672),IF(E1672="(unchanged)",D1672,E1672)))))</f>
      </c>
      <c r="M1672" s="6">
        <f>IF(AND(I1672="Cut",N1672&gt;0,K1672=""),"USED: say what replaces it (Note)",IF(AND(I1672="Rename",J1672=""),"type the new name",IF(AND(L1672&lt;&gt;"",L1672&lt;&gt;"(decide)",COUNTIF($L$2:$L$1680,L1672)&gt;1),"SAME FINAL NAME AS ANOTHER ROW","")))</f>
      </c>
      <c r="N1672" s="6">
        <v>0</v>
      </c>
      <c r="O1672" s="6" t="s">
        <v>2</v>
      </c>
    </row>
    <row r="1673" spans="1:15" x14ac:dyDescent="0.25">
      <c r="A1673">
        <v>1672</v>
      </c>
      <c r="B1673" t="s">
        <v>1471</v>
      </c>
      <c r="C1673" t="s">
        <v>2162</v>
      </c>
      <c r="D1673" t="s">
        <v>2</v>
      </c>
      <c r="E1673" t="s">
        <v>2168</v>
      </c>
      <c r="F1673" t="s">
        <v>2032</v>
      </c>
      <c r="G1673" t="s">
        <v>38</v>
      </c>
      <c r="H1673" t="s">
        <v>2033</v>
      </c>
      <c r="I1673" s="5" t="s">
        <v>2034</v>
      </c>
      <c r="J1673" s="5" t="s">
        <v>2</v>
      </c>
      <c r="K1673" s="5" t="s">
        <v>2</v>
      </c>
      <c r="L1673" s="6">
        <f>IF(I1673="Cut","",IF(I1673="Your call","(decide)",IF(I1673="Rename",J1673,IF(I1673="Keep",IF(D1673="",E1673,D1673),IF(E1673="(unchanged)",D1673,E1673)))))</f>
      </c>
      <c r="M1673" s="6">
        <f>IF(AND(I1673="Cut",N1673&gt;0,K1673=""),"USED: say what replaces it (Note)",IF(AND(I1673="Rename",J1673=""),"type the new name",IF(AND(L1673&lt;&gt;"",L1673&lt;&gt;"(decide)",COUNTIF($L$2:$L$1680,L1673)&gt;1),"SAME FINAL NAME AS ANOTHER ROW","")))</f>
      </c>
      <c r="N1673" s="6">
        <v>0</v>
      </c>
      <c r="O1673" s="6" t="s">
        <v>2</v>
      </c>
    </row>
    <row r="1674" spans="1:15" x14ac:dyDescent="0.25">
      <c r="A1674">
        <v>1673</v>
      </c>
      <c r="B1674" t="s">
        <v>1471</v>
      </c>
      <c r="C1674" t="s">
        <v>2169</v>
      </c>
      <c r="D1674" t="s">
        <v>2</v>
      </c>
      <c r="E1674" t="s">
        <v>2170</v>
      </c>
      <c r="F1674" t="s">
        <v>2032</v>
      </c>
      <c r="G1674" t="s">
        <v>38</v>
      </c>
      <c r="H1674" t="s">
        <v>2033</v>
      </c>
      <c r="I1674" s="5" t="s">
        <v>2034</v>
      </c>
      <c r="J1674" s="5" t="s">
        <v>2</v>
      </c>
      <c r="K1674" s="5" t="s">
        <v>2</v>
      </c>
      <c r="L1674" s="6">
        <f>IF(I1674="Cut","",IF(I1674="Your call","(decide)",IF(I1674="Rename",J1674,IF(I1674="Keep",IF(D1674="",E1674,D1674),IF(E1674="(unchanged)",D1674,E1674)))))</f>
      </c>
      <c r="M1674" s="6">
        <f>IF(AND(I1674="Cut",N1674&gt;0,K1674=""),"USED: say what replaces it (Note)",IF(AND(I1674="Rename",J1674=""),"type the new name",IF(AND(L1674&lt;&gt;"",L1674&lt;&gt;"(decide)",COUNTIF($L$2:$L$1680,L1674)&gt;1),"SAME FINAL NAME AS ANOTHER ROW","")))</f>
      </c>
      <c r="N1674" s="6">
        <v>0</v>
      </c>
      <c r="O1674" s="6" t="s">
        <v>2</v>
      </c>
    </row>
    <row r="1675" spans="1:15" x14ac:dyDescent="0.25">
      <c r="A1675">
        <v>1674</v>
      </c>
      <c r="B1675" t="s">
        <v>1471</v>
      </c>
      <c r="C1675" t="s">
        <v>2169</v>
      </c>
      <c r="D1675" t="s">
        <v>2</v>
      </c>
      <c r="E1675" t="s">
        <v>2171</v>
      </c>
      <c r="F1675" t="s">
        <v>2032</v>
      </c>
      <c r="G1675" t="s">
        <v>38</v>
      </c>
      <c r="H1675" t="s">
        <v>2033</v>
      </c>
      <c r="I1675" s="5" t="s">
        <v>2034</v>
      </c>
      <c r="J1675" s="5" t="s">
        <v>2</v>
      </c>
      <c r="K1675" s="5" t="s">
        <v>2</v>
      </c>
      <c r="L1675" s="6">
        <f>IF(I1675="Cut","",IF(I1675="Your call","(decide)",IF(I1675="Rename",J1675,IF(I1675="Keep",IF(D1675="",E1675,D1675),IF(E1675="(unchanged)",D1675,E1675)))))</f>
      </c>
      <c r="M1675" s="6">
        <f>IF(AND(I1675="Cut",N1675&gt;0,K1675=""),"USED: say what replaces it (Note)",IF(AND(I1675="Rename",J1675=""),"type the new name",IF(AND(L1675&lt;&gt;"",L1675&lt;&gt;"(decide)",COUNTIF($L$2:$L$1680,L1675)&gt;1),"SAME FINAL NAME AS ANOTHER ROW","")))</f>
      </c>
      <c r="N1675" s="6">
        <v>0</v>
      </c>
      <c r="O1675" s="6" t="s">
        <v>2</v>
      </c>
    </row>
    <row r="1676" spans="1:15" x14ac:dyDescent="0.25">
      <c r="A1676">
        <v>1675</v>
      </c>
      <c r="B1676" t="s">
        <v>1471</v>
      </c>
      <c r="C1676" t="s">
        <v>2169</v>
      </c>
      <c r="D1676" t="s">
        <v>2</v>
      </c>
      <c r="E1676" t="s">
        <v>2172</v>
      </c>
      <c r="F1676" t="s">
        <v>2032</v>
      </c>
      <c r="G1676" t="s">
        <v>38</v>
      </c>
      <c r="H1676" t="s">
        <v>2033</v>
      </c>
      <c r="I1676" s="5" t="s">
        <v>2034</v>
      </c>
      <c r="J1676" s="5" t="s">
        <v>2</v>
      </c>
      <c r="K1676" s="5" t="s">
        <v>2</v>
      </c>
      <c r="L1676" s="6">
        <f>IF(I1676="Cut","",IF(I1676="Your call","(decide)",IF(I1676="Rename",J1676,IF(I1676="Keep",IF(D1676="",E1676,D1676),IF(E1676="(unchanged)",D1676,E1676)))))</f>
      </c>
      <c r="M1676" s="6">
        <f>IF(AND(I1676="Cut",N1676&gt;0,K1676=""),"USED: say what replaces it (Note)",IF(AND(I1676="Rename",J1676=""),"type the new name",IF(AND(L1676&lt;&gt;"",L1676&lt;&gt;"(decide)",COUNTIF($L$2:$L$1680,L1676)&gt;1),"SAME FINAL NAME AS ANOTHER ROW","")))</f>
      </c>
      <c r="N1676" s="6">
        <v>0</v>
      </c>
      <c r="O1676" s="6" t="s">
        <v>2</v>
      </c>
    </row>
    <row r="1677" spans="1:15" x14ac:dyDescent="0.25">
      <c r="A1677">
        <v>1676</v>
      </c>
      <c r="B1677" t="s">
        <v>1471</v>
      </c>
      <c r="C1677" t="s">
        <v>2169</v>
      </c>
      <c r="D1677" t="s">
        <v>2</v>
      </c>
      <c r="E1677" t="s">
        <v>2173</v>
      </c>
      <c r="F1677" t="s">
        <v>2032</v>
      </c>
      <c r="G1677" t="s">
        <v>38</v>
      </c>
      <c r="H1677" t="s">
        <v>2033</v>
      </c>
      <c r="I1677" s="5" t="s">
        <v>2034</v>
      </c>
      <c r="J1677" s="5" t="s">
        <v>2</v>
      </c>
      <c r="K1677" s="5" t="s">
        <v>2</v>
      </c>
      <c r="L1677" s="6">
        <f>IF(I1677="Cut","",IF(I1677="Your call","(decide)",IF(I1677="Rename",J1677,IF(I1677="Keep",IF(D1677="",E1677,D1677),IF(E1677="(unchanged)",D1677,E1677)))))</f>
      </c>
      <c r="M1677" s="6">
        <f>IF(AND(I1677="Cut",N1677&gt;0,K1677=""),"USED: say what replaces it (Note)",IF(AND(I1677="Rename",J1677=""),"type the new name",IF(AND(L1677&lt;&gt;"",L1677&lt;&gt;"(decide)",COUNTIF($L$2:$L$1680,L1677)&gt;1),"SAME FINAL NAME AS ANOTHER ROW","")))</f>
      </c>
      <c r="N1677" s="6">
        <v>0</v>
      </c>
      <c r="O1677" s="6" t="s">
        <v>2</v>
      </c>
    </row>
    <row r="1678" spans="1:15" x14ac:dyDescent="0.25">
      <c r="A1678">
        <v>1677</v>
      </c>
      <c r="B1678" t="s">
        <v>1471</v>
      </c>
      <c r="C1678" t="s">
        <v>2169</v>
      </c>
      <c r="D1678" t="s">
        <v>2</v>
      </c>
      <c r="E1678" t="s">
        <v>2174</v>
      </c>
      <c r="F1678" t="s">
        <v>2032</v>
      </c>
      <c r="G1678" t="s">
        <v>38</v>
      </c>
      <c r="H1678" t="s">
        <v>2033</v>
      </c>
      <c r="I1678" s="5" t="s">
        <v>2034</v>
      </c>
      <c r="J1678" s="5" t="s">
        <v>2</v>
      </c>
      <c r="K1678" s="5" t="s">
        <v>2</v>
      </c>
      <c r="L1678" s="6">
        <f>IF(I1678="Cut","",IF(I1678="Your call","(decide)",IF(I1678="Rename",J1678,IF(I1678="Keep",IF(D1678="",E1678,D1678),IF(E1678="(unchanged)",D1678,E1678)))))</f>
      </c>
      <c r="M1678" s="6">
        <f>IF(AND(I1678="Cut",N1678&gt;0,K1678=""),"USED: say what replaces it (Note)",IF(AND(I1678="Rename",J1678=""),"type the new name",IF(AND(L1678&lt;&gt;"",L1678&lt;&gt;"(decide)",COUNTIF($L$2:$L$1680,L1678)&gt;1),"SAME FINAL NAME AS ANOTHER ROW","")))</f>
      </c>
      <c r="N1678" s="6">
        <v>0</v>
      </c>
      <c r="O1678" s="6" t="s">
        <v>2</v>
      </c>
    </row>
    <row r="1679" spans="1:15" x14ac:dyDescent="0.25">
      <c r="A1679">
        <v>1678</v>
      </c>
      <c r="B1679" t="s">
        <v>1471</v>
      </c>
      <c r="C1679" t="s">
        <v>2169</v>
      </c>
      <c r="D1679" t="s">
        <v>2</v>
      </c>
      <c r="E1679" t="s">
        <v>2175</v>
      </c>
      <c r="F1679" t="s">
        <v>2032</v>
      </c>
      <c r="G1679" t="s">
        <v>38</v>
      </c>
      <c r="H1679" t="s">
        <v>2033</v>
      </c>
      <c r="I1679" s="5" t="s">
        <v>2034</v>
      </c>
      <c r="J1679" s="5" t="s">
        <v>2</v>
      </c>
      <c r="K1679" s="5" t="s">
        <v>2</v>
      </c>
      <c r="L1679" s="6">
        <f>IF(I1679="Cut","",IF(I1679="Your call","(decide)",IF(I1679="Rename",J1679,IF(I1679="Keep",IF(D1679="",E1679,D1679),IF(E1679="(unchanged)",D1679,E1679)))))</f>
      </c>
      <c r="M1679" s="6">
        <f>IF(AND(I1679="Cut",N1679&gt;0,K1679=""),"USED: say what replaces it (Note)",IF(AND(I1679="Rename",J1679=""),"type the new name",IF(AND(L1679&lt;&gt;"",L1679&lt;&gt;"(decide)",COUNTIF($L$2:$L$1680,L1679)&gt;1),"SAME FINAL NAME AS ANOTHER ROW","")))</f>
      </c>
      <c r="N1679" s="6">
        <v>0</v>
      </c>
      <c r="O1679" s="6" t="s">
        <v>2</v>
      </c>
    </row>
    <row r="1680" spans="1:15" x14ac:dyDescent="0.25">
      <c r="A1680">
        <v>1679</v>
      </c>
      <c r="B1680" t="s">
        <v>1684</v>
      </c>
      <c r="C1680" t="s">
        <v>2</v>
      </c>
      <c r="D1680" t="s">
        <v>2</v>
      </c>
      <c r="E1680" t="s">
        <v>2176</v>
      </c>
      <c r="F1680" t="s">
        <v>2032</v>
      </c>
      <c r="G1680" t="s">
        <v>38</v>
      </c>
      <c r="H1680" t="s">
        <v>2033</v>
      </c>
      <c r="I1680" s="5" t="s">
        <v>2034</v>
      </c>
      <c r="J1680" s="5" t="s">
        <v>2</v>
      </c>
      <c r="K1680" s="5" t="s">
        <v>2</v>
      </c>
      <c r="L1680" s="6">
        <f>IF(I1680="Cut","",IF(I1680="Your call","(decide)",IF(I1680="Rename",J1680,IF(I1680="Keep",IF(D1680="",E1680,D1680),IF(E1680="(unchanged)",D1680,E1680)))))</f>
      </c>
      <c r="M1680" s="6">
        <f>IF(AND(I1680="Cut",N1680&gt;0,K1680=""),"USED: say what replaces it (Note)",IF(AND(I1680="Rename",J1680=""),"type the new name",IF(AND(L1680&lt;&gt;"",L1680&lt;&gt;"(decide)",COUNTIF($L$2:$L$1680,L1680)&gt;1),"SAME FINAL NAME AS ANOTHER ROW","")))</f>
      </c>
      <c r="N1680" s="6">
        <v>0</v>
      </c>
      <c r="O1680" s="6" t="s">
        <v>2</v>
      </c>
    </row>
  </sheetData>
  <autoFilter ref="A1:O1680"/>
  <conditionalFormatting sqref="M2:M1680">
    <cfRule type="expression" dxfId="0" priority="1">
      <formula>LEN(M2)&gt;0</formula>
    </cfRule>
  </conditionalFormatting>
  <dataValidations count="2">
    <dataValidation type="list" allowBlank="1" showErrorMessage="1" errorTitle="Pick from the list" error="One of: Keep proposed, Keep, Rename, Cut, Add, Your call" sqref="I10:I1680">
      <formula1>"Keep proposed,Keep,Rename,Cut,Add,Your call"</formula1>
    </dataValidation>
    <dataValidation type="list" allowBlank="1" showErrorMessage="1" errorTitle="Pick from the list" error="One of: Keep proposed, Keep, Rename, Cut, Add, Your call" sqref="I2:I1680">
      <formula1>"Keep proposed,Keep,Rename,Cut,Add,Your call"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4" customWidth="1"/>
    <col min="3" max="3" width="42" customWidth="1"/>
    <col min="4" max="4" width="90" customWidth="1"/>
    <col min="5" max="5" width="12" customWidth="1"/>
    <col min="6" max="7" width="30" customWidth="1"/>
  </cols>
  <sheetData>
    <row r="1" ht="30" customHeight="1" spans="1:7" s="4" customFormat="1" x14ac:dyDescent="0.25">
      <c r="A1" s="4" t="s">
        <v>2177</v>
      </c>
      <c r="B1" s="4" t="s">
        <v>19</v>
      </c>
      <c r="C1" s="4" t="s">
        <v>2178</v>
      </c>
      <c r="D1" s="4" t="s">
        <v>2179</v>
      </c>
      <c r="E1" s="4" t="s">
        <v>26</v>
      </c>
      <c r="F1" s="4" t="s">
        <v>27</v>
      </c>
      <c r="G1" s="4" t="s">
        <v>28</v>
      </c>
    </row>
    <row r="2" spans="1:7" x14ac:dyDescent="0.25">
      <c r="A2" t="s">
        <v>2180</v>
      </c>
      <c r="B2" t="s">
        <v>2</v>
      </c>
      <c r="C2" t="s">
        <v>2181</v>
      </c>
      <c r="D2" s="7" t="s">
        <v>2182</v>
      </c>
      <c r="E2" s="5" t="s">
        <v>2183</v>
      </c>
      <c r="F2" s="5" t="s">
        <v>2</v>
      </c>
      <c r="G2" s="5" t="s">
        <v>2184</v>
      </c>
    </row>
    <row r="3" spans="1:7" x14ac:dyDescent="0.25">
      <c r="A3" t="s">
        <v>2180</v>
      </c>
      <c r="B3" t="s">
        <v>2</v>
      </c>
      <c r="C3" t="s">
        <v>2185</v>
      </c>
      <c r="D3" s="7" t="s">
        <v>2182</v>
      </c>
      <c r="E3" s="5" t="s">
        <v>2183</v>
      </c>
      <c r="F3" s="5" t="s">
        <v>2</v>
      </c>
      <c r="G3" s="5" t="s">
        <v>2186</v>
      </c>
    </row>
    <row r="4" spans="1:7" x14ac:dyDescent="0.25">
      <c r="A4" t="s">
        <v>2180</v>
      </c>
      <c r="B4" t="s">
        <v>2</v>
      </c>
      <c r="C4" t="s">
        <v>2187</v>
      </c>
      <c r="D4" s="7" t="s">
        <v>2182</v>
      </c>
      <c r="E4" s="5" t="s">
        <v>2183</v>
      </c>
      <c r="F4" s="5" t="s">
        <v>2</v>
      </c>
      <c r="G4" s="5" t="s">
        <v>2188</v>
      </c>
    </row>
    <row r="5" spans="1:7" x14ac:dyDescent="0.25">
      <c r="A5" t="s">
        <v>2180</v>
      </c>
      <c r="B5" t="s">
        <v>2</v>
      </c>
      <c r="C5" t="s">
        <v>2189</v>
      </c>
      <c r="D5" s="7" t="s">
        <v>2182</v>
      </c>
      <c r="E5" s="5" t="s">
        <v>2183</v>
      </c>
      <c r="F5" s="5" t="s">
        <v>2</v>
      </c>
      <c r="G5" s="5" t="s">
        <v>2190</v>
      </c>
    </row>
    <row r="6" spans="1:7" x14ac:dyDescent="0.25">
      <c r="A6" t="s">
        <v>2191</v>
      </c>
      <c r="B6" t="s">
        <v>33</v>
      </c>
      <c r="C6" t="s">
        <v>2192</v>
      </c>
      <c r="D6" s="7" t="s">
        <v>2193</v>
      </c>
      <c r="E6" s="5" t="s">
        <v>2034</v>
      </c>
      <c r="F6" s="5" t="s">
        <v>2</v>
      </c>
      <c r="G6" s="5" t="s">
        <v>2194</v>
      </c>
    </row>
    <row r="7" spans="1:7" x14ac:dyDescent="0.25">
      <c r="A7" t="s">
        <v>2191</v>
      </c>
      <c r="B7" t="s">
        <v>33</v>
      </c>
      <c r="C7" t="s">
        <v>2195</v>
      </c>
      <c r="D7" s="7" t="s">
        <v>2196</v>
      </c>
      <c r="E7" s="5" t="s">
        <v>2183</v>
      </c>
      <c r="F7" s="5" t="s">
        <v>2</v>
      </c>
      <c r="G7" s="5" t="s">
        <v>2197</v>
      </c>
    </row>
    <row r="8" spans="1:7" x14ac:dyDescent="0.25">
      <c r="A8" t="s">
        <v>2191</v>
      </c>
      <c r="B8" t="s">
        <v>33</v>
      </c>
      <c r="C8" t="s">
        <v>2198</v>
      </c>
      <c r="D8" s="7" t="s">
        <v>2199</v>
      </c>
      <c r="E8" s="5" t="s">
        <v>2183</v>
      </c>
      <c r="F8" s="5" t="s">
        <v>2</v>
      </c>
      <c r="G8" s="5" t="s">
        <v>2200</v>
      </c>
    </row>
    <row r="9" spans="1:7" x14ac:dyDescent="0.25">
      <c r="A9" t="s">
        <v>2191</v>
      </c>
      <c r="B9" t="s">
        <v>353</v>
      </c>
      <c r="C9" t="s">
        <v>2201</v>
      </c>
      <c r="D9" s="7" t="s">
        <v>2202</v>
      </c>
      <c r="E9" s="5" t="s">
        <v>2034</v>
      </c>
      <c r="F9" s="5" t="s">
        <v>2</v>
      </c>
      <c r="G9" s="5" t="s">
        <v>2203</v>
      </c>
    </row>
    <row r="10" spans="1:7" x14ac:dyDescent="0.25">
      <c r="A10" t="s">
        <v>2191</v>
      </c>
      <c r="B10" t="s">
        <v>353</v>
      </c>
      <c r="C10" t="s">
        <v>2204</v>
      </c>
      <c r="D10" s="7" t="s">
        <v>2205</v>
      </c>
      <c r="E10" s="5" t="s">
        <v>2034</v>
      </c>
      <c r="F10" s="5" t="s">
        <v>2</v>
      </c>
      <c r="G10" s="5" t="s">
        <v>2206</v>
      </c>
    </row>
    <row r="11" spans="1:7" x14ac:dyDescent="0.25">
      <c r="A11" t="s">
        <v>2191</v>
      </c>
      <c r="B11" t="s">
        <v>353</v>
      </c>
      <c r="C11" t="s">
        <v>2207</v>
      </c>
      <c r="D11" s="7" t="s">
        <v>2208</v>
      </c>
      <c r="E11" s="5" t="s">
        <v>2183</v>
      </c>
      <c r="F11" s="5" t="s">
        <v>2</v>
      </c>
      <c r="G11" s="5" t="s">
        <v>2209</v>
      </c>
    </row>
    <row r="12" spans="1:7" x14ac:dyDescent="0.25">
      <c r="A12" t="s">
        <v>2191</v>
      </c>
      <c r="B12" t="s">
        <v>353</v>
      </c>
      <c r="C12" t="s">
        <v>2210</v>
      </c>
      <c r="D12" s="7" t="s">
        <v>2211</v>
      </c>
      <c r="E12" s="5" t="s">
        <v>2183</v>
      </c>
      <c r="F12" s="5" t="s">
        <v>2</v>
      </c>
      <c r="G12" s="5" t="s">
        <v>2212</v>
      </c>
    </row>
    <row r="13" spans="1:7" x14ac:dyDescent="0.25">
      <c r="A13" t="s">
        <v>2191</v>
      </c>
      <c r="B13" t="s">
        <v>353</v>
      </c>
      <c r="C13" t="s">
        <v>2213</v>
      </c>
      <c r="D13" s="7" t="s">
        <v>2214</v>
      </c>
      <c r="E13" s="5" t="s">
        <v>2183</v>
      </c>
      <c r="F13" s="5" t="s">
        <v>2</v>
      </c>
      <c r="G13" s="5" t="s">
        <v>2212</v>
      </c>
    </row>
    <row r="14" spans="1:7" x14ac:dyDescent="0.25">
      <c r="A14" t="s">
        <v>2191</v>
      </c>
      <c r="B14" t="s">
        <v>353</v>
      </c>
      <c r="C14" t="s">
        <v>2215</v>
      </c>
      <c r="D14" s="7" t="s">
        <v>2216</v>
      </c>
      <c r="E14" s="5" t="s">
        <v>2183</v>
      </c>
      <c r="F14" s="5" t="s">
        <v>2</v>
      </c>
      <c r="G14" s="5" t="s">
        <v>2212</v>
      </c>
    </row>
    <row r="15" spans="1:7" x14ac:dyDescent="0.25">
      <c r="A15" t="s">
        <v>2191</v>
      </c>
      <c r="B15" t="s">
        <v>353</v>
      </c>
      <c r="C15" t="s">
        <v>2217</v>
      </c>
      <c r="D15" s="7" t="s">
        <v>2218</v>
      </c>
      <c r="E15" s="5" t="s">
        <v>2183</v>
      </c>
      <c r="F15" s="5" t="s">
        <v>2</v>
      </c>
      <c r="G15" s="5" t="s">
        <v>2212</v>
      </c>
    </row>
    <row r="16" spans="1:7" x14ac:dyDescent="0.25">
      <c r="A16" t="s">
        <v>2191</v>
      </c>
      <c r="B16" t="s">
        <v>353</v>
      </c>
      <c r="C16" t="s">
        <v>2219</v>
      </c>
      <c r="D16" s="7" t="s">
        <v>2220</v>
      </c>
      <c r="E16" s="5" t="s">
        <v>2183</v>
      </c>
      <c r="F16" s="5" t="s">
        <v>2</v>
      </c>
      <c r="G16" s="5" t="s">
        <v>2221</v>
      </c>
    </row>
    <row r="17" spans="1:7" x14ac:dyDescent="0.25">
      <c r="A17" t="s">
        <v>2191</v>
      </c>
      <c r="B17" t="s">
        <v>353</v>
      </c>
      <c r="C17" t="s">
        <v>2222</v>
      </c>
      <c r="D17" s="7" t="s">
        <v>2223</v>
      </c>
      <c r="E17" s="5" t="s">
        <v>2183</v>
      </c>
      <c r="F17" s="5" t="s">
        <v>2</v>
      </c>
      <c r="G17" s="5" t="s">
        <v>2224</v>
      </c>
    </row>
    <row r="18" spans="1:7" x14ac:dyDescent="0.25">
      <c r="A18" t="s">
        <v>2191</v>
      </c>
      <c r="B18" t="s">
        <v>353</v>
      </c>
      <c r="C18" t="s">
        <v>2225</v>
      </c>
      <c r="D18" s="7" t="s">
        <v>2226</v>
      </c>
      <c r="E18" s="5" t="s">
        <v>2183</v>
      </c>
      <c r="F18" s="5" t="s">
        <v>2</v>
      </c>
      <c r="G18" s="5" t="s">
        <v>2212</v>
      </c>
    </row>
    <row r="19" spans="1:7" x14ac:dyDescent="0.25">
      <c r="A19" t="s">
        <v>2191</v>
      </c>
      <c r="B19" t="s">
        <v>353</v>
      </c>
      <c r="C19" t="s">
        <v>2227</v>
      </c>
      <c r="D19" s="7" t="s">
        <v>2228</v>
      </c>
      <c r="E19" s="5" t="s">
        <v>2183</v>
      </c>
      <c r="F19" s="5" t="s">
        <v>2</v>
      </c>
      <c r="G19" s="5" t="s">
        <v>2212</v>
      </c>
    </row>
    <row r="20" spans="1:7" x14ac:dyDescent="0.25">
      <c r="A20" t="s">
        <v>2191</v>
      </c>
      <c r="B20" t="s">
        <v>353</v>
      </c>
      <c r="C20" t="s">
        <v>2229</v>
      </c>
      <c r="D20" s="7" t="s">
        <v>2230</v>
      </c>
      <c r="E20" s="5" t="s">
        <v>2183</v>
      </c>
      <c r="F20" s="5" t="s">
        <v>2</v>
      </c>
      <c r="G20" s="5" t="s">
        <v>2212</v>
      </c>
    </row>
    <row r="21" spans="1:7" x14ac:dyDescent="0.25">
      <c r="A21" t="s">
        <v>2191</v>
      </c>
      <c r="B21" t="s">
        <v>353</v>
      </c>
      <c r="C21" t="s">
        <v>2231</v>
      </c>
      <c r="D21" s="7" t="s">
        <v>2232</v>
      </c>
      <c r="E21" s="5" t="s">
        <v>2183</v>
      </c>
      <c r="F21" s="5" t="s">
        <v>2</v>
      </c>
      <c r="G21" s="5" t="s">
        <v>2212</v>
      </c>
    </row>
    <row r="22" spans="1:7" x14ac:dyDescent="0.25">
      <c r="A22" t="s">
        <v>2191</v>
      </c>
      <c r="B22" t="s">
        <v>353</v>
      </c>
      <c r="C22" t="s">
        <v>2233</v>
      </c>
      <c r="D22" s="7" t="s">
        <v>2234</v>
      </c>
      <c r="E22" s="5" t="s">
        <v>2034</v>
      </c>
      <c r="F22" s="5" t="s">
        <v>2</v>
      </c>
      <c r="G22" s="5" t="s">
        <v>2235</v>
      </c>
    </row>
    <row r="23" spans="1:7" x14ac:dyDescent="0.25">
      <c r="A23" t="s">
        <v>2191</v>
      </c>
      <c r="B23" t="s">
        <v>353</v>
      </c>
      <c r="C23" t="s">
        <v>2236</v>
      </c>
      <c r="D23" s="7" t="s">
        <v>2237</v>
      </c>
      <c r="E23" s="5" t="s">
        <v>2034</v>
      </c>
      <c r="F23" s="5" t="s">
        <v>2</v>
      </c>
      <c r="G23" s="5" t="s">
        <v>2238</v>
      </c>
    </row>
    <row r="24" spans="1:7" x14ac:dyDescent="0.25">
      <c r="A24" t="s">
        <v>2191</v>
      </c>
      <c r="B24" t="s">
        <v>353</v>
      </c>
      <c r="C24" t="s">
        <v>2239</v>
      </c>
      <c r="D24" s="7" t="s">
        <v>2240</v>
      </c>
      <c r="E24" s="5" t="s">
        <v>2034</v>
      </c>
      <c r="F24" s="5" t="s">
        <v>2</v>
      </c>
      <c r="G24" s="5" t="s">
        <v>2238</v>
      </c>
    </row>
    <row r="25" spans="1:7" x14ac:dyDescent="0.25">
      <c r="A25" t="s">
        <v>2191</v>
      </c>
      <c r="B25" t="s">
        <v>353</v>
      </c>
      <c r="C25" t="s">
        <v>2241</v>
      </c>
      <c r="D25" s="7" t="s">
        <v>2242</v>
      </c>
      <c r="E25" s="5" t="s">
        <v>2034</v>
      </c>
      <c r="F25" s="5" t="s">
        <v>2</v>
      </c>
      <c r="G25" s="5" t="s">
        <v>2238</v>
      </c>
    </row>
    <row r="26" spans="1:7" x14ac:dyDescent="0.25">
      <c r="A26" t="s">
        <v>2191</v>
      </c>
      <c r="B26" t="s">
        <v>353</v>
      </c>
      <c r="C26" t="s">
        <v>2243</v>
      </c>
      <c r="D26" s="7" t="s">
        <v>2244</v>
      </c>
      <c r="E26" s="5" t="s">
        <v>2183</v>
      </c>
      <c r="F26" s="5" t="s">
        <v>2</v>
      </c>
      <c r="G26" s="5" t="s">
        <v>2245</v>
      </c>
    </row>
    <row r="27" spans="1:7" x14ac:dyDescent="0.25">
      <c r="A27" t="s">
        <v>2191</v>
      </c>
      <c r="B27" t="s">
        <v>353</v>
      </c>
      <c r="C27" t="s">
        <v>2246</v>
      </c>
      <c r="D27" s="7" t="s">
        <v>2247</v>
      </c>
      <c r="E27" s="5" t="s">
        <v>2183</v>
      </c>
      <c r="F27" s="5" t="s">
        <v>2</v>
      </c>
      <c r="G27" s="5" t="s">
        <v>2212</v>
      </c>
    </row>
    <row r="28" spans="1:7" x14ac:dyDescent="0.25">
      <c r="A28" t="s">
        <v>2191</v>
      </c>
      <c r="B28" t="s">
        <v>353</v>
      </c>
      <c r="C28" t="s">
        <v>2248</v>
      </c>
      <c r="D28" s="7" t="s">
        <v>2249</v>
      </c>
      <c r="E28" s="5" t="s">
        <v>2183</v>
      </c>
      <c r="F28" s="5" t="s">
        <v>2</v>
      </c>
      <c r="G28" s="5" t="s">
        <v>2212</v>
      </c>
    </row>
    <row r="29" spans="1:7" x14ac:dyDescent="0.25">
      <c r="A29" t="s">
        <v>2191</v>
      </c>
      <c r="B29" t="s">
        <v>353</v>
      </c>
      <c r="C29" t="s">
        <v>2250</v>
      </c>
      <c r="D29" s="7" t="s">
        <v>2251</v>
      </c>
      <c r="E29" s="5" t="s">
        <v>2183</v>
      </c>
      <c r="F29" s="5" t="s">
        <v>2</v>
      </c>
      <c r="G29" s="5" t="s">
        <v>2212</v>
      </c>
    </row>
    <row r="30" spans="1:7" x14ac:dyDescent="0.25">
      <c r="A30" t="s">
        <v>2191</v>
      </c>
      <c r="B30" t="s">
        <v>353</v>
      </c>
      <c r="C30" t="s">
        <v>2252</v>
      </c>
      <c r="D30" s="7" t="s">
        <v>2253</v>
      </c>
      <c r="E30" s="5" t="s">
        <v>2183</v>
      </c>
      <c r="F30" s="5" t="s">
        <v>2</v>
      </c>
      <c r="G30" s="5" t="s">
        <v>2212</v>
      </c>
    </row>
    <row r="31" spans="1:7" x14ac:dyDescent="0.25">
      <c r="A31" t="s">
        <v>2191</v>
      </c>
      <c r="B31" t="s">
        <v>289</v>
      </c>
      <c r="C31" t="s">
        <v>2254</v>
      </c>
      <c r="D31" s="7" t="s">
        <v>2255</v>
      </c>
      <c r="E31" s="5" t="s">
        <v>2183</v>
      </c>
      <c r="F31" s="5" t="s">
        <v>2</v>
      </c>
      <c r="G31" s="5" t="s">
        <v>2212</v>
      </c>
    </row>
    <row r="32" spans="1:7" x14ac:dyDescent="0.25">
      <c r="A32" t="s">
        <v>2191</v>
      </c>
      <c r="B32" t="s">
        <v>353</v>
      </c>
      <c r="C32" t="s">
        <v>2256</v>
      </c>
      <c r="D32" s="7" t="s">
        <v>2257</v>
      </c>
      <c r="E32" s="5" t="s">
        <v>2183</v>
      </c>
      <c r="F32" s="5" t="s">
        <v>2</v>
      </c>
      <c r="G32" s="5" t="s">
        <v>2212</v>
      </c>
    </row>
    <row r="33" spans="1:7" x14ac:dyDescent="0.25">
      <c r="A33" t="s">
        <v>2191</v>
      </c>
      <c r="B33" t="s">
        <v>353</v>
      </c>
      <c r="C33" t="s">
        <v>2258</v>
      </c>
      <c r="D33" s="7" t="s">
        <v>2259</v>
      </c>
      <c r="E33" s="5" t="s">
        <v>2183</v>
      </c>
      <c r="F33" s="5" t="s">
        <v>2</v>
      </c>
      <c r="G33" s="5" t="s">
        <v>2212</v>
      </c>
    </row>
    <row r="34" spans="1:7" x14ac:dyDescent="0.25">
      <c r="A34" t="s">
        <v>2191</v>
      </c>
      <c r="B34" t="s">
        <v>353</v>
      </c>
      <c r="C34" t="s">
        <v>2260</v>
      </c>
      <c r="D34" s="7" t="s">
        <v>2261</v>
      </c>
      <c r="E34" s="5" t="s">
        <v>2183</v>
      </c>
      <c r="F34" s="5" t="s">
        <v>2</v>
      </c>
      <c r="G34" s="5" t="s">
        <v>2212</v>
      </c>
    </row>
    <row r="35" spans="1:7" x14ac:dyDescent="0.25">
      <c r="A35" t="s">
        <v>2191</v>
      </c>
      <c r="B35" t="s">
        <v>353</v>
      </c>
      <c r="C35" t="s">
        <v>2262</v>
      </c>
      <c r="D35" s="7" t="s">
        <v>2263</v>
      </c>
      <c r="E35" s="5" t="s">
        <v>2183</v>
      </c>
      <c r="F35" s="5" t="s">
        <v>2</v>
      </c>
      <c r="G35" s="5" t="s">
        <v>2212</v>
      </c>
    </row>
    <row r="36" spans="1:7" x14ac:dyDescent="0.25">
      <c r="A36" t="s">
        <v>2191</v>
      </c>
      <c r="B36" t="s">
        <v>353</v>
      </c>
      <c r="C36" t="s">
        <v>2264</v>
      </c>
      <c r="D36" s="7" t="s">
        <v>2265</v>
      </c>
      <c r="E36" s="5" t="s">
        <v>2183</v>
      </c>
      <c r="F36" s="5" t="s">
        <v>2</v>
      </c>
      <c r="G36" s="5" t="s">
        <v>2212</v>
      </c>
    </row>
    <row r="37" spans="1:7" x14ac:dyDescent="0.25">
      <c r="A37" t="s">
        <v>2191</v>
      </c>
      <c r="B37" t="s">
        <v>353</v>
      </c>
      <c r="C37" t="s">
        <v>2266</v>
      </c>
      <c r="D37" s="7" t="s">
        <v>2267</v>
      </c>
      <c r="E37" s="5" t="s">
        <v>2183</v>
      </c>
      <c r="F37" s="5" t="s">
        <v>2</v>
      </c>
      <c r="G37" s="5" t="s">
        <v>2212</v>
      </c>
    </row>
    <row r="38" spans="1:7" x14ac:dyDescent="0.25">
      <c r="A38" t="s">
        <v>2191</v>
      </c>
      <c r="B38" t="s">
        <v>353</v>
      </c>
      <c r="C38" t="s">
        <v>2268</v>
      </c>
      <c r="D38" s="7" t="s">
        <v>2269</v>
      </c>
      <c r="E38" s="5" t="s">
        <v>2183</v>
      </c>
      <c r="F38" s="5" t="s">
        <v>2</v>
      </c>
      <c r="G38" s="5" t="s">
        <v>2212</v>
      </c>
    </row>
    <row r="39" spans="1:7" x14ac:dyDescent="0.25">
      <c r="A39" t="s">
        <v>2191</v>
      </c>
      <c r="B39" t="s">
        <v>353</v>
      </c>
      <c r="C39" t="s">
        <v>2270</v>
      </c>
      <c r="D39" s="7" t="s">
        <v>2271</v>
      </c>
      <c r="E39" s="5" t="s">
        <v>2183</v>
      </c>
      <c r="F39" s="5" t="s">
        <v>2</v>
      </c>
      <c r="G39" s="5" t="s">
        <v>2212</v>
      </c>
    </row>
    <row r="40" spans="1:7" x14ac:dyDescent="0.25">
      <c r="A40" t="s">
        <v>2191</v>
      </c>
      <c r="B40" t="s">
        <v>353</v>
      </c>
      <c r="C40" t="s">
        <v>2272</v>
      </c>
      <c r="D40" s="7" t="s">
        <v>2273</v>
      </c>
      <c r="E40" s="5" t="s">
        <v>2183</v>
      </c>
      <c r="F40" s="5" t="s">
        <v>2</v>
      </c>
      <c r="G40" s="5" t="s">
        <v>2212</v>
      </c>
    </row>
    <row r="41" spans="1:7" x14ac:dyDescent="0.25">
      <c r="A41" t="s">
        <v>2191</v>
      </c>
      <c r="B41" t="s">
        <v>289</v>
      </c>
      <c r="C41" t="s">
        <v>2274</v>
      </c>
      <c r="D41" s="7" t="s">
        <v>2275</v>
      </c>
      <c r="E41" s="5" t="s">
        <v>2183</v>
      </c>
      <c r="F41" s="5" t="s">
        <v>2</v>
      </c>
      <c r="G41" s="5" t="s">
        <v>2212</v>
      </c>
    </row>
    <row r="42" spans="1:7" x14ac:dyDescent="0.25">
      <c r="A42" t="s">
        <v>2191</v>
      </c>
      <c r="B42" t="s">
        <v>353</v>
      </c>
      <c r="C42" t="s">
        <v>2276</v>
      </c>
      <c r="D42" s="7" t="s">
        <v>2277</v>
      </c>
      <c r="E42" s="5" t="s">
        <v>2183</v>
      </c>
      <c r="F42" s="5" t="s">
        <v>2</v>
      </c>
      <c r="G42" s="5" t="s">
        <v>2212</v>
      </c>
    </row>
    <row r="43" spans="1:7" x14ac:dyDescent="0.25">
      <c r="A43" t="s">
        <v>2191</v>
      </c>
      <c r="B43" t="s">
        <v>353</v>
      </c>
      <c r="C43" t="s">
        <v>2278</v>
      </c>
      <c r="D43" s="7" t="s">
        <v>2279</v>
      </c>
      <c r="E43" s="5" t="s">
        <v>2183</v>
      </c>
      <c r="F43" s="5" t="s">
        <v>2</v>
      </c>
      <c r="G43" s="5" t="s">
        <v>2212</v>
      </c>
    </row>
    <row r="44" spans="1:7" x14ac:dyDescent="0.25">
      <c r="A44" t="s">
        <v>2191</v>
      </c>
      <c r="B44" t="s">
        <v>353</v>
      </c>
      <c r="C44" t="s">
        <v>2280</v>
      </c>
      <c r="D44" s="7" t="s">
        <v>2281</v>
      </c>
      <c r="E44" s="5" t="s">
        <v>2183</v>
      </c>
      <c r="F44" s="5" t="s">
        <v>2</v>
      </c>
      <c r="G44" s="5" t="s">
        <v>2212</v>
      </c>
    </row>
    <row r="45" spans="1:7" x14ac:dyDescent="0.25">
      <c r="A45" t="s">
        <v>2191</v>
      </c>
      <c r="B45" t="s">
        <v>353</v>
      </c>
      <c r="C45" t="s">
        <v>2282</v>
      </c>
      <c r="D45" s="7" t="s">
        <v>2283</v>
      </c>
      <c r="E45" s="5" t="s">
        <v>2183</v>
      </c>
      <c r="F45" s="5" t="s">
        <v>2</v>
      </c>
      <c r="G45" s="5" t="s">
        <v>2212</v>
      </c>
    </row>
    <row r="46" spans="1:7" x14ac:dyDescent="0.25">
      <c r="A46" t="s">
        <v>2191</v>
      </c>
      <c r="B46" t="s">
        <v>353</v>
      </c>
      <c r="C46" t="s">
        <v>2284</v>
      </c>
      <c r="D46" s="7" t="s">
        <v>2285</v>
      </c>
      <c r="E46" s="5" t="s">
        <v>2183</v>
      </c>
      <c r="F46" s="5" t="s">
        <v>2</v>
      </c>
      <c r="G46" s="5" t="s">
        <v>2212</v>
      </c>
    </row>
    <row r="47" spans="1:7" x14ac:dyDescent="0.25">
      <c r="A47" t="s">
        <v>2191</v>
      </c>
      <c r="B47" t="s">
        <v>353</v>
      </c>
      <c r="C47" t="s">
        <v>2286</v>
      </c>
      <c r="D47" s="7" t="s">
        <v>2287</v>
      </c>
      <c r="E47" s="5" t="s">
        <v>2183</v>
      </c>
      <c r="F47" s="5" t="s">
        <v>2</v>
      </c>
      <c r="G47" s="5" t="s">
        <v>2212</v>
      </c>
    </row>
    <row r="48" spans="1:7" x14ac:dyDescent="0.25">
      <c r="A48" t="s">
        <v>2191</v>
      </c>
      <c r="B48" t="s">
        <v>353</v>
      </c>
      <c r="C48" t="s">
        <v>2288</v>
      </c>
      <c r="D48" s="7" t="s">
        <v>2289</v>
      </c>
      <c r="E48" s="5" t="s">
        <v>2183</v>
      </c>
      <c r="F48" s="5" t="s">
        <v>2</v>
      </c>
      <c r="G48" s="5" t="s">
        <v>2212</v>
      </c>
    </row>
    <row r="49" spans="1:7" x14ac:dyDescent="0.25">
      <c r="A49" t="s">
        <v>2191</v>
      </c>
      <c r="B49" t="s">
        <v>353</v>
      </c>
      <c r="C49" t="s">
        <v>2290</v>
      </c>
      <c r="D49" s="7" t="s">
        <v>2291</v>
      </c>
      <c r="E49" s="5" t="s">
        <v>2183</v>
      </c>
      <c r="F49" s="5" t="s">
        <v>2</v>
      </c>
      <c r="G49" s="5" t="s">
        <v>2212</v>
      </c>
    </row>
    <row r="50" spans="1:7" x14ac:dyDescent="0.25">
      <c r="A50" t="s">
        <v>2191</v>
      </c>
      <c r="B50" t="s">
        <v>353</v>
      </c>
      <c r="C50" t="s">
        <v>2292</v>
      </c>
      <c r="D50" s="7" t="s">
        <v>2293</v>
      </c>
      <c r="E50" s="5" t="s">
        <v>2183</v>
      </c>
      <c r="F50" s="5" t="s">
        <v>2</v>
      </c>
      <c r="G50" s="5" t="s">
        <v>2212</v>
      </c>
    </row>
    <row r="51" spans="1:7" x14ac:dyDescent="0.25">
      <c r="A51" t="s">
        <v>2191</v>
      </c>
      <c r="B51" t="s">
        <v>289</v>
      </c>
      <c r="C51" t="s">
        <v>2294</v>
      </c>
      <c r="D51" s="7" t="s">
        <v>2295</v>
      </c>
      <c r="E51" s="5" t="s">
        <v>2183</v>
      </c>
      <c r="F51" s="5" t="s">
        <v>2</v>
      </c>
      <c r="G51" s="5" t="s">
        <v>2212</v>
      </c>
    </row>
    <row r="52" spans="1:7" x14ac:dyDescent="0.25">
      <c r="A52" t="s">
        <v>2191</v>
      </c>
      <c r="B52" t="s">
        <v>353</v>
      </c>
      <c r="C52" t="s">
        <v>2296</v>
      </c>
      <c r="D52" s="7" t="s">
        <v>2297</v>
      </c>
      <c r="E52" s="5" t="s">
        <v>2183</v>
      </c>
      <c r="F52" s="5" t="s">
        <v>2</v>
      </c>
      <c r="G52" s="5" t="s">
        <v>2212</v>
      </c>
    </row>
    <row r="53" spans="1:7" x14ac:dyDescent="0.25">
      <c r="A53" t="s">
        <v>2191</v>
      </c>
      <c r="B53" t="s">
        <v>353</v>
      </c>
      <c r="C53" t="s">
        <v>2298</v>
      </c>
      <c r="D53" s="7" t="s">
        <v>2299</v>
      </c>
      <c r="E53" s="5" t="s">
        <v>2183</v>
      </c>
      <c r="F53" s="5" t="s">
        <v>2</v>
      </c>
      <c r="G53" s="5" t="s">
        <v>2212</v>
      </c>
    </row>
    <row r="54" spans="1:7" x14ac:dyDescent="0.25">
      <c r="A54" t="s">
        <v>2191</v>
      </c>
      <c r="B54" t="s">
        <v>353</v>
      </c>
      <c r="C54" t="s">
        <v>2300</v>
      </c>
      <c r="D54" s="7" t="s">
        <v>2301</v>
      </c>
      <c r="E54" s="5" t="s">
        <v>2183</v>
      </c>
      <c r="F54" s="5" t="s">
        <v>2</v>
      </c>
      <c r="G54" s="5" t="s">
        <v>2212</v>
      </c>
    </row>
    <row r="55" spans="1:7" x14ac:dyDescent="0.25">
      <c r="A55" t="s">
        <v>2191</v>
      </c>
      <c r="B55" t="s">
        <v>353</v>
      </c>
      <c r="C55" t="s">
        <v>2302</v>
      </c>
      <c r="D55" s="7" t="s">
        <v>2303</v>
      </c>
      <c r="E55" s="5" t="s">
        <v>2183</v>
      </c>
      <c r="F55" s="5" t="s">
        <v>2</v>
      </c>
      <c r="G55" s="5" t="s">
        <v>2212</v>
      </c>
    </row>
    <row r="56" spans="1:7" x14ac:dyDescent="0.25">
      <c r="A56" t="s">
        <v>2191</v>
      </c>
      <c r="B56" t="s">
        <v>353</v>
      </c>
      <c r="C56" t="s">
        <v>2304</v>
      </c>
      <c r="D56" s="7" t="s">
        <v>2305</v>
      </c>
      <c r="E56" s="5" t="s">
        <v>2183</v>
      </c>
      <c r="F56" s="5" t="s">
        <v>2</v>
      </c>
      <c r="G56" s="5" t="s">
        <v>2212</v>
      </c>
    </row>
    <row r="57" spans="1:7" x14ac:dyDescent="0.25">
      <c r="A57" t="s">
        <v>2191</v>
      </c>
      <c r="B57" t="s">
        <v>353</v>
      </c>
      <c r="C57" t="s">
        <v>2306</v>
      </c>
      <c r="D57" s="7" t="s">
        <v>2307</v>
      </c>
      <c r="E57" s="5" t="s">
        <v>2183</v>
      </c>
      <c r="F57" s="5" t="s">
        <v>2</v>
      </c>
      <c r="G57" s="5" t="s">
        <v>2212</v>
      </c>
    </row>
    <row r="58" spans="1:7" x14ac:dyDescent="0.25">
      <c r="A58" t="s">
        <v>2191</v>
      </c>
      <c r="B58" t="s">
        <v>353</v>
      </c>
      <c r="C58" t="s">
        <v>2308</v>
      </c>
      <c r="D58" s="7" t="s">
        <v>2309</v>
      </c>
      <c r="E58" s="5" t="s">
        <v>2183</v>
      </c>
      <c r="F58" s="5" t="s">
        <v>2</v>
      </c>
      <c r="G58" s="5" t="s">
        <v>2212</v>
      </c>
    </row>
    <row r="59" spans="1:7" x14ac:dyDescent="0.25">
      <c r="A59" t="s">
        <v>2191</v>
      </c>
      <c r="B59" t="s">
        <v>353</v>
      </c>
      <c r="C59" t="s">
        <v>2310</v>
      </c>
      <c r="D59" s="7" t="s">
        <v>2311</v>
      </c>
      <c r="E59" s="5" t="s">
        <v>2183</v>
      </c>
      <c r="F59" s="5" t="s">
        <v>2</v>
      </c>
      <c r="G59" s="5" t="s">
        <v>2212</v>
      </c>
    </row>
    <row r="60" spans="1:7" x14ac:dyDescent="0.25">
      <c r="A60" t="s">
        <v>2191</v>
      </c>
      <c r="B60" t="s">
        <v>353</v>
      </c>
      <c r="C60" t="s">
        <v>2312</v>
      </c>
      <c r="D60" s="7" t="s">
        <v>2313</v>
      </c>
      <c r="E60" s="5" t="s">
        <v>2183</v>
      </c>
      <c r="F60" s="5" t="s">
        <v>2</v>
      </c>
      <c r="G60" s="5" t="s">
        <v>2212</v>
      </c>
    </row>
    <row r="61" spans="1:7" x14ac:dyDescent="0.25">
      <c r="A61" t="s">
        <v>2191</v>
      </c>
      <c r="B61" t="s">
        <v>353</v>
      </c>
      <c r="C61" t="s">
        <v>2314</v>
      </c>
      <c r="D61" s="7" t="s">
        <v>2315</v>
      </c>
      <c r="E61" s="5" t="s">
        <v>2034</v>
      </c>
      <c r="F61" s="5" t="s">
        <v>2</v>
      </c>
      <c r="G61" s="5" t="s">
        <v>2316</v>
      </c>
    </row>
    <row r="62" spans="1:7" x14ac:dyDescent="0.25">
      <c r="A62" t="s">
        <v>2191</v>
      </c>
      <c r="B62" t="s">
        <v>353</v>
      </c>
      <c r="C62" t="s">
        <v>2317</v>
      </c>
      <c r="D62" s="7" t="s">
        <v>2318</v>
      </c>
      <c r="E62" s="5" t="s">
        <v>2034</v>
      </c>
      <c r="F62" s="5" t="s">
        <v>2</v>
      </c>
      <c r="G62" s="5" t="s">
        <v>2319</v>
      </c>
    </row>
    <row r="63" spans="1:7" x14ac:dyDescent="0.25">
      <c r="A63" t="s">
        <v>2191</v>
      </c>
      <c r="B63" t="s">
        <v>353</v>
      </c>
      <c r="C63" t="s">
        <v>2320</v>
      </c>
      <c r="D63" s="7" t="s">
        <v>2321</v>
      </c>
      <c r="E63" s="5" t="s">
        <v>2183</v>
      </c>
      <c r="F63" s="5" t="s">
        <v>2</v>
      </c>
      <c r="G63" s="5" t="s">
        <v>2212</v>
      </c>
    </row>
    <row r="64" spans="1:7" x14ac:dyDescent="0.25">
      <c r="A64" t="s">
        <v>2191</v>
      </c>
      <c r="B64" t="s">
        <v>353</v>
      </c>
      <c r="C64" t="s">
        <v>2322</v>
      </c>
      <c r="D64" s="7" t="s">
        <v>2323</v>
      </c>
      <c r="E64" s="5" t="s">
        <v>2183</v>
      </c>
      <c r="F64" s="5" t="s">
        <v>2</v>
      </c>
      <c r="G64" s="5" t="s">
        <v>2212</v>
      </c>
    </row>
    <row r="65" spans="1:7" x14ac:dyDescent="0.25">
      <c r="A65" t="s">
        <v>2191</v>
      </c>
      <c r="B65" t="s">
        <v>353</v>
      </c>
      <c r="C65" t="s">
        <v>2324</v>
      </c>
      <c r="D65" s="7" t="s">
        <v>2325</v>
      </c>
      <c r="E65" s="5" t="s">
        <v>2183</v>
      </c>
      <c r="F65" s="5" t="s">
        <v>2</v>
      </c>
      <c r="G65" s="5" t="s">
        <v>2212</v>
      </c>
    </row>
    <row r="66" spans="1:7" x14ac:dyDescent="0.25">
      <c r="A66" t="s">
        <v>2191</v>
      </c>
      <c r="B66" t="s">
        <v>353</v>
      </c>
      <c r="C66" t="s">
        <v>2326</v>
      </c>
      <c r="D66" s="7" t="s">
        <v>2327</v>
      </c>
      <c r="E66" s="5" t="s">
        <v>2183</v>
      </c>
      <c r="F66" s="5" t="s">
        <v>2</v>
      </c>
      <c r="G66" s="5" t="s">
        <v>2212</v>
      </c>
    </row>
    <row r="67" spans="1:7" x14ac:dyDescent="0.25">
      <c r="A67" t="s">
        <v>2191</v>
      </c>
      <c r="B67" t="s">
        <v>353</v>
      </c>
      <c r="C67" t="s">
        <v>2328</v>
      </c>
      <c r="D67" s="7" t="s">
        <v>2329</v>
      </c>
      <c r="E67" s="5" t="s">
        <v>2183</v>
      </c>
      <c r="F67" s="5" t="s">
        <v>2</v>
      </c>
      <c r="G67" s="5" t="s">
        <v>2212</v>
      </c>
    </row>
    <row r="68" spans="1:7" x14ac:dyDescent="0.25">
      <c r="A68" t="s">
        <v>2191</v>
      </c>
      <c r="B68" t="s">
        <v>353</v>
      </c>
      <c r="C68" t="s">
        <v>2330</v>
      </c>
      <c r="D68" s="7" t="s">
        <v>2331</v>
      </c>
      <c r="E68" s="5" t="s">
        <v>2183</v>
      </c>
      <c r="F68" s="5" t="s">
        <v>2</v>
      </c>
      <c r="G68" s="5" t="s">
        <v>2212</v>
      </c>
    </row>
    <row r="69" spans="1:7" x14ac:dyDescent="0.25">
      <c r="A69" t="s">
        <v>2191</v>
      </c>
      <c r="B69" t="s">
        <v>353</v>
      </c>
      <c r="C69" t="s">
        <v>2332</v>
      </c>
      <c r="D69" s="7" t="s">
        <v>2333</v>
      </c>
      <c r="E69" s="5" t="s">
        <v>2034</v>
      </c>
      <c r="F69" s="5" t="s">
        <v>2</v>
      </c>
      <c r="G69" s="5" t="s">
        <v>2334</v>
      </c>
    </row>
    <row r="70" spans="1:7" x14ac:dyDescent="0.25">
      <c r="A70" t="s">
        <v>2191</v>
      </c>
      <c r="B70" t="s">
        <v>353</v>
      </c>
      <c r="C70" t="s">
        <v>2335</v>
      </c>
      <c r="D70" s="7" t="s">
        <v>2336</v>
      </c>
      <c r="E70" s="5" t="s">
        <v>2034</v>
      </c>
      <c r="F70" s="5" t="s">
        <v>2</v>
      </c>
      <c r="G70" s="5" t="s">
        <v>2337</v>
      </c>
    </row>
    <row r="71" spans="1:7" x14ac:dyDescent="0.25">
      <c r="A71" t="s">
        <v>2191</v>
      </c>
      <c r="B71" t="s">
        <v>353</v>
      </c>
      <c r="C71" t="s">
        <v>2338</v>
      </c>
      <c r="D71" s="7" t="s">
        <v>2339</v>
      </c>
      <c r="E71" s="5" t="s">
        <v>2183</v>
      </c>
      <c r="F71" s="5" t="s">
        <v>2</v>
      </c>
      <c r="G71" s="5" t="s">
        <v>2212</v>
      </c>
    </row>
    <row r="72" spans="1:7" x14ac:dyDescent="0.25">
      <c r="A72" t="s">
        <v>2191</v>
      </c>
      <c r="B72" t="s">
        <v>353</v>
      </c>
      <c r="C72" t="s">
        <v>2340</v>
      </c>
      <c r="D72" s="7" t="s">
        <v>2341</v>
      </c>
      <c r="E72" s="5" t="s">
        <v>2034</v>
      </c>
      <c r="F72" s="5" t="s">
        <v>2</v>
      </c>
      <c r="G72" s="5" t="s">
        <v>2342</v>
      </c>
    </row>
    <row r="73" spans="1:7" x14ac:dyDescent="0.25">
      <c r="A73" t="s">
        <v>2191</v>
      </c>
      <c r="B73" t="s">
        <v>353</v>
      </c>
      <c r="C73" t="s">
        <v>2343</v>
      </c>
      <c r="D73" s="7" t="s">
        <v>2344</v>
      </c>
      <c r="E73" s="5" t="s">
        <v>2034</v>
      </c>
      <c r="F73" s="5" t="s">
        <v>2</v>
      </c>
      <c r="G73" s="5" t="s">
        <v>2342</v>
      </c>
    </row>
    <row r="74" spans="1:7" x14ac:dyDescent="0.25">
      <c r="A74" t="s">
        <v>2191</v>
      </c>
      <c r="B74" t="s">
        <v>353</v>
      </c>
      <c r="C74" t="s">
        <v>2345</v>
      </c>
      <c r="D74" s="7" t="s">
        <v>2346</v>
      </c>
      <c r="E74" s="5" t="s">
        <v>2183</v>
      </c>
      <c r="F74" s="5" t="s">
        <v>2</v>
      </c>
      <c r="G74" s="5" t="s">
        <v>2212</v>
      </c>
    </row>
    <row r="75" spans="1:7" x14ac:dyDescent="0.25">
      <c r="A75" t="s">
        <v>2191</v>
      </c>
      <c r="B75" t="s">
        <v>353</v>
      </c>
      <c r="C75" t="s">
        <v>2347</v>
      </c>
      <c r="D75" s="7" t="s">
        <v>2348</v>
      </c>
      <c r="E75" s="5" t="s">
        <v>2183</v>
      </c>
      <c r="F75" s="5" t="s">
        <v>2</v>
      </c>
      <c r="G75" s="5" t="s">
        <v>2212</v>
      </c>
    </row>
    <row r="76" spans="1:7" x14ac:dyDescent="0.25">
      <c r="A76" t="s">
        <v>2191</v>
      </c>
      <c r="B76" t="s">
        <v>1818</v>
      </c>
      <c r="C76" t="s">
        <v>2349</v>
      </c>
      <c r="D76" s="7" t="s">
        <v>2350</v>
      </c>
      <c r="E76" s="5" t="s">
        <v>2034</v>
      </c>
      <c r="F76" s="5" t="s">
        <v>2</v>
      </c>
      <c r="G76" s="5" t="s">
        <v>2351</v>
      </c>
    </row>
    <row r="77" spans="1:7" x14ac:dyDescent="0.25">
      <c r="A77" t="s">
        <v>2191</v>
      </c>
      <c r="B77" t="s">
        <v>1009</v>
      </c>
      <c r="C77" t="s">
        <v>2352</v>
      </c>
      <c r="D77" s="7" t="s">
        <v>2353</v>
      </c>
      <c r="E77" s="5" t="s">
        <v>2183</v>
      </c>
      <c r="F77" s="5" t="s">
        <v>2</v>
      </c>
      <c r="G77" s="5" t="s">
        <v>2212</v>
      </c>
    </row>
    <row r="78" spans="1:7" x14ac:dyDescent="0.25">
      <c r="A78" t="s">
        <v>2191</v>
      </c>
      <c r="B78" t="s">
        <v>1009</v>
      </c>
      <c r="C78" t="s">
        <v>2354</v>
      </c>
      <c r="D78" s="7" t="s">
        <v>2355</v>
      </c>
      <c r="E78" s="5" t="s">
        <v>2183</v>
      </c>
      <c r="F78" s="5" t="s">
        <v>2</v>
      </c>
      <c r="G78" s="5" t="s">
        <v>2212</v>
      </c>
    </row>
    <row r="79" spans="1:7" x14ac:dyDescent="0.25">
      <c r="A79" t="s">
        <v>2191</v>
      </c>
      <c r="B79" t="s">
        <v>1009</v>
      </c>
      <c r="C79" t="s">
        <v>2356</v>
      </c>
      <c r="D79" s="7" t="s">
        <v>2357</v>
      </c>
      <c r="E79" s="5" t="s">
        <v>2183</v>
      </c>
      <c r="F79" s="5" t="s">
        <v>2</v>
      </c>
      <c r="G79" s="5" t="s">
        <v>2212</v>
      </c>
    </row>
    <row r="80" spans="1:7" x14ac:dyDescent="0.25">
      <c r="A80" t="s">
        <v>2191</v>
      </c>
      <c r="B80" t="s">
        <v>1009</v>
      </c>
      <c r="C80" t="s">
        <v>2358</v>
      </c>
      <c r="D80" s="7" t="s">
        <v>2359</v>
      </c>
      <c r="E80" s="5" t="s">
        <v>2183</v>
      </c>
      <c r="F80" s="5" t="s">
        <v>2</v>
      </c>
      <c r="G80" s="5" t="s">
        <v>2212</v>
      </c>
    </row>
    <row r="81" spans="1:7" x14ac:dyDescent="0.25">
      <c r="A81" t="s">
        <v>2191</v>
      </c>
      <c r="B81" t="s">
        <v>1769</v>
      </c>
      <c r="C81" t="s">
        <v>2360</v>
      </c>
      <c r="D81" s="7" t="s">
        <v>2361</v>
      </c>
      <c r="E81" s="5" t="s">
        <v>2034</v>
      </c>
      <c r="F81" s="5" t="s">
        <v>2</v>
      </c>
      <c r="G81" s="5" t="s">
        <v>2362</v>
      </c>
    </row>
    <row r="82" spans="1:7" x14ac:dyDescent="0.25">
      <c r="A82" t="s">
        <v>2191</v>
      </c>
      <c r="B82" t="s">
        <v>1769</v>
      </c>
      <c r="C82" t="s">
        <v>2363</v>
      </c>
      <c r="D82" s="7" t="s">
        <v>2364</v>
      </c>
      <c r="E82" s="5" t="s">
        <v>2034</v>
      </c>
      <c r="F82" s="5" t="s">
        <v>2</v>
      </c>
      <c r="G82" s="5" t="s">
        <v>2365</v>
      </c>
    </row>
    <row r="83" spans="1:7" x14ac:dyDescent="0.25">
      <c r="A83" t="s">
        <v>2191</v>
      </c>
      <c r="B83" t="s">
        <v>1769</v>
      </c>
      <c r="C83" t="s">
        <v>2366</v>
      </c>
      <c r="D83" s="7" t="s">
        <v>2367</v>
      </c>
      <c r="E83" s="5" t="s">
        <v>2034</v>
      </c>
      <c r="F83" s="5" t="s">
        <v>2</v>
      </c>
      <c r="G83" s="5" t="s">
        <v>2365</v>
      </c>
    </row>
    <row r="84" spans="1:7" x14ac:dyDescent="0.25">
      <c r="A84" t="s">
        <v>2191</v>
      </c>
      <c r="B84" t="s">
        <v>1769</v>
      </c>
      <c r="C84" t="s">
        <v>2368</v>
      </c>
      <c r="D84" s="7" t="s">
        <v>2369</v>
      </c>
      <c r="E84" s="5" t="s">
        <v>2034</v>
      </c>
      <c r="F84" s="5" t="s">
        <v>2</v>
      </c>
      <c r="G84" s="5" t="s">
        <v>2365</v>
      </c>
    </row>
    <row r="85" spans="1:7" x14ac:dyDescent="0.25">
      <c r="A85" t="s">
        <v>2191</v>
      </c>
      <c r="B85" t="s">
        <v>1895</v>
      </c>
      <c r="C85" t="s">
        <v>2370</v>
      </c>
      <c r="D85" s="7" t="s">
        <v>2371</v>
      </c>
      <c r="E85" s="5" t="s">
        <v>2183</v>
      </c>
      <c r="F85" s="5" t="s">
        <v>2</v>
      </c>
      <c r="G85" s="5" t="s">
        <v>2212</v>
      </c>
    </row>
    <row r="86" spans="1:7" x14ac:dyDescent="0.25">
      <c r="A86" t="s">
        <v>2191</v>
      </c>
      <c r="B86" t="s">
        <v>1895</v>
      </c>
      <c r="C86" t="s">
        <v>2372</v>
      </c>
      <c r="D86" s="7" t="s">
        <v>2373</v>
      </c>
      <c r="E86" s="5" t="s">
        <v>2183</v>
      </c>
      <c r="F86" s="5" t="s">
        <v>2</v>
      </c>
      <c r="G86" s="5" t="s">
        <v>2212</v>
      </c>
    </row>
    <row r="87" spans="1:7" x14ac:dyDescent="0.25">
      <c r="A87" t="s">
        <v>2374</v>
      </c>
      <c r="B87" t="s">
        <v>33</v>
      </c>
      <c r="C87" t="s">
        <v>2375</v>
      </c>
      <c r="D87" s="7" t="s">
        <v>2376</v>
      </c>
      <c r="E87" s="5" t="s">
        <v>2034</v>
      </c>
      <c r="F87" s="5" t="s">
        <v>2</v>
      </c>
      <c r="G87" s="5" t="s">
        <v>2</v>
      </c>
    </row>
    <row r="88" spans="1:7" x14ac:dyDescent="0.25">
      <c r="A88" t="s">
        <v>2374</v>
      </c>
      <c r="B88" t="s">
        <v>33</v>
      </c>
      <c r="C88" t="s">
        <v>2377</v>
      </c>
      <c r="D88" s="7" t="s">
        <v>2378</v>
      </c>
      <c r="E88" s="5" t="s">
        <v>2034</v>
      </c>
      <c r="F88" s="5" t="s">
        <v>2</v>
      </c>
      <c r="G88" s="5" t="s">
        <v>2</v>
      </c>
    </row>
    <row r="89" spans="1:7" x14ac:dyDescent="0.25">
      <c r="A89" t="s">
        <v>2374</v>
      </c>
      <c r="B89" t="s">
        <v>33</v>
      </c>
      <c r="C89" t="s">
        <v>2379</v>
      </c>
      <c r="D89" s="7" t="s">
        <v>2380</v>
      </c>
      <c r="E89" s="5" t="s">
        <v>2034</v>
      </c>
      <c r="F89" s="5" t="s">
        <v>2</v>
      </c>
      <c r="G89" s="5" t="s">
        <v>2</v>
      </c>
    </row>
    <row r="90" spans="1:7" x14ac:dyDescent="0.25">
      <c r="A90" t="s">
        <v>2374</v>
      </c>
      <c r="B90" t="s">
        <v>1684</v>
      </c>
      <c r="C90" t="s">
        <v>2381</v>
      </c>
      <c r="D90" s="7" t="s">
        <v>2382</v>
      </c>
      <c r="E90" s="5" t="s">
        <v>2034</v>
      </c>
      <c r="F90" s="5" t="s">
        <v>2</v>
      </c>
      <c r="G90" s="5" t="s">
        <v>2</v>
      </c>
    </row>
    <row r="91" spans="1:7" x14ac:dyDescent="0.25">
      <c r="A91" t="s">
        <v>2374</v>
      </c>
      <c r="B91" t="s">
        <v>353</v>
      </c>
      <c r="C91" t="s">
        <v>2383</v>
      </c>
      <c r="D91" s="7" t="s">
        <v>2384</v>
      </c>
      <c r="E91" s="5" t="s">
        <v>2034</v>
      </c>
      <c r="F91" s="5" t="s">
        <v>2</v>
      </c>
      <c r="G91" s="5" t="s">
        <v>2</v>
      </c>
    </row>
    <row r="92" spans="1:7" x14ac:dyDescent="0.25">
      <c r="A92" t="s">
        <v>2374</v>
      </c>
      <c r="B92" t="s">
        <v>353</v>
      </c>
      <c r="C92" t="s">
        <v>2385</v>
      </c>
      <c r="D92" s="7" t="s">
        <v>2386</v>
      </c>
      <c r="E92" s="5" t="s">
        <v>2034</v>
      </c>
      <c r="F92" s="5" t="s">
        <v>2</v>
      </c>
      <c r="G92" s="5" t="s">
        <v>2</v>
      </c>
    </row>
    <row r="93" spans="1:7" x14ac:dyDescent="0.25">
      <c r="A93" t="s">
        <v>2374</v>
      </c>
      <c r="B93" t="s">
        <v>289</v>
      </c>
      <c r="C93" t="s">
        <v>2387</v>
      </c>
      <c r="D93" s="7" t="s">
        <v>2388</v>
      </c>
      <c r="E93" s="5" t="s">
        <v>2034</v>
      </c>
      <c r="F93" s="5" t="s">
        <v>2</v>
      </c>
      <c r="G93" s="5" t="s">
        <v>2</v>
      </c>
    </row>
    <row r="94" spans="1:7" x14ac:dyDescent="0.25">
      <c r="A94" t="s">
        <v>2374</v>
      </c>
      <c r="B94" t="s">
        <v>353</v>
      </c>
      <c r="C94" t="s">
        <v>2389</v>
      </c>
      <c r="D94" s="7" t="s">
        <v>2390</v>
      </c>
      <c r="E94" s="5" t="s">
        <v>2034</v>
      </c>
      <c r="F94" s="5" t="s">
        <v>2</v>
      </c>
      <c r="G94" s="5" t="s">
        <v>2</v>
      </c>
    </row>
    <row r="95" spans="1:7" x14ac:dyDescent="0.25">
      <c r="A95" t="s">
        <v>2374</v>
      </c>
      <c r="B95" t="s">
        <v>353</v>
      </c>
      <c r="C95" t="s">
        <v>2391</v>
      </c>
      <c r="D95" s="7" t="s">
        <v>2392</v>
      </c>
      <c r="E95" s="5" t="s">
        <v>2034</v>
      </c>
      <c r="F95" s="5" t="s">
        <v>2</v>
      </c>
      <c r="G95" s="5" t="s">
        <v>2</v>
      </c>
    </row>
    <row r="96" spans="1:7" x14ac:dyDescent="0.25">
      <c r="A96" t="s">
        <v>2374</v>
      </c>
      <c r="B96" t="s">
        <v>353</v>
      </c>
      <c r="C96" t="s">
        <v>2393</v>
      </c>
      <c r="D96" s="7" t="s">
        <v>2394</v>
      </c>
      <c r="E96" s="5" t="s">
        <v>2034</v>
      </c>
      <c r="F96" s="5" t="s">
        <v>2</v>
      </c>
      <c r="G96" s="5" t="s">
        <v>2</v>
      </c>
    </row>
    <row r="97" spans="1:7" x14ac:dyDescent="0.25">
      <c r="A97" t="s">
        <v>2374</v>
      </c>
      <c r="B97" t="s">
        <v>353</v>
      </c>
      <c r="C97" t="s">
        <v>2395</v>
      </c>
      <c r="D97" s="7" t="s">
        <v>2396</v>
      </c>
      <c r="E97" s="5" t="s">
        <v>2034</v>
      </c>
      <c r="F97" s="5" t="s">
        <v>2</v>
      </c>
      <c r="G97" s="5" t="s">
        <v>2</v>
      </c>
    </row>
    <row r="98" spans="1:7" x14ac:dyDescent="0.25">
      <c r="A98" t="s">
        <v>2374</v>
      </c>
      <c r="B98" t="s">
        <v>1818</v>
      </c>
      <c r="C98" t="s">
        <v>2397</v>
      </c>
      <c r="D98" s="7" t="s">
        <v>2398</v>
      </c>
      <c r="E98" s="5" t="s">
        <v>2034</v>
      </c>
      <c r="F98" s="5" t="s">
        <v>2</v>
      </c>
      <c r="G98" s="5" t="s">
        <v>2</v>
      </c>
    </row>
    <row r="99" spans="1:7" x14ac:dyDescent="0.25">
      <c r="A99" t="s">
        <v>2374</v>
      </c>
      <c r="B99" t="s">
        <v>1471</v>
      </c>
      <c r="C99" t="s">
        <v>2399</v>
      </c>
      <c r="D99" s="7" t="s">
        <v>2400</v>
      </c>
      <c r="E99" s="5" t="s">
        <v>2034</v>
      </c>
      <c r="F99" s="5" t="s">
        <v>2</v>
      </c>
      <c r="G99" s="5" t="s">
        <v>2</v>
      </c>
    </row>
    <row r="100" spans="1:7" x14ac:dyDescent="0.25">
      <c r="A100" t="s">
        <v>2401</v>
      </c>
      <c r="B100" t="s">
        <v>1471</v>
      </c>
      <c r="C100" t="s">
        <v>2402</v>
      </c>
      <c r="D100" s="7" t="s">
        <v>2403</v>
      </c>
      <c r="E100" s="5" t="s">
        <v>2034</v>
      </c>
      <c r="F100" s="5" t="s">
        <v>2</v>
      </c>
      <c r="G100" s="5" t="s">
        <v>2</v>
      </c>
    </row>
    <row r="101" spans="1:7" x14ac:dyDescent="0.25">
      <c r="A101" t="s">
        <v>2401</v>
      </c>
      <c r="B101" t="s">
        <v>1242</v>
      </c>
      <c r="C101" t="s">
        <v>2404</v>
      </c>
      <c r="D101" s="7" t="s">
        <v>2405</v>
      </c>
      <c r="E101" s="5" t="s">
        <v>2034</v>
      </c>
      <c r="F101" s="5" t="s">
        <v>2</v>
      </c>
      <c r="G101" s="5" t="s">
        <v>2</v>
      </c>
    </row>
    <row r="102" spans="1:7" x14ac:dyDescent="0.25">
      <c r="A102" t="s">
        <v>2406</v>
      </c>
      <c r="B102" s="5" t="s">
        <v>2</v>
      </c>
      <c r="C102" s="5" t="s">
        <v>2</v>
      </c>
      <c r="D102" s="7" t="s">
        <v>2</v>
      </c>
      <c r="E102" s="5" t="s">
        <v>2</v>
      </c>
      <c r="F102" s="5" t="s">
        <v>2</v>
      </c>
      <c r="G102" s="5" t="s">
        <v>2</v>
      </c>
    </row>
    <row r="103" spans="1:7" x14ac:dyDescent="0.25">
      <c r="A103" t="s">
        <v>2406</v>
      </c>
      <c r="B103" s="5" t="s">
        <v>2</v>
      </c>
      <c r="C103" s="5" t="s">
        <v>2</v>
      </c>
      <c r="D103" s="7" t="s">
        <v>2</v>
      </c>
      <c r="E103" s="5" t="s">
        <v>2</v>
      </c>
      <c r="F103" s="5" t="s">
        <v>2</v>
      </c>
      <c r="G103" s="5" t="s">
        <v>2</v>
      </c>
    </row>
    <row r="104" spans="1:7" x14ac:dyDescent="0.25">
      <c r="A104" t="s">
        <v>2406</v>
      </c>
      <c r="B104" s="5" t="s">
        <v>2</v>
      </c>
      <c r="C104" s="5" t="s">
        <v>2</v>
      </c>
      <c r="D104" s="7" t="s">
        <v>2</v>
      </c>
      <c r="E104" s="5" t="s">
        <v>2</v>
      </c>
      <c r="F104" s="5" t="s">
        <v>2</v>
      </c>
      <c r="G104" s="5" t="s">
        <v>2</v>
      </c>
    </row>
    <row r="105" spans="1:7" x14ac:dyDescent="0.25">
      <c r="A105" t="s">
        <v>2406</v>
      </c>
      <c r="B105" s="5" t="s">
        <v>2</v>
      </c>
      <c r="C105" s="5" t="s">
        <v>2</v>
      </c>
      <c r="D105" s="7" t="s">
        <v>2</v>
      </c>
      <c r="E105" s="5" t="s">
        <v>2</v>
      </c>
      <c r="F105" s="5" t="s">
        <v>2</v>
      </c>
      <c r="G105" s="5" t="s">
        <v>2</v>
      </c>
    </row>
    <row r="106" spans="1:7" x14ac:dyDescent="0.25">
      <c r="A106" t="s">
        <v>2406</v>
      </c>
      <c r="B106" s="5" t="s">
        <v>2</v>
      </c>
      <c r="C106" s="5" t="s">
        <v>2</v>
      </c>
      <c r="D106" s="7" t="s">
        <v>2</v>
      </c>
      <c r="E106" s="5" t="s">
        <v>2</v>
      </c>
      <c r="F106" s="5" t="s">
        <v>2</v>
      </c>
      <c r="G106" s="5" t="s">
        <v>2</v>
      </c>
    </row>
    <row r="107" spans="1:7" x14ac:dyDescent="0.25">
      <c r="A107" t="s">
        <v>2406</v>
      </c>
      <c r="B107" s="5" t="s">
        <v>2</v>
      </c>
      <c r="C107" s="5" t="s">
        <v>2</v>
      </c>
      <c r="D107" s="7" t="s">
        <v>2</v>
      </c>
      <c r="E107" s="5" t="s">
        <v>2</v>
      </c>
      <c r="F107" s="5" t="s">
        <v>2</v>
      </c>
      <c r="G107" s="5" t="s">
        <v>2</v>
      </c>
    </row>
    <row r="108" spans="1:7" x14ac:dyDescent="0.25">
      <c r="A108" t="s">
        <v>2406</v>
      </c>
      <c r="B108" s="5" t="s">
        <v>2</v>
      </c>
      <c r="C108" s="5" t="s">
        <v>2</v>
      </c>
      <c r="D108" s="7" t="s">
        <v>2</v>
      </c>
      <c r="E108" s="5" t="s">
        <v>2</v>
      </c>
      <c r="F108" s="5" t="s">
        <v>2</v>
      </c>
      <c r="G108" s="5" t="s">
        <v>2</v>
      </c>
    </row>
    <row r="109" spans="1:7" x14ac:dyDescent="0.25">
      <c r="A109" t="s">
        <v>2406</v>
      </c>
      <c r="B109" s="5" t="s">
        <v>2</v>
      </c>
      <c r="C109" s="5" t="s">
        <v>2</v>
      </c>
      <c r="D109" s="7" t="s">
        <v>2</v>
      </c>
      <c r="E109" s="5" t="s">
        <v>2</v>
      </c>
      <c r="F109" s="5" t="s">
        <v>2</v>
      </c>
      <c r="G109" s="5" t="s">
        <v>2</v>
      </c>
    </row>
    <row r="110" spans="1:7" x14ac:dyDescent="0.25">
      <c r="A110" t="s">
        <v>2406</v>
      </c>
      <c r="B110" s="5" t="s">
        <v>2</v>
      </c>
      <c r="C110" s="5" t="s">
        <v>2</v>
      </c>
      <c r="D110" s="7" t="s">
        <v>2</v>
      </c>
      <c r="E110" s="5" t="s">
        <v>2</v>
      </c>
      <c r="F110" s="5" t="s">
        <v>2</v>
      </c>
      <c r="G110" s="5" t="s">
        <v>2</v>
      </c>
    </row>
    <row r="111" spans="1:7" x14ac:dyDescent="0.25">
      <c r="A111" t="s">
        <v>2406</v>
      </c>
      <c r="B111" s="5" t="s">
        <v>2</v>
      </c>
      <c r="C111" s="5" t="s">
        <v>2</v>
      </c>
      <c r="D111" s="7" t="s">
        <v>2</v>
      </c>
      <c r="E111" s="5" t="s">
        <v>2</v>
      </c>
      <c r="F111" s="5" t="s">
        <v>2</v>
      </c>
      <c r="G111" s="5" t="s">
        <v>2</v>
      </c>
    </row>
    <row r="112" spans="1:7" x14ac:dyDescent="0.25">
      <c r="A112" t="s">
        <v>2406</v>
      </c>
      <c r="B112" s="5" t="s">
        <v>2</v>
      </c>
      <c r="C112" s="5" t="s">
        <v>2</v>
      </c>
      <c r="D112" s="7" t="s">
        <v>2</v>
      </c>
      <c r="E112" s="5" t="s">
        <v>2</v>
      </c>
      <c r="F112" s="5" t="s">
        <v>2</v>
      </c>
      <c r="G112" s="5" t="s">
        <v>2</v>
      </c>
    </row>
    <row r="113" spans="1:7" x14ac:dyDescent="0.25">
      <c r="A113" t="s">
        <v>2406</v>
      </c>
      <c r="B113" s="5" t="s">
        <v>2</v>
      </c>
      <c r="C113" s="5" t="s">
        <v>2</v>
      </c>
      <c r="D113" s="7" t="s">
        <v>2</v>
      </c>
      <c r="E113" s="5" t="s">
        <v>2</v>
      </c>
      <c r="F113" s="5" t="s">
        <v>2</v>
      </c>
      <c r="G113" s="5" t="s">
        <v>2</v>
      </c>
    </row>
    <row r="114" spans="1:7" x14ac:dyDescent="0.25">
      <c r="A114" t="s">
        <v>2406</v>
      </c>
      <c r="B114" s="5" t="s">
        <v>2</v>
      </c>
      <c r="C114" s="5" t="s">
        <v>2</v>
      </c>
      <c r="D114" s="7" t="s">
        <v>2</v>
      </c>
      <c r="E114" s="5" t="s">
        <v>2</v>
      </c>
      <c r="F114" s="5" t="s">
        <v>2</v>
      </c>
      <c r="G114" s="5" t="s">
        <v>2</v>
      </c>
    </row>
    <row r="115" spans="1:7" x14ac:dyDescent="0.25">
      <c r="A115" t="s">
        <v>2406</v>
      </c>
      <c r="B115" s="5" t="s">
        <v>2</v>
      </c>
      <c r="C115" s="5" t="s">
        <v>2</v>
      </c>
      <c r="D115" s="7" t="s">
        <v>2</v>
      </c>
      <c r="E115" s="5" t="s">
        <v>2</v>
      </c>
      <c r="F115" s="5" t="s">
        <v>2</v>
      </c>
      <c r="G115" s="5" t="s">
        <v>2</v>
      </c>
    </row>
    <row r="116" spans="1:7" x14ac:dyDescent="0.25">
      <c r="A116" t="s">
        <v>2406</v>
      </c>
      <c r="B116" s="5" t="s">
        <v>2</v>
      </c>
      <c r="C116" s="5" t="s">
        <v>2</v>
      </c>
      <c r="D116" s="7" t="s">
        <v>2</v>
      </c>
      <c r="E116" s="5" t="s">
        <v>2</v>
      </c>
      <c r="F116" s="5" t="s">
        <v>2</v>
      </c>
      <c r="G116" s="5" t="s">
        <v>2</v>
      </c>
    </row>
    <row r="117" spans="1:7" x14ac:dyDescent="0.25">
      <c r="A117" t="s">
        <v>2406</v>
      </c>
      <c r="B117" s="5" t="s">
        <v>2</v>
      </c>
      <c r="C117" s="5" t="s">
        <v>2</v>
      </c>
      <c r="D117" s="7" t="s">
        <v>2</v>
      </c>
      <c r="E117" s="5" t="s">
        <v>2</v>
      </c>
      <c r="F117" s="5" t="s">
        <v>2</v>
      </c>
      <c r="G117" s="5" t="s">
        <v>2</v>
      </c>
    </row>
    <row r="118" spans="1:7" x14ac:dyDescent="0.25">
      <c r="A118" t="s">
        <v>2406</v>
      </c>
      <c r="B118" s="5" t="s">
        <v>2</v>
      </c>
      <c r="C118" s="5" t="s">
        <v>2</v>
      </c>
      <c r="D118" s="7" t="s">
        <v>2</v>
      </c>
      <c r="E118" s="5" t="s">
        <v>2</v>
      </c>
      <c r="F118" s="5" t="s">
        <v>2</v>
      </c>
      <c r="G118" s="5" t="s">
        <v>2</v>
      </c>
    </row>
    <row r="119" spans="1:7" x14ac:dyDescent="0.25">
      <c r="A119" t="s">
        <v>2406</v>
      </c>
      <c r="B119" s="5" t="s">
        <v>2</v>
      </c>
      <c r="C119" s="5" t="s">
        <v>2</v>
      </c>
      <c r="D119" s="7" t="s">
        <v>2</v>
      </c>
      <c r="E119" s="5" t="s">
        <v>2</v>
      </c>
      <c r="F119" s="5" t="s">
        <v>2</v>
      </c>
      <c r="G119" s="5" t="s">
        <v>2</v>
      </c>
    </row>
    <row r="120" spans="1:7" x14ac:dyDescent="0.25">
      <c r="A120" t="s">
        <v>2406</v>
      </c>
      <c r="B120" s="5" t="s">
        <v>2</v>
      </c>
      <c r="C120" s="5" t="s">
        <v>2</v>
      </c>
      <c r="D120" s="7" t="s">
        <v>2</v>
      </c>
      <c r="E120" s="5" t="s">
        <v>2</v>
      </c>
      <c r="F120" s="5" t="s">
        <v>2</v>
      </c>
      <c r="G120" s="5" t="s">
        <v>2</v>
      </c>
    </row>
    <row r="121" spans="1:7" x14ac:dyDescent="0.25">
      <c r="A121" t="s">
        <v>2406</v>
      </c>
      <c r="B121" s="5" t="s">
        <v>2</v>
      </c>
      <c r="C121" s="5" t="s">
        <v>2</v>
      </c>
      <c r="D121" s="7" t="s">
        <v>2</v>
      </c>
      <c r="E121" s="5" t="s">
        <v>2</v>
      </c>
      <c r="F121" s="5" t="s">
        <v>2</v>
      </c>
      <c r="G121" s="5" t="s">
        <v>2</v>
      </c>
    </row>
    <row r="122" spans="1:7" x14ac:dyDescent="0.25">
      <c r="A122" t="s">
        <v>2406</v>
      </c>
      <c r="B122" s="5" t="s">
        <v>2</v>
      </c>
      <c r="C122" s="5" t="s">
        <v>2</v>
      </c>
      <c r="D122" s="7" t="s">
        <v>2</v>
      </c>
      <c r="E122" s="5" t="s">
        <v>2</v>
      </c>
      <c r="F122" s="5" t="s">
        <v>2</v>
      </c>
      <c r="G122" s="5" t="s">
        <v>2</v>
      </c>
    </row>
    <row r="123" spans="1:7" x14ac:dyDescent="0.25">
      <c r="A123" t="s">
        <v>2406</v>
      </c>
      <c r="B123" s="5" t="s">
        <v>2</v>
      </c>
      <c r="C123" s="5" t="s">
        <v>2</v>
      </c>
      <c r="D123" s="7" t="s">
        <v>2</v>
      </c>
      <c r="E123" s="5" t="s">
        <v>2</v>
      </c>
      <c r="F123" s="5" t="s">
        <v>2</v>
      </c>
      <c r="G123" s="5" t="s">
        <v>2</v>
      </c>
    </row>
    <row r="124" spans="1:7" x14ac:dyDescent="0.25">
      <c r="A124" t="s">
        <v>2406</v>
      </c>
      <c r="B124" s="5" t="s">
        <v>2</v>
      </c>
      <c r="C124" s="5" t="s">
        <v>2</v>
      </c>
      <c r="D124" s="7" t="s">
        <v>2</v>
      </c>
      <c r="E124" s="5" t="s">
        <v>2</v>
      </c>
      <c r="F124" s="5" t="s">
        <v>2</v>
      </c>
      <c r="G124" s="5" t="s">
        <v>2</v>
      </c>
    </row>
    <row r="125" spans="1:7" x14ac:dyDescent="0.25">
      <c r="A125" t="s">
        <v>2406</v>
      </c>
      <c r="B125" s="5" t="s">
        <v>2</v>
      </c>
      <c r="C125" s="5" t="s">
        <v>2</v>
      </c>
      <c r="D125" s="7" t="s">
        <v>2</v>
      </c>
      <c r="E125" s="5" t="s">
        <v>2</v>
      </c>
      <c r="F125" s="5" t="s">
        <v>2</v>
      </c>
      <c r="G125" s="5" t="s">
        <v>2</v>
      </c>
    </row>
    <row r="126" spans="1:7" x14ac:dyDescent="0.25">
      <c r="A126" t="s">
        <v>2406</v>
      </c>
      <c r="B126" s="5" t="s">
        <v>2</v>
      </c>
      <c r="C126" s="5" t="s">
        <v>2</v>
      </c>
      <c r="D126" s="7" t="s">
        <v>2</v>
      </c>
      <c r="E126" s="5" t="s">
        <v>2</v>
      </c>
      <c r="F126" s="5" t="s">
        <v>2</v>
      </c>
      <c r="G126" s="5" t="s">
        <v>2</v>
      </c>
    </row>
  </sheetData>
  <autoFilter ref="A1:G126"/>
  <dataValidations count="2">
    <dataValidation type="list" allowBlank="1" showErrorMessage="1" errorTitle="Pick from the list" error="One of: Add, Skip" sqref="E10:E126">
      <formula1>"Add,Skip"</formula1>
    </dataValidation>
    <dataValidation type="list" allowBlank="1" showErrorMessage="1" errorTitle="Pick from the list" error="One of: Add, Skip" sqref="E2:E126">
      <formula1>"Add,Skip"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2" customWidth="1"/>
    <col min="3" max="3" width="16" customWidth="1"/>
    <col min="4" max="4" width="36" customWidth="1"/>
    <col min="5" max="5" width="22" customWidth="1"/>
    <col min="6" max="6" width="16" customWidth="1"/>
    <col min="7" max="7" width="60" customWidth="1"/>
    <col min="8" max="8" width="16" customWidth="1"/>
    <col min="9" max="9" width="30" customWidth="1"/>
  </cols>
  <sheetData>
    <row r="1" ht="30" customHeight="1" spans="1:9" s="4" customFormat="1" x14ac:dyDescent="0.25">
      <c r="A1" s="4" t="s">
        <v>2407</v>
      </c>
      <c r="B1" s="4" t="s">
        <v>2408</v>
      </c>
      <c r="C1" s="4" t="s">
        <v>2409</v>
      </c>
      <c r="D1" s="4" t="s">
        <v>2410</v>
      </c>
      <c r="E1" s="4" t="s">
        <v>2411</v>
      </c>
      <c r="F1" s="4" t="s">
        <v>2412</v>
      </c>
      <c r="G1" s="4" t="s">
        <v>2413</v>
      </c>
      <c r="H1" s="4" t="s">
        <v>26</v>
      </c>
      <c r="I1" s="4" t="s">
        <v>28</v>
      </c>
    </row>
    <row r="2" spans="1:9" x14ac:dyDescent="0.25">
      <c r="A2" t="s">
        <v>965</v>
      </c>
      <c r="B2" t="s">
        <v>39</v>
      </c>
      <c r="C2" t="s">
        <v>94</v>
      </c>
      <c r="D2" t="s">
        <v>2080</v>
      </c>
      <c r="E2" t="s">
        <v>2033</v>
      </c>
      <c r="F2" t="s">
        <v>38</v>
      </c>
      <c r="G2" t="s">
        <v>2414</v>
      </c>
      <c r="H2" s="5" t="s">
        <v>2415</v>
      </c>
      <c r="I2" s="5" t="s">
        <v>2416</v>
      </c>
    </row>
    <row r="3" spans="1:9" x14ac:dyDescent="0.25">
      <c r="A3" t="s">
        <v>1004</v>
      </c>
      <c r="B3" t="s">
        <v>39</v>
      </c>
      <c r="C3" t="s">
        <v>94</v>
      </c>
      <c r="D3" t="s">
        <v>2086</v>
      </c>
      <c r="E3" t="s">
        <v>2033</v>
      </c>
      <c r="F3" t="s">
        <v>38</v>
      </c>
      <c r="G3" t="s">
        <v>2417</v>
      </c>
      <c r="H3" s="5" t="s">
        <v>2415</v>
      </c>
      <c r="I3" s="5" t="s">
        <v>2418</v>
      </c>
    </row>
    <row r="4" spans="1:9" x14ac:dyDescent="0.25">
      <c r="A4" t="s">
        <v>1625</v>
      </c>
      <c r="B4" t="s">
        <v>39</v>
      </c>
      <c r="C4" t="s">
        <v>94</v>
      </c>
      <c r="D4" t="s">
        <v>2114</v>
      </c>
      <c r="E4" t="s">
        <v>2033</v>
      </c>
      <c r="F4" t="s">
        <v>38</v>
      </c>
      <c r="G4" t="s">
        <v>2419</v>
      </c>
      <c r="H4" s="5" t="s">
        <v>2415</v>
      </c>
      <c r="I4" s="5" t="s">
        <v>2420</v>
      </c>
    </row>
    <row r="5" spans="1:9" x14ac:dyDescent="0.25">
      <c r="A5" t="s">
        <v>1628</v>
      </c>
      <c r="B5" t="s">
        <v>39</v>
      </c>
      <c r="C5" t="s">
        <v>94</v>
      </c>
      <c r="D5" t="s">
        <v>2116</v>
      </c>
      <c r="E5" t="s">
        <v>2033</v>
      </c>
      <c r="F5" t="s">
        <v>38</v>
      </c>
      <c r="G5" t="s">
        <v>2421</v>
      </c>
      <c r="H5" s="5" t="s">
        <v>2422</v>
      </c>
      <c r="I5" s="5" t="s">
        <v>2423</v>
      </c>
    </row>
    <row r="6" spans="1:9" x14ac:dyDescent="0.25">
      <c r="A6" t="s">
        <v>1628</v>
      </c>
      <c r="B6" t="s">
        <v>39</v>
      </c>
      <c r="C6" t="s">
        <v>94</v>
      </c>
      <c r="D6" t="s">
        <v>2118</v>
      </c>
      <c r="E6" t="s">
        <v>2033</v>
      </c>
      <c r="F6" t="s">
        <v>38</v>
      </c>
      <c r="G6" t="s">
        <v>2424</v>
      </c>
      <c r="H6" s="5" t="s">
        <v>2415</v>
      </c>
      <c r="I6" s="5" t="s">
        <v>2425</v>
      </c>
    </row>
    <row r="7" spans="1:9" x14ac:dyDescent="0.25">
      <c r="A7" t="s">
        <v>1645</v>
      </c>
      <c r="B7" t="s">
        <v>39</v>
      </c>
      <c r="C7" t="s">
        <v>38</v>
      </c>
      <c r="D7" t="s">
        <v>1650</v>
      </c>
      <c r="E7" t="s">
        <v>39</v>
      </c>
      <c r="F7" t="s">
        <v>38</v>
      </c>
      <c r="G7" t="s">
        <v>2426</v>
      </c>
      <c r="H7" s="5" t="s">
        <v>2422</v>
      </c>
      <c r="I7" s="5" t="s">
        <v>2427</v>
      </c>
    </row>
    <row r="9" ht="45" customHeight="1" spans="1:9" x14ac:dyDescent="0.25">
      <c r="A9" s="7" t="s">
        <v>2428</v>
      </c>
      <c r="B9" s="7"/>
      <c r="C9" s="7"/>
      <c r="D9" s="7"/>
      <c r="E9" s="7"/>
      <c r="F9" s="7"/>
      <c r="G9" s="7"/>
      <c r="H9" s="7"/>
      <c r="I9" s="7"/>
    </row>
  </sheetData>
  <mergeCells count="1">
    <mergeCell ref="A9:I9"/>
  </mergeCells>
  <dataValidations count="1">
    <dataValidation type="list" allowBlank="1" showErrorMessage="1" errorTitle="Pick from the list" error="One of: Same - keep A, Same - keep B, Not the same" sqref="H2:H7">
      <formula1>"Same - keep A,Same - keep B,Not the same"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90" customWidth="1"/>
    <col min="3" max="4" width="16" customWidth="1"/>
    <col min="5" max="5" width="40" customWidth="1"/>
  </cols>
  <sheetData>
    <row r="1" ht="30" customHeight="1" spans="1:5" s="4" customFormat="1" x14ac:dyDescent="0.25">
      <c r="A1" s="4" t="s">
        <v>18</v>
      </c>
      <c r="B1" s="4" t="s">
        <v>32</v>
      </c>
      <c r="C1" s="4" t="s">
        <v>2429</v>
      </c>
      <c r="D1" s="4" t="s">
        <v>2430</v>
      </c>
      <c r="E1" s="4" t="s">
        <v>28</v>
      </c>
    </row>
    <row r="2" ht="45" customHeight="1" spans="1:5" x14ac:dyDescent="0.25">
      <c r="A2" t="s">
        <v>2431</v>
      </c>
      <c r="B2" s="7" t="s">
        <v>2432</v>
      </c>
      <c r="C2" t="s">
        <v>2433</v>
      </c>
      <c r="D2" s="5" t="s">
        <v>2433</v>
      </c>
      <c r="E2" s="5" t="s">
        <v>2</v>
      </c>
    </row>
    <row r="3" ht="45" customHeight="1" spans="1:5" x14ac:dyDescent="0.25">
      <c r="A3" t="s">
        <v>2434</v>
      </c>
      <c r="B3" s="7" t="s">
        <v>2435</v>
      </c>
      <c r="C3" t="s">
        <v>2436</v>
      </c>
      <c r="D3" s="5" t="s">
        <v>2433</v>
      </c>
      <c r="E3" s="5" t="s">
        <v>2437</v>
      </c>
    </row>
    <row r="4" ht="45" customHeight="1" spans="1:5" x14ac:dyDescent="0.25">
      <c r="A4" t="s">
        <v>2438</v>
      </c>
      <c r="B4" s="7" t="s">
        <v>2439</v>
      </c>
      <c r="C4" t="s">
        <v>2433</v>
      </c>
      <c r="D4" s="5" t="s">
        <v>2440</v>
      </c>
      <c r="E4" s="5" t="s">
        <v>2441</v>
      </c>
    </row>
    <row r="5" ht="45" customHeight="1" spans="1:5" x14ac:dyDescent="0.25">
      <c r="A5" t="s">
        <v>2442</v>
      </c>
      <c r="B5" s="7" t="s">
        <v>2443</v>
      </c>
      <c r="C5" t="s">
        <v>2433</v>
      </c>
      <c r="D5" s="5" t="s">
        <v>2433</v>
      </c>
      <c r="E5" s="5" t="s">
        <v>2</v>
      </c>
    </row>
    <row r="6" ht="45" customHeight="1" spans="1:5" x14ac:dyDescent="0.25">
      <c r="A6" t="s">
        <v>2444</v>
      </c>
      <c r="B6" s="7" t="s">
        <v>2445</v>
      </c>
      <c r="C6" t="s">
        <v>2433</v>
      </c>
      <c r="D6" s="5" t="s">
        <v>2433</v>
      </c>
      <c r="E6" s="5" t="s">
        <v>2</v>
      </c>
    </row>
  </sheetData>
  <dataValidations count="1">
    <dataValidation type="list" allowBlank="1" showErrorMessage="1" errorTitle="Pick from the list" error="One of: Yes, No, See note" sqref="D2:D6">
      <formula1>"Yes,No,See note"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7" width="14" customWidth="1"/>
  </cols>
  <sheetData>
    <row r="1" ht="30" customHeight="1" spans="1:7" s="4" customFormat="1" x14ac:dyDescent="0.25">
      <c r="A1" s="4" t="s">
        <v>19</v>
      </c>
      <c r="B1" s="4" t="s">
        <v>40</v>
      </c>
      <c r="C1" s="4" t="s">
        <v>294</v>
      </c>
      <c r="D1" s="4" t="s">
        <v>2446</v>
      </c>
      <c r="E1" s="4" t="s">
        <v>2081</v>
      </c>
      <c r="F1" s="4" t="s">
        <v>2034</v>
      </c>
      <c r="G1" s="4" t="s">
        <v>2447</v>
      </c>
    </row>
    <row r="2" spans="1:7" x14ac:dyDescent="0.25">
      <c r="A2" t="s">
        <v>33</v>
      </c>
      <c r="B2">
        <f>COUNTIFS(Review!$B$2:$B$1680,$A2,Review!$I$2:$I$1680,"Keep proposed")</f>
      </c>
      <c r="C2">
        <f>COUNTIFS(Review!$B$2:$B$1680,$A2,Review!$I$2:$I$1680,"Keep")</f>
      </c>
      <c r="D2">
        <f>COUNTIFS(Review!$B$2:$B$1680,$A2,Review!$I$2:$I$1680,"Rename")</f>
      </c>
      <c r="E2">
        <f>COUNTIFS(Review!$B$2:$B$1680,$A2,Review!$I$2:$I$1680,"Cut")</f>
      </c>
      <c r="F2">
        <f>COUNTIFS(Review!$B$2:$B$1680,$A2,Review!$I$2:$I$1680,"Add")</f>
      </c>
      <c r="G2">
        <f>COUNTIFS(Review!$B$2:$B$1680,$A2,Review!$I$2:$I$1680,"Your call")</f>
      </c>
    </row>
    <row r="3" spans="1:7" x14ac:dyDescent="0.25">
      <c r="A3" t="s">
        <v>289</v>
      </c>
      <c r="B3">
        <f>COUNTIFS(Review!$B$2:$B$1680,$A3,Review!$I$2:$I$1680,"Keep proposed")</f>
      </c>
      <c r="C3">
        <f>COUNTIFS(Review!$B$2:$B$1680,$A3,Review!$I$2:$I$1680,"Keep")</f>
      </c>
      <c r="D3">
        <f>COUNTIFS(Review!$B$2:$B$1680,$A3,Review!$I$2:$I$1680,"Rename")</f>
      </c>
      <c r="E3">
        <f>COUNTIFS(Review!$B$2:$B$1680,$A3,Review!$I$2:$I$1680,"Cut")</f>
      </c>
      <c r="F3">
        <f>COUNTIFS(Review!$B$2:$B$1680,$A3,Review!$I$2:$I$1680,"Add")</f>
      </c>
      <c r="G3">
        <f>COUNTIFS(Review!$B$2:$B$1680,$A3,Review!$I$2:$I$1680,"Your call")</f>
      </c>
    </row>
    <row r="4" spans="1:7" x14ac:dyDescent="0.25">
      <c r="A4" t="s">
        <v>353</v>
      </c>
      <c r="B4">
        <f>COUNTIFS(Review!$B$2:$B$1680,$A4,Review!$I$2:$I$1680,"Keep proposed")</f>
      </c>
      <c r="C4">
        <f>COUNTIFS(Review!$B$2:$B$1680,$A4,Review!$I$2:$I$1680,"Keep")</f>
      </c>
      <c r="D4">
        <f>COUNTIFS(Review!$B$2:$B$1680,$A4,Review!$I$2:$I$1680,"Rename")</f>
      </c>
      <c r="E4">
        <f>COUNTIFS(Review!$B$2:$B$1680,$A4,Review!$I$2:$I$1680,"Cut")</f>
      </c>
      <c r="F4">
        <f>COUNTIFS(Review!$B$2:$B$1680,$A4,Review!$I$2:$I$1680,"Add")</f>
      </c>
      <c r="G4">
        <f>COUNTIFS(Review!$B$2:$B$1680,$A4,Review!$I$2:$I$1680,"Your call")</f>
      </c>
    </row>
    <row r="5" spans="1:7" x14ac:dyDescent="0.25">
      <c r="A5" t="s">
        <v>1009</v>
      </c>
      <c r="B5">
        <f>COUNTIFS(Review!$B$2:$B$1680,$A5,Review!$I$2:$I$1680,"Keep proposed")</f>
      </c>
      <c r="C5">
        <f>COUNTIFS(Review!$B$2:$B$1680,$A5,Review!$I$2:$I$1680,"Keep")</f>
      </c>
      <c r="D5">
        <f>COUNTIFS(Review!$B$2:$B$1680,$A5,Review!$I$2:$I$1680,"Rename")</f>
      </c>
      <c r="E5">
        <f>COUNTIFS(Review!$B$2:$B$1680,$A5,Review!$I$2:$I$1680,"Cut")</f>
      </c>
      <c r="F5">
        <f>COUNTIFS(Review!$B$2:$B$1680,$A5,Review!$I$2:$I$1680,"Add")</f>
      </c>
      <c r="G5">
        <f>COUNTIFS(Review!$B$2:$B$1680,$A5,Review!$I$2:$I$1680,"Your call")</f>
      </c>
    </row>
    <row r="6" spans="1:7" x14ac:dyDescent="0.25">
      <c r="A6" t="s">
        <v>1137</v>
      </c>
      <c r="B6">
        <f>COUNTIFS(Review!$B$2:$B$1680,$A6,Review!$I$2:$I$1680,"Keep proposed")</f>
      </c>
      <c r="C6">
        <f>COUNTIFS(Review!$B$2:$B$1680,$A6,Review!$I$2:$I$1680,"Keep")</f>
      </c>
      <c r="D6">
        <f>COUNTIFS(Review!$B$2:$B$1680,$A6,Review!$I$2:$I$1680,"Rename")</f>
      </c>
      <c r="E6">
        <f>COUNTIFS(Review!$B$2:$B$1680,$A6,Review!$I$2:$I$1680,"Cut")</f>
      </c>
      <c r="F6">
        <f>COUNTIFS(Review!$B$2:$B$1680,$A6,Review!$I$2:$I$1680,"Add")</f>
      </c>
      <c r="G6">
        <f>COUNTIFS(Review!$B$2:$B$1680,$A6,Review!$I$2:$I$1680,"Your call")</f>
      </c>
    </row>
    <row r="7" spans="1:7" x14ac:dyDescent="0.25">
      <c r="A7" t="s">
        <v>1178</v>
      </c>
      <c r="B7">
        <f>COUNTIFS(Review!$B$2:$B$1680,$A7,Review!$I$2:$I$1680,"Keep proposed")</f>
      </c>
      <c r="C7">
        <f>COUNTIFS(Review!$B$2:$B$1680,$A7,Review!$I$2:$I$1680,"Keep")</f>
      </c>
      <c r="D7">
        <f>COUNTIFS(Review!$B$2:$B$1680,$A7,Review!$I$2:$I$1680,"Rename")</f>
      </c>
      <c r="E7">
        <f>COUNTIFS(Review!$B$2:$B$1680,$A7,Review!$I$2:$I$1680,"Cut")</f>
      </c>
      <c r="F7">
        <f>COUNTIFS(Review!$B$2:$B$1680,$A7,Review!$I$2:$I$1680,"Add")</f>
      </c>
      <c r="G7">
        <f>COUNTIFS(Review!$B$2:$B$1680,$A7,Review!$I$2:$I$1680,"Your call")</f>
      </c>
    </row>
    <row r="8" spans="1:7" x14ac:dyDescent="0.25">
      <c r="A8" t="s">
        <v>1215</v>
      </c>
      <c r="B8">
        <f>COUNTIFS(Review!$B$2:$B$1680,$A8,Review!$I$2:$I$1680,"Keep proposed")</f>
      </c>
      <c r="C8">
        <f>COUNTIFS(Review!$B$2:$B$1680,$A8,Review!$I$2:$I$1680,"Keep")</f>
      </c>
      <c r="D8">
        <f>COUNTIFS(Review!$B$2:$B$1680,$A8,Review!$I$2:$I$1680,"Rename")</f>
      </c>
      <c r="E8">
        <f>COUNTIFS(Review!$B$2:$B$1680,$A8,Review!$I$2:$I$1680,"Cut")</f>
      </c>
      <c r="F8">
        <f>COUNTIFS(Review!$B$2:$B$1680,$A8,Review!$I$2:$I$1680,"Add")</f>
      </c>
      <c r="G8">
        <f>COUNTIFS(Review!$B$2:$B$1680,$A8,Review!$I$2:$I$1680,"Your call")</f>
      </c>
    </row>
    <row r="9" spans="1:7" x14ac:dyDescent="0.25">
      <c r="A9" t="s">
        <v>1242</v>
      </c>
      <c r="B9">
        <f>COUNTIFS(Review!$B$2:$B$1680,$A9,Review!$I$2:$I$1680,"Keep proposed")</f>
      </c>
      <c r="C9">
        <f>COUNTIFS(Review!$B$2:$B$1680,$A9,Review!$I$2:$I$1680,"Keep")</f>
      </c>
      <c r="D9">
        <f>COUNTIFS(Review!$B$2:$B$1680,$A9,Review!$I$2:$I$1680,"Rename")</f>
      </c>
      <c r="E9">
        <f>COUNTIFS(Review!$B$2:$B$1680,$A9,Review!$I$2:$I$1680,"Cut")</f>
      </c>
      <c r="F9">
        <f>COUNTIFS(Review!$B$2:$B$1680,$A9,Review!$I$2:$I$1680,"Add")</f>
      </c>
      <c r="G9">
        <f>COUNTIFS(Review!$B$2:$B$1680,$A9,Review!$I$2:$I$1680,"Your call")</f>
      </c>
    </row>
    <row r="10" spans="1:7" x14ac:dyDescent="0.25">
      <c r="A10" t="s">
        <v>1358</v>
      </c>
      <c r="B10">
        <f>COUNTIFS(Review!$B$2:$B$1680,$A10,Review!$I$2:$I$1680,"Keep proposed")</f>
      </c>
      <c r="C10">
        <f>COUNTIFS(Review!$B$2:$B$1680,$A10,Review!$I$2:$I$1680,"Keep")</f>
      </c>
      <c r="D10">
        <f>COUNTIFS(Review!$B$2:$B$1680,$A10,Review!$I$2:$I$1680,"Rename")</f>
      </c>
      <c r="E10">
        <f>COUNTIFS(Review!$B$2:$B$1680,$A10,Review!$I$2:$I$1680,"Cut")</f>
      </c>
      <c r="F10">
        <f>COUNTIFS(Review!$B$2:$B$1680,$A10,Review!$I$2:$I$1680,"Add")</f>
      </c>
      <c r="G10">
        <f>COUNTIFS(Review!$B$2:$B$1680,$A10,Review!$I$2:$I$1680,"Your call")</f>
      </c>
    </row>
    <row r="11" spans="1:7" x14ac:dyDescent="0.25">
      <c r="A11" t="s">
        <v>1471</v>
      </c>
      <c r="B11">
        <f>COUNTIFS(Review!$B$2:$B$1680,$A11,Review!$I$2:$I$1680,"Keep proposed")</f>
      </c>
      <c r="C11">
        <f>COUNTIFS(Review!$B$2:$B$1680,$A11,Review!$I$2:$I$1680,"Keep")</f>
      </c>
      <c r="D11">
        <f>COUNTIFS(Review!$B$2:$B$1680,$A11,Review!$I$2:$I$1680,"Rename")</f>
      </c>
      <c r="E11">
        <f>COUNTIFS(Review!$B$2:$B$1680,$A11,Review!$I$2:$I$1680,"Cut")</f>
      </c>
      <c r="F11">
        <f>COUNTIFS(Review!$B$2:$B$1680,$A11,Review!$I$2:$I$1680,"Add")</f>
      </c>
      <c r="G11">
        <f>COUNTIFS(Review!$B$2:$B$1680,$A11,Review!$I$2:$I$1680,"Your call")</f>
      </c>
    </row>
    <row r="12" spans="1:7" x14ac:dyDescent="0.25">
      <c r="A12" t="s">
        <v>1634</v>
      </c>
      <c r="B12">
        <f>COUNTIFS(Review!$B$2:$B$1680,$A12,Review!$I$2:$I$1680,"Keep proposed")</f>
      </c>
      <c r="C12">
        <f>COUNTIFS(Review!$B$2:$B$1680,$A12,Review!$I$2:$I$1680,"Keep")</f>
      </c>
      <c r="D12">
        <f>COUNTIFS(Review!$B$2:$B$1680,$A12,Review!$I$2:$I$1680,"Rename")</f>
      </c>
      <c r="E12">
        <f>COUNTIFS(Review!$B$2:$B$1680,$A12,Review!$I$2:$I$1680,"Cut")</f>
      </c>
      <c r="F12">
        <f>COUNTIFS(Review!$B$2:$B$1680,$A12,Review!$I$2:$I$1680,"Add")</f>
      </c>
      <c r="G12">
        <f>COUNTIFS(Review!$B$2:$B$1680,$A12,Review!$I$2:$I$1680,"Your call")</f>
      </c>
    </row>
    <row r="13" spans="1:7" x14ac:dyDescent="0.25">
      <c r="A13" t="s">
        <v>1659</v>
      </c>
      <c r="B13">
        <f>COUNTIFS(Review!$B$2:$B$1680,$A13,Review!$I$2:$I$1680,"Keep proposed")</f>
      </c>
      <c r="C13">
        <f>COUNTIFS(Review!$B$2:$B$1680,$A13,Review!$I$2:$I$1680,"Keep")</f>
      </c>
      <c r="D13">
        <f>COUNTIFS(Review!$B$2:$B$1680,$A13,Review!$I$2:$I$1680,"Rename")</f>
      </c>
      <c r="E13">
        <f>COUNTIFS(Review!$B$2:$B$1680,$A13,Review!$I$2:$I$1680,"Cut")</f>
      </c>
      <c r="F13">
        <f>COUNTIFS(Review!$B$2:$B$1680,$A13,Review!$I$2:$I$1680,"Add")</f>
      </c>
      <c r="G13">
        <f>COUNTIFS(Review!$B$2:$B$1680,$A13,Review!$I$2:$I$1680,"Your call")</f>
      </c>
    </row>
    <row r="14" spans="1:7" x14ac:dyDescent="0.25">
      <c r="A14" t="s">
        <v>1684</v>
      </c>
      <c r="B14">
        <f>COUNTIFS(Review!$B$2:$B$1680,$A14,Review!$I$2:$I$1680,"Keep proposed")</f>
      </c>
      <c r="C14">
        <f>COUNTIFS(Review!$B$2:$B$1680,$A14,Review!$I$2:$I$1680,"Keep")</f>
      </c>
      <c r="D14">
        <f>COUNTIFS(Review!$B$2:$B$1680,$A14,Review!$I$2:$I$1680,"Rename")</f>
      </c>
      <c r="E14">
        <f>COUNTIFS(Review!$B$2:$B$1680,$A14,Review!$I$2:$I$1680,"Cut")</f>
      </c>
      <c r="F14">
        <f>COUNTIFS(Review!$B$2:$B$1680,$A14,Review!$I$2:$I$1680,"Add")</f>
      </c>
      <c r="G14">
        <f>COUNTIFS(Review!$B$2:$B$1680,$A14,Review!$I$2:$I$1680,"Your call")</f>
      </c>
    </row>
    <row r="15" spans="1:7" x14ac:dyDescent="0.25">
      <c r="A15" t="s">
        <v>1769</v>
      </c>
      <c r="B15">
        <f>COUNTIFS(Review!$B$2:$B$1680,$A15,Review!$I$2:$I$1680,"Keep proposed")</f>
      </c>
      <c r="C15">
        <f>COUNTIFS(Review!$B$2:$B$1680,$A15,Review!$I$2:$I$1680,"Keep")</f>
      </c>
      <c r="D15">
        <f>COUNTIFS(Review!$B$2:$B$1680,$A15,Review!$I$2:$I$1680,"Rename")</f>
      </c>
      <c r="E15">
        <f>COUNTIFS(Review!$B$2:$B$1680,$A15,Review!$I$2:$I$1680,"Cut")</f>
      </c>
      <c r="F15">
        <f>COUNTIFS(Review!$B$2:$B$1680,$A15,Review!$I$2:$I$1680,"Add")</f>
      </c>
      <c r="G15">
        <f>COUNTIFS(Review!$B$2:$B$1680,$A15,Review!$I$2:$I$1680,"Your call")</f>
      </c>
    </row>
    <row r="16" spans="1:7" x14ac:dyDescent="0.25">
      <c r="A16" t="s">
        <v>1818</v>
      </c>
      <c r="B16">
        <f>COUNTIFS(Review!$B$2:$B$1680,$A16,Review!$I$2:$I$1680,"Keep proposed")</f>
      </c>
      <c r="C16">
        <f>COUNTIFS(Review!$B$2:$B$1680,$A16,Review!$I$2:$I$1680,"Keep")</f>
      </c>
      <c r="D16">
        <f>COUNTIFS(Review!$B$2:$B$1680,$A16,Review!$I$2:$I$1680,"Rename")</f>
      </c>
      <c r="E16">
        <f>COUNTIFS(Review!$B$2:$B$1680,$A16,Review!$I$2:$I$1680,"Cut")</f>
      </c>
      <c r="F16">
        <f>COUNTIFS(Review!$B$2:$B$1680,$A16,Review!$I$2:$I$1680,"Add")</f>
      </c>
      <c r="G16">
        <f>COUNTIFS(Review!$B$2:$B$1680,$A16,Review!$I$2:$I$1680,"Your call")</f>
      </c>
    </row>
    <row r="17" spans="1:7" x14ac:dyDescent="0.25">
      <c r="A17" t="s">
        <v>1880</v>
      </c>
      <c r="B17">
        <f>COUNTIFS(Review!$B$2:$B$1680,$A17,Review!$I$2:$I$1680,"Keep proposed")</f>
      </c>
      <c r="C17">
        <f>COUNTIFS(Review!$B$2:$B$1680,$A17,Review!$I$2:$I$1680,"Keep")</f>
      </c>
      <c r="D17">
        <f>COUNTIFS(Review!$B$2:$B$1680,$A17,Review!$I$2:$I$1680,"Rename")</f>
      </c>
      <c r="E17">
        <f>COUNTIFS(Review!$B$2:$B$1680,$A17,Review!$I$2:$I$1680,"Cut")</f>
      </c>
      <c r="F17">
        <f>COUNTIFS(Review!$B$2:$B$1680,$A17,Review!$I$2:$I$1680,"Add")</f>
      </c>
      <c r="G17">
        <f>COUNTIFS(Review!$B$2:$B$1680,$A17,Review!$I$2:$I$1680,"Your call")</f>
      </c>
    </row>
    <row r="18" spans="1:7" x14ac:dyDescent="0.25">
      <c r="A18" t="s">
        <v>1895</v>
      </c>
      <c r="B18">
        <f>COUNTIFS(Review!$B$2:$B$1680,$A18,Review!$I$2:$I$1680,"Keep proposed")</f>
      </c>
      <c r="C18">
        <f>COUNTIFS(Review!$B$2:$B$1680,$A18,Review!$I$2:$I$1680,"Keep")</f>
      </c>
      <c r="D18">
        <f>COUNTIFS(Review!$B$2:$B$1680,$A18,Review!$I$2:$I$1680,"Rename")</f>
      </c>
      <c r="E18">
        <f>COUNTIFS(Review!$B$2:$B$1680,$A18,Review!$I$2:$I$1680,"Cut")</f>
      </c>
      <c r="F18">
        <f>COUNTIFS(Review!$B$2:$B$1680,$A18,Review!$I$2:$I$1680,"Add")</f>
      </c>
      <c r="G18">
        <f>COUNTIFS(Review!$B$2:$B$1680,$A18,Review!$I$2:$I$1680,"Your call")</f>
      </c>
    </row>
    <row r="19" spans="1:7" x14ac:dyDescent="0.25">
      <c r="A19" t="s">
        <v>1965</v>
      </c>
      <c r="B19">
        <f>COUNTIFS(Review!$B$2:$B$1680,$A19,Review!$I$2:$I$1680,"Keep proposed")</f>
      </c>
      <c r="C19">
        <f>COUNTIFS(Review!$B$2:$B$1680,$A19,Review!$I$2:$I$1680,"Keep")</f>
      </c>
      <c r="D19">
        <f>COUNTIFS(Review!$B$2:$B$1680,$A19,Review!$I$2:$I$1680,"Rename")</f>
      </c>
      <c r="E19">
        <f>COUNTIFS(Review!$B$2:$B$1680,$A19,Review!$I$2:$I$1680,"Cut")</f>
      </c>
      <c r="F19">
        <f>COUNTIFS(Review!$B$2:$B$1680,$A19,Review!$I$2:$I$1680,"Add")</f>
      </c>
      <c r="G19">
        <f>COUNTIFS(Review!$B$2:$B$1680,$A19,Review!$I$2:$I$1680,"Your call")</f>
      </c>
    </row>
    <row r="20" spans="1:7" x14ac:dyDescent="0.25">
      <c r="A20" t="s">
        <v>2014</v>
      </c>
      <c r="B20">
        <f>COUNTIFS(Review!$B$2:$B$1680,$A20,Review!$I$2:$I$1680,"Keep proposed")</f>
      </c>
      <c r="C20">
        <f>COUNTIFS(Review!$B$2:$B$1680,$A20,Review!$I$2:$I$1680,"Keep")</f>
      </c>
      <c r="D20">
        <f>COUNTIFS(Review!$B$2:$B$1680,$A20,Review!$I$2:$I$1680,"Rename")</f>
      </c>
      <c r="E20">
        <f>COUNTIFS(Review!$B$2:$B$1680,$A20,Review!$I$2:$I$1680,"Cut")</f>
      </c>
      <c r="F20">
        <f>COUNTIFS(Review!$B$2:$B$1680,$A20,Review!$I$2:$I$1680,"Add")</f>
      </c>
      <c r="G20">
        <f>COUNTIFS(Review!$B$2:$B$1680,$A20,Review!$I$2:$I$1680,"Your call")</f>
      </c>
    </row>
    <row r="21" spans="1:7" x14ac:dyDescent="0.25">
      <c r="A21" t="s">
        <v>2041</v>
      </c>
      <c r="B21">
        <f>COUNTIFS(Review!$B$2:$B$1680,$A21,Review!$I$2:$I$1680,"Keep proposed")</f>
      </c>
      <c r="C21">
        <f>COUNTIFS(Review!$B$2:$B$1680,$A21,Review!$I$2:$I$1680,"Keep")</f>
      </c>
      <c r="D21">
        <f>COUNTIFS(Review!$B$2:$B$1680,$A21,Review!$I$2:$I$1680,"Rename")</f>
      </c>
      <c r="E21">
        <f>COUNTIFS(Review!$B$2:$B$1680,$A21,Review!$I$2:$I$1680,"Cut")</f>
      </c>
      <c r="F21">
        <f>COUNTIFS(Review!$B$2:$B$1680,$A21,Review!$I$2:$I$1680,"Add")</f>
      </c>
      <c r="G21">
        <f>COUNTIFS(Review!$B$2:$B$1680,$A21,Review!$I$2:$I$1680,"Your call")</f>
      </c>
    </row>
    <row r="22" spans="1:7" x14ac:dyDescent="0.25">
      <c r="A22" t="s">
        <v>2062</v>
      </c>
      <c r="B22">
        <f>COUNTIFS(Review!$B$2:$B$1680,$A22,Review!$I$2:$I$1680,"Keep proposed")</f>
      </c>
      <c r="C22">
        <f>COUNTIFS(Review!$B$2:$B$1680,$A22,Review!$I$2:$I$1680,"Keep")</f>
      </c>
      <c r="D22">
        <f>COUNTIFS(Review!$B$2:$B$1680,$A22,Review!$I$2:$I$1680,"Rename")</f>
      </c>
      <c r="E22">
        <f>COUNTIFS(Review!$B$2:$B$1680,$A22,Review!$I$2:$I$1680,"Cut")</f>
      </c>
      <c r="F22">
        <f>COUNTIFS(Review!$B$2:$B$1680,$A22,Review!$I$2:$I$1680,"Add")</f>
      </c>
      <c r="G22">
        <f>COUNTIFS(Review!$B$2:$B$1680,$A22,Review!$I$2:$I$1680,"Your call")</f>
      </c>
    </row>
    <row r="23" spans="1:7" x14ac:dyDescent="0.25">
      <c r="A23" t="s">
        <v>2076</v>
      </c>
      <c r="B23">
        <f>COUNTIFS(Review!$B$2:$B$1680,$A23,Review!$I$2:$I$1680,"Keep proposed")</f>
      </c>
      <c r="C23">
        <f>COUNTIFS(Review!$B$2:$B$1680,$A23,Review!$I$2:$I$1680,"Keep")</f>
      </c>
      <c r="D23">
        <f>COUNTIFS(Review!$B$2:$B$1680,$A23,Review!$I$2:$I$1680,"Rename")</f>
      </c>
      <c r="E23">
        <f>COUNTIFS(Review!$B$2:$B$1680,$A23,Review!$I$2:$I$1680,"Cut")</f>
      </c>
      <c r="F23">
        <f>COUNTIFS(Review!$B$2:$B$1680,$A23,Review!$I$2:$I$1680,"Add")</f>
      </c>
      <c r="G23">
        <f>COUNTIFS(Review!$B$2:$B$1680,$A23,Review!$I$2:$I$1680,"Your call")</f>
      </c>
    </row>
    <row r="24" spans="1:7" s="8" customFormat="1" x14ac:dyDescent="0.25">
      <c r="A24" s="8" t="s">
        <v>2448</v>
      </c>
      <c r="B24" s="8">
        <f>COUNTIF(Review!$I$2:$I$1680,"Keep proposed")</f>
      </c>
      <c r="C24" s="8">
        <f>COUNTIF(Review!$I$2:$I$1680,"Keep")</f>
      </c>
      <c r="D24" s="8">
        <f>COUNTIF(Review!$I$2:$I$1680,"Rename")</f>
      </c>
      <c r="E24" s="8">
        <f>COUNTIF(Review!$I$2:$I$1680,"Cut")</f>
      </c>
      <c r="F24" s="8">
        <f>COUNTIF(Review!$I$2:$I$1680,"Add")</f>
      </c>
      <c r="G24" s="8">
        <f>COUNTIF(Review!$I$2:$I$1680,"Your call")</f>
      </c>
    </row>
    <row r="26" spans="1:2" s="8" customFormat="1" x14ac:dyDescent="0.25">
      <c r="A26" s="8" t="s">
        <v>2449</v>
      </c>
      <c r="B26" s="8">
        <f>COUNTIF(Review!$M$2:$M$1680,"SAME FINAL NAME*")</f>
      </c>
    </row>
    <row r="27" spans="1:2" s="8" customFormat="1" x14ac:dyDescent="0.25">
      <c r="A27" s="8" t="s">
        <v>2450</v>
      </c>
      <c r="B27" s="8">
        <f>COUNTIF(Review!$M$2:$M$1680,"USED*")</f>
      </c>
    </row>
    <row r="28" spans="1:2" s="8" customFormat="1" x14ac:dyDescent="0.25">
      <c r="A28" s="8" t="s">
        <v>2451</v>
      </c>
      <c r="B28" s="8">
        <f>COUNTIF(Review!$I$2:$I$1680,"Your call")</f>
      </c>
    </row>
    <row r="29" spans="1:2" s="8" customFormat="1" x14ac:dyDescent="0.25">
      <c r="A29" s="8" t="s">
        <v>2452</v>
      </c>
      <c r="B29" s="8">
        <f>6-COUNTIF('Possible duplicates'!$H$2:$H$7,"?*")</f>
      </c>
    </row>
  </sheetData>
  <conditionalFormatting sqref="B26">
    <cfRule type="expression" dxfId="1" priority="1">
      <formula>B26&gt;0</formula>
    </cfRule>
  </conditionalFormatting>
  <conditionalFormatting sqref="B27">
    <cfRule type="expression" dxfId="2" priority="2">
      <formula>B27&gt;0</formula>
    </cfRule>
  </conditionalFormatting>
  <conditionalFormatting sqref="B28">
    <cfRule type="expression" dxfId="3" priority="3">
      <formula>B28&gt;0</formula>
    </cfRule>
  </conditionalFormatting>
  <conditionalFormatting sqref="B29">
    <cfRule type="expression" dxfId="4" priority="4">
      <formula>B29&gt;0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Review</vt:lpstr>
      <vt:lpstr>Missing</vt:lpstr>
      <vt:lpstr>Possible duplicates</vt:lpstr>
      <vt:lpstr>Questions</vt:lpstr>
      <vt:lpstr>Counts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BidRidge (Track A)</dc:creator>
  <dc:title/>
  <dc:subject/>
  <dc:description/>
  <cp:keywords/>
  <cp:category/>
  <cp:lastModifiedBy>Unknown</cp:lastModifiedBy>
  <dcterms:created xsi:type="dcterms:W3CDTF">2026-10-07T17:45:23Z</dcterms:created>
  <dcterms:modified xsi:type="dcterms:W3CDTF">2026-10-07T17:45:31Z</dcterms:modified>
</cp:coreProperties>
</file>